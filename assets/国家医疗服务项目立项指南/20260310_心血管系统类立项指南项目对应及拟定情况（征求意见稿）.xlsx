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35" activeTab="4"/>
  </bookViews>
  <sheets>
    <sheet name="1" sheetId="1" r:id="rId1"/>
    <sheet name="1 (2)" sheetId="4" r:id="rId2"/>
    <sheet name="改变收费方式" sheetId="2" r:id="rId3"/>
    <sheet name="Sheet1" sheetId="3" r:id="rId4"/>
    <sheet name="Sheet2" sheetId="5" r:id="rId5"/>
    <sheet name="Sheet3" sheetId="6" r:id="rId6"/>
  </sheets>
  <definedNames>
    <definedName name="_xlnm._FilterDatabase" localSheetId="0" hidden="1">'1'!$A$3:$IO$458</definedName>
    <definedName name="_xlnm._FilterDatabase" localSheetId="1" hidden="1">'1 (2)'!$A$3:$IO$380</definedName>
    <definedName name="_xlnm._FilterDatabase" localSheetId="3" hidden="1">Sheet1!$A$1:$Y$372</definedName>
    <definedName name="_xlnm._FilterDatabase" localSheetId="5" hidden="1">Sheet3!$A$2:$AB$134</definedName>
  </definedNames>
  <calcPr calcId="144525"/>
</workbook>
</file>

<file path=xl/sharedStrings.xml><?xml version="1.0" encoding="utf-8"?>
<sst xmlns="http://schemas.openxmlformats.org/spreadsheetml/2006/main" count="13940" uniqueCount="1946">
  <si>
    <t>心血管系统类立项指南项目对应及拟定情况（征求意见稿）</t>
  </si>
  <si>
    <t>心血管系统类立项指南项目</t>
  </si>
  <si>
    <t>现行项目</t>
  </si>
  <si>
    <t>序号</t>
  </si>
  <si>
    <t>项目代码</t>
  </si>
  <si>
    <t>项目名称</t>
  </si>
  <si>
    <t>归集口径</t>
  </si>
  <si>
    <t>服务产出</t>
  </si>
  <si>
    <t>价格构成</t>
  </si>
  <si>
    <t>计价单位</t>
  </si>
  <si>
    <t>计价说明</t>
  </si>
  <si>
    <t>省三甲价格</t>
  </si>
  <si>
    <t>省三甲以下价格</t>
  </si>
  <si>
    <t>平移价格
(市级)</t>
  </si>
  <si>
    <t>平移价格
(县级)</t>
  </si>
  <si>
    <t>平移价格
(基层)</t>
  </si>
  <si>
    <t>拟定价格
(市级)</t>
  </si>
  <si>
    <t>拟定价格
(县级)</t>
  </si>
  <si>
    <t>拟定价格
(基层)</t>
  </si>
  <si>
    <t>医保
属性</t>
  </si>
  <si>
    <t>医保限定支付范围</t>
  </si>
  <si>
    <t>个人先行自付比例</t>
  </si>
  <si>
    <t>调整情况</t>
  </si>
  <si>
    <t>备注</t>
  </si>
  <si>
    <t>国家结算编码</t>
  </si>
  <si>
    <t>项目编码</t>
  </si>
  <si>
    <t>项目内涵</t>
  </si>
  <si>
    <t>除外内容</t>
  </si>
  <si>
    <t>说明</t>
  </si>
  <si>
    <t>价格
(市级)</t>
  </si>
  <si>
    <t>价格
(县级)</t>
  </si>
  <si>
    <t>价格
(基层)</t>
  </si>
  <si>
    <t>心脏使用胸腔镜、心脏及血管系统手术体外循环心脏不停跳心内直视手术的费用摊到相应手术中测算</t>
  </si>
  <si>
    <t xml:space="preserve"> </t>
  </si>
  <si>
    <t>012408000020000</t>
  </si>
  <si>
    <t>心电监测费</t>
  </si>
  <si>
    <t>检查费</t>
  </si>
  <si>
    <t>实时监测患者心率、心律、心电波形等，必要时监测呼吸频率、呼吸波形、血压、血氧饱和度等参数。</t>
  </si>
  <si>
    <t>所定价格涵盖皮肤清洁、安放电极、连接设备、设定参数、实时监测等步骤所需的人力资源、设备运转成本与基本物质资源消耗。</t>
  </si>
  <si>
    <t>小时</t>
  </si>
  <si>
    <t/>
  </si>
  <si>
    <t>医保</t>
  </si>
  <si>
    <t>平移取整</t>
  </si>
  <si>
    <t>映射项目全部纳入价格构成，按照总金额除以最大量测算平移价格，同质化项目缩小价差</t>
  </si>
  <si>
    <t>003107010220000-310701022</t>
  </si>
  <si>
    <t>心电监测</t>
  </si>
  <si>
    <t>含无创血压监测</t>
  </si>
  <si>
    <t>003107010270000-310701027</t>
  </si>
  <si>
    <t>指脉氧监测</t>
  </si>
  <si>
    <t>003107010280000-310701028</t>
  </si>
  <si>
    <t>血氧饱和度监测</t>
  </si>
  <si>
    <t>003107010290000-310701033</t>
  </si>
  <si>
    <t>经皮肢体氧分压测定</t>
  </si>
  <si>
    <t>患者仰卧，连接氧分压测定仪于肢体不同部位，开启氧分压测定仪，分别检测肢体不同部位的氧分压，记录并报告。</t>
  </si>
  <si>
    <t>次</t>
  </si>
  <si>
    <t>分项</t>
  </si>
  <si>
    <t>012408000020100</t>
  </si>
  <si>
    <t>心电监测费-遥测心电监测（扩展）</t>
  </si>
  <si>
    <t>封顶每日不超过50元。</t>
  </si>
  <si>
    <t>整合项目，两个项目价格合计测算。
扩展项按主项价格执行</t>
  </si>
  <si>
    <t>003107010090000-310701009</t>
  </si>
  <si>
    <t>心电监测电话传输</t>
  </si>
  <si>
    <t>含电池、电极费用</t>
  </si>
  <si>
    <t>日</t>
  </si>
  <si>
    <t>003107010080000-310701008</t>
  </si>
  <si>
    <t>遥测心电监护</t>
  </si>
  <si>
    <t>012408000030000</t>
  </si>
  <si>
    <t>常规心电图检查费</t>
  </si>
  <si>
    <t>通过心电图机体表采集十二导联及以下心电数据。</t>
  </si>
  <si>
    <t>所定价格涵盖皮肤清洁、安放电极、连接设备、采集信号、数据分析、出具报告等步骤所需的人力资源、设备运转成本与基本物质资源消耗。</t>
  </si>
  <si>
    <t>含十二导联。</t>
  </si>
  <si>
    <t>加权平移后取整，同质化高的项目提高基层价格缩小价差</t>
  </si>
  <si>
    <t>003107010010000-310701001</t>
  </si>
  <si>
    <t>常规心电图检查</t>
  </si>
  <si>
    <t>含单通道、三通道、常规导联</t>
  </si>
  <si>
    <t>附加导联加收20%；十二通道、床边心电图加收100%</t>
  </si>
  <si>
    <t>003107010010002-31070100102</t>
  </si>
  <si>
    <t>常规心电图检查（十二通道加收）</t>
  </si>
  <si>
    <t>十二通道加收</t>
  </si>
  <si>
    <t>003107010010003-31070100103</t>
  </si>
  <si>
    <t>常规心电图检查（床边）</t>
  </si>
  <si>
    <t>床边心电图</t>
  </si>
  <si>
    <t>003107010050000-310701005</t>
  </si>
  <si>
    <t>标测心电图</t>
  </si>
  <si>
    <t>含电极费用</t>
  </si>
  <si>
    <t>003107010060000-310701006</t>
  </si>
  <si>
    <t>体表窦房结心电图</t>
  </si>
  <si>
    <t>003107010020000-310701002</t>
  </si>
  <si>
    <t>食管内心电图</t>
  </si>
  <si>
    <t>一次性导管</t>
  </si>
  <si>
    <t>012408000030001</t>
  </si>
  <si>
    <t>常规心电图检查费十二导联以上（加收）</t>
  </si>
  <si>
    <t>平移后市按不超过省级定价，同质化项目缩小价差</t>
  </si>
  <si>
    <t>003107010010001-31070100101</t>
  </si>
  <si>
    <t>常规心电图检查（附加导联加收）</t>
  </si>
  <si>
    <t>附加导联加收</t>
  </si>
  <si>
    <t>012408000030011</t>
  </si>
  <si>
    <t>常规心电图检查费-心脏晚电位检查（加收）</t>
  </si>
  <si>
    <t>按不超过省级拟定</t>
  </si>
  <si>
    <t>003107010150000-310701015</t>
  </si>
  <si>
    <t>心室晚电位</t>
  </si>
  <si>
    <t>003107010160000-310701016</t>
  </si>
  <si>
    <t>心房晚电位</t>
  </si>
  <si>
    <t>012408000030100</t>
  </si>
  <si>
    <t>常规心电图检查费-心电向量图（扩展）</t>
  </si>
  <si>
    <t>扩展项按主项价格执行</t>
  </si>
  <si>
    <t>003107010120000-310701012</t>
  </si>
  <si>
    <t>心电向量图</t>
  </si>
  <si>
    <t>012408000031100</t>
  </si>
  <si>
    <t>常规心电图检查费-频谱心电图（扩展）</t>
  </si>
  <si>
    <t>003107010040000-310701004</t>
  </si>
  <si>
    <t>频谱心电图</t>
  </si>
  <si>
    <t>012408000040000</t>
  </si>
  <si>
    <t>心率变异性分析检查费</t>
  </si>
  <si>
    <t>通过连续记录心电图数据分析心率变化情况。</t>
  </si>
  <si>
    <t>理顺，降低</t>
  </si>
  <si>
    <t>平移后按不超过省级价格下调，同质化高的项目持平省级价格</t>
  </si>
  <si>
    <t>003107010180000-310701018</t>
  </si>
  <si>
    <t>心率变异性分析</t>
  </si>
  <si>
    <t>包括短程或24小时</t>
  </si>
  <si>
    <t>超过24小时基层加收12.8元，县级医院加收15元，市级加收17.3元</t>
  </si>
  <si>
    <t>003107010180001-31070101801</t>
  </si>
  <si>
    <t>心率变异性分析（超过24小时加收）</t>
  </si>
  <si>
    <t>超过24小时加收</t>
  </si>
  <si>
    <t>012408000050000</t>
  </si>
  <si>
    <t>心电图负荷检查费</t>
  </si>
  <si>
    <t>通过各类运动负荷或药物诱导试验等方式，对比监测心电和血压变化，协助诊断疾病。</t>
  </si>
  <si>
    <t>所定价格涵盖皮肤清洁、安放电极、记录静息心电图、增加负荷、监测心电和血压变化、数据分析、出具报告等步骤所需的人力资源、设备运转成本与基本物质资源消耗。</t>
  </si>
  <si>
    <t>平移后市按不超过省级定价</t>
  </si>
  <si>
    <t>003107010100000-310701010</t>
  </si>
  <si>
    <t>心电图踏车负荷试验</t>
  </si>
  <si>
    <t>含电极费用、指平板运动试验</t>
  </si>
  <si>
    <t>二阶梯基层每次只收25.5元，县级医院每次只收30元，市级医院每次只收34.5元</t>
  </si>
  <si>
    <t>003107010100100-31070101001</t>
  </si>
  <si>
    <t>心电图踏车负荷试验（二阶梯）</t>
  </si>
  <si>
    <t>二阶梯</t>
  </si>
  <si>
    <t>003107010110000-310701011</t>
  </si>
  <si>
    <t>心电图药物负荷试验</t>
  </si>
  <si>
    <t>012408000060000</t>
  </si>
  <si>
    <t>动态心电图检查费</t>
  </si>
  <si>
    <t>通过获取连续的心电图监测数据，协助诊断疾病。</t>
  </si>
  <si>
    <t>单次检查收取不超过3天，个别患者确有必要的最多可收取5天费用。</t>
  </si>
  <si>
    <t>平移后市按不超过省级定价，同质化高的项目持平省级价格，基层调低理顺比价</t>
  </si>
  <si>
    <t>003107010030000-310701003</t>
  </si>
  <si>
    <t>动态心电图</t>
  </si>
  <si>
    <t>含磁带、电池费用；含实时监测预警</t>
  </si>
  <si>
    <t>003107010070000-310701007</t>
  </si>
  <si>
    <t>心电事件记录</t>
  </si>
  <si>
    <t>含磁带、电池费用</t>
  </si>
  <si>
    <t>013107000010000</t>
  </si>
  <si>
    <t>经食管心脏调搏费</t>
  </si>
  <si>
    <t>治疗费</t>
  </si>
  <si>
    <t>通过食管电极对左心房或邻近心脏组织进行电刺激，进行电生理评估或终止室上速。</t>
  </si>
  <si>
    <t>所定价格涵盖皮肤清洁、安置导管和电极、连接设备、电刺激、采集信号、数据分析、出具报告等步骤所需的人力资源、设备运转成本与基本物质资源消耗。</t>
  </si>
  <si>
    <t>003107020150000-310702015</t>
  </si>
  <si>
    <t>经食管心脏调搏术</t>
  </si>
  <si>
    <t>指超速抑制心动过速治疗</t>
  </si>
  <si>
    <t>使用大C臂数字减影X光机加收50%</t>
  </si>
  <si>
    <t>013107000020000</t>
  </si>
  <si>
    <t>经食管心脏起搏费</t>
  </si>
  <si>
    <t>通过食管电极对左心房或邻近心脏组织进行电刺激，进行临时起搏。</t>
  </si>
  <si>
    <t>所定价格涵盖皮肤清洁、安置导管和电极、连接设备、电刺激、调整起搏参数等步骤所需的人力资源、设备运转成本与基本物质资源消耗。</t>
  </si>
  <si>
    <t>平移后按不超过省级价格下调。同质化高的项目持平省级价格</t>
  </si>
  <si>
    <t>003107020140000-310702014</t>
  </si>
  <si>
    <t>经食管心脏起搏术</t>
  </si>
  <si>
    <t>012408000080000</t>
  </si>
  <si>
    <t>心腔三维标测费</t>
  </si>
  <si>
    <t>通过动脉、静脉或心包置入三维标测电极，利用三维重建技术获取心腔三维结构。</t>
  </si>
  <si>
    <t>所定价格涵盖应用各种三维标测技术构建心腔三维图像所需的人力资源与基本物质资源消耗。</t>
  </si>
  <si>
    <t>非医保</t>
  </si>
  <si>
    <t>新增</t>
  </si>
  <si>
    <t>新增项目，参照检查类项目比价关系，暂按省级95%拟定</t>
  </si>
  <si>
    <t>012408000090000</t>
  </si>
  <si>
    <t>直立倾斜检查费</t>
  </si>
  <si>
    <t>通过改变体位，监测患者心率、血压和神智的变化，协助诊断疾病。</t>
  </si>
  <si>
    <t>所定价格涵盖皮肤清洁、安放电极、患者固定、改变体位、监测心电和血压变化、观察患者表现、数据分析、出具报告等步骤所需的人力资源与基本物质资源消耗。</t>
  </si>
  <si>
    <t>不与“心电监测费”同时收取。</t>
  </si>
  <si>
    <t>003107010170000-310701017</t>
  </si>
  <si>
    <t>倾斜试验</t>
  </si>
  <si>
    <t>012408000100000</t>
  </si>
  <si>
    <t>6分钟步行检查费</t>
  </si>
  <si>
    <t>通过步行速度评估患者心脏功能及运动耐力。</t>
  </si>
  <si>
    <t>所定价格涵盖设备准备、测试过程中生命体征监测、撤除设备、出具报告等步骤所需的人力资源和基本物质资源消耗。</t>
  </si>
  <si>
    <t>平移</t>
  </si>
  <si>
    <t>003402000070000-340200046</t>
  </si>
  <si>
    <t>6分钟步行测试</t>
  </si>
  <si>
    <t>采用标准化方法，对患者进行时间限定的步行距离、步行速度以及不适症状的检查。评价心肺疾病患者对治疗的反应情况；评价患者整体的功能状况（监测和记录患者在这6分钟步行范围内心率、血压、血氧、步行距离、费力指数等）。广泛适用于肺动脉高压、心力衰竭、COPD、间质性肺疾病、肺移植、肺减容术、肺切除术等病种评估。</t>
  </si>
  <si>
    <t>012408000110000</t>
  </si>
  <si>
    <t>无创动态血压监测费</t>
  </si>
  <si>
    <t>通过无创的方式连续监测患者血压，获取24小时中多次血压监测数据。</t>
  </si>
  <si>
    <t>所定价格涵盖固定袖带、动态监测血压、采集数据、撤除袖带、分析、出具报告等步骤所需的人力资源与基本物质资源消耗。</t>
  </si>
  <si>
    <t>市级每人次约监测22.4小时/天。县级每人次约监测18小时/天。基层每人次约监测23小时/天。平移后按不超过省级拟定（同质化高的检查项目，持平省级定价）</t>
  </si>
  <si>
    <t>003107010210000-310701021</t>
  </si>
  <si>
    <t>动态血压监测</t>
  </si>
  <si>
    <t>含电池费用；包括运动血压监测</t>
  </si>
  <si>
    <t>003107010210100-31070102101</t>
  </si>
  <si>
    <t>动态血压监测（运动血压监测）</t>
  </si>
  <si>
    <t>运动血压监测</t>
  </si>
  <si>
    <t>012408000120000</t>
  </si>
  <si>
    <t>无创肢体动脉检查费</t>
  </si>
  <si>
    <t>通过无创的方式评估外周动脉病变情况。</t>
  </si>
  <si>
    <t>所定价格涵盖皮肤清洁、节段性测压或安置传感器、采集数据、撤除传感器、分析、出具报告等步骤所需的人力资源与基本物质资源消耗。</t>
  </si>
  <si>
    <t>353107010310000-310701029</t>
  </si>
  <si>
    <t>动脉弹性功能检测</t>
  </si>
  <si>
    <t>指测定C1、C2大小动脉的弹性数据指数</t>
  </si>
  <si>
    <t>353107010300000-310701030</t>
  </si>
  <si>
    <t>大动脉功能检测</t>
  </si>
  <si>
    <t>含检测C-F、C-R、C-D三段脉搏波速度值</t>
  </si>
  <si>
    <t>013107000030000</t>
  </si>
  <si>
    <t>心脏电除颤/电复律费</t>
  </si>
  <si>
    <t>通过体外直流电除颤/电复律以改变心律。</t>
  </si>
  <si>
    <t>所定价格涵盖设备安装、除颤或复律、撤除设备等步骤所需的人力资源和基本物质资源消耗。</t>
  </si>
  <si>
    <t>县级开展量高于市级，以县级平移价格为基础，按比价关系测算市级价格。</t>
  </si>
  <si>
    <t>003107020130000-310702013</t>
  </si>
  <si>
    <t>体外经胸型心脏临时起搏术</t>
  </si>
  <si>
    <t>003107020160000-310702016</t>
  </si>
  <si>
    <t>心脏电复律术</t>
  </si>
  <si>
    <t>003107020170000-310702017</t>
  </si>
  <si>
    <t>心脏电除颤术</t>
  </si>
  <si>
    <t>003107020180000-310702018</t>
  </si>
  <si>
    <t>体外自动心脏变律除颤术</t>
  </si>
  <si>
    <t>包括半自动</t>
  </si>
  <si>
    <t>一次性复律除颤电极</t>
  </si>
  <si>
    <t>012408000140000</t>
  </si>
  <si>
    <t>有创血流动力学监测费</t>
  </si>
  <si>
    <t>通过侵入性的方式测量血流动力学参数指标。</t>
  </si>
  <si>
    <t>所定价格涵盖连接设备、监测血流动力学相关数据、撤除设备等步骤所需的人力资源和基本物质资源消耗。</t>
  </si>
  <si>
    <t>省级按项目间及区域间比价关系下调，我市按比价关系下调拟定（同质化高的检查项目，持平省级定价）</t>
  </si>
  <si>
    <t>003107020010000-310702001</t>
  </si>
  <si>
    <t>有创性血流动力学监测（床旁）</t>
  </si>
  <si>
    <t>含各房室腔内压力监测、心排血量测定</t>
  </si>
  <si>
    <t>漂浮导管</t>
  </si>
  <si>
    <t>使用大C臂数字减影X光机加收50%。心电、压力连续示波基层30元/小时，县级医院35元/小时，市级医院40.3元/小时</t>
  </si>
  <si>
    <t>003107020010000-31070200102</t>
  </si>
  <si>
    <t>有创性血流动力学监测（床旁）（心电、压力连续示波）</t>
  </si>
  <si>
    <t>心电、压力连续示波</t>
  </si>
  <si>
    <t>003107020020000-310702002</t>
  </si>
  <si>
    <t>持续有创性血压监测</t>
  </si>
  <si>
    <t>含心电、压力连续示波</t>
  </si>
  <si>
    <t>动脉穿刺套针</t>
  </si>
  <si>
    <t>003107010250000-310701025</t>
  </si>
  <si>
    <t>动脉内压力监测</t>
  </si>
  <si>
    <t>套管针、测压套件</t>
  </si>
  <si>
    <t>003107010230000-310701023</t>
  </si>
  <si>
    <t>心输出量测定</t>
  </si>
  <si>
    <t>漂浮导管、温度传感器、漂浮导管置入套件</t>
  </si>
  <si>
    <t>012408000150000</t>
  </si>
  <si>
    <t>无创血流动力学检查费</t>
  </si>
  <si>
    <t>通过非侵入性的各种检查方法测量血流动力学参数指标。</t>
  </si>
  <si>
    <t>项</t>
  </si>
  <si>
    <t>本项目中的“各种检查方法”指：心血流图、心尖搏动图、心音图、心阻抗图、心排出量检查。</t>
  </si>
  <si>
    <t>平移后按不超过省级价格下调（同质化高的检查项目，持平省级定价）</t>
  </si>
  <si>
    <t>003107010130000-310701013</t>
  </si>
  <si>
    <t>心音图</t>
  </si>
  <si>
    <t>003107010140000-310701014</t>
  </si>
  <si>
    <t>心阻抗图</t>
  </si>
  <si>
    <t>心导纳图基层每次收85元，县级医院每次收100元，市级医院每次收115元</t>
  </si>
  <si>
    <t>003107010140001-31070101401</t>
  </si>
  <si>
    <t>心阻抗图（心导纳图）</t>
  </si>
  <si>
    <t>003107010190000-310701019</t>
  </si>
  <si>
    <t>无创阻抗法心搏出量测定</t>
  </si>
  <si>
    <t>003107010200000-310701020</t>
  </si>
  <si>
    <t>无创心功能监测</t>
  </si>
  <si>
    <t>包括心血流图、心尖搏动图</t>
  </si>
  <si>
    <t>每监测项目</t>
  </si>
  <si>
    <t>003107010200100-31070102001</t>
  </si>
  <si>
    <t>无创心功能监测（心血流图）</t>
  </si>
  <si>
    <t>心血流图</t>
  </si>
  <si>
    <t>003107010200200-31070102002</t>
  </si>
  <si>
    <t>无创心功能监测（心尖搏动图）</t>
  </si>
  <si>
    <t>心尖搏动图</t>
  </si>
  <si>
    <t>013107000040000</t>
  </si>
  <si>
    <t>体外反搏治疗费</t>
  </si>
  <si>
    <t>通过球囊使主动脉内收缩期血压降低和舒张期血压增高。</t>
  </si>
  <si>
    <t>所定价格涵盖皮肤清洁、连接体外反搏设备行体外反搏治疗、撤除设备等所需步骤的人力资源和基本物质资源消耗。</t>
  </si>
  <si>
    <t>平移后按不超过省级价格下调</t>
  </si>
  <si>
    <t>003107020190000-310702019</t>
  </si>
  <si>
    <t>体外反搏治疗</t>
  </si>
  <si>
    <t>012408000010000</t>
  </si>
  <si>
    <t>心脏植入式装置适配费</t>
  </si>
  <si>
    <t>对已置入的心脏植入式电子装置进行程控测试。</t>
  </si>
  <si>
    <t>所定价格涵盖心脏植入式电子装置连接、数据读取分析、参数调整、功能优化、安全性检查等步骤所需的人力资源和基本物资消耗。</t>
  </si>
  <si>
    <t>1.需在检查或手术治疗前后分别调整的按一次费用收取。2.植入手术后的初次调试不得收取费用。</t>
  </si>
  <si>
    <t>003107020100000-310702010</t>
  </si>
  <si>
    <t>起搏器功能分析和随访</t>
  </si>
  <si>
    <t>003107020110000-310702011</t>
  </si>
  <si>
    <t>起搏器程控功能检查</t>
  </si>
  <si>
    <t>含起搏器功能分析与编程</t>
  </si>
  <si>
    <t>003107020120000-310702012</t>
  </si>
  <si>
    <t>起搏器胸壁刺激法检查</t>
  </si>
  <si>
    <t>012408000010100</t>
  </si>
  <si>
    <t>心脏植入式装置适配费-远程适配（扩展）</t>
  </si>
  <si>
    <t>012408000190000</t>
  </si>
  <si>
    <t>冠状动脉造影费</t>
  </si>
  <si>
    <t>通过介入的方式对冠状动脉进行检查。</t>
  </si>
  <si>
    <t>所定价格涵盖手术计划、术区准备、消毒铺巾、建立通路、冠状动脉造影、撤除、闭合血管通路等手术步骤所需的人力资源和基本物质资源消耗。</t>
  </si>
  <si>
    <t>降低</t>
  </si>
  <si>
    <t>根据省级定价原则，按照项目间及区域间比价关系下调，我市按照原项目与省级的比价关系下调</t>
  </si>
  <si>
    <t>003205000010000-320500001</t>
  </si>
  <si>
    <t>冠状动脉造影术</t>
  </si>
  <si>
    <t>同时做左心室造影市级医院加收485元，县级医院加收435元，基层加收370元。冠状动脉血流储备分数检查市级按900元/次收取，县级按810元/次收取，基层按690元/次收取。</t>
  </si>
  <si>
    <t>003205000100000-320500010</t>
  </si>
  <si>
    <t>冠脉血管内窥镜检查术</t>
  </si>
  <si>
    <t>012408000190001</t>
  </si>
  <si>
    <t>冠状动脉造影费-儿童（加收）</t>
  </si>
  <si>
    <t>儿童加收30%</t>
  </si>
  <si>
    <t>003205000010000-32050000102</t>
  </si>
  <si>
    <t>小儿冠状动脉造影术</t>
  </si>
  <si>
    <t>012408000190021</t>
  </si>
  <si>
    <t>冠状动脉造影费-左心室造影（加收）</t>
  </si>
  <si>
    <t>003107020210100-31070202101</t>
  </si>
  <si>
    <t>左心导管检查术（左室造影术）</t>
  </si>
  <si>
    <t>左室造影术</t>
  </si>
  <si>
    <t>003205000010001-32050000101</t>
  </si>
  <si>
    <t>冠状动脉造影术（左心室造影）</t>
  </si>
  <si>
    <t>003205000010001-32050000103</t>
  </si>
  <si>
    <t>小儿冠状动脉造影术（左心室造影）</t>
  </si>
  <si>
    <t>012408000200000</t>
  </si>
  <si>
    <t>冠状动脉腔内影像学检查费</t>
  </si>
  <si>
    <t>在冠状动脉造影基础上进行腔内影像学检查。</t>
  </si>
  <si>
    <t>所定价格涵盖连接设备、观察心腔内影像情况、撤除设备等步骤所需的人力资源和基本物质资源消耗。不含冠状动脉造影。</t>
  </si>
  <si>
    <t>本项目中的“冠状动脉腔内影像学检查费”指：冠状动脉血管内超声检查、冠状动脉光学相干断层成像。</t>
  </si>
  <si>
    <t>原项目含造影，现将检查费用与造影费用拆分，造影可另行收费。按原项目加权平均后扣除造影拟定价格得出平移价格。</t>
  </si>
  <si>
    <t>003205000070000-320500007</t>
  </si>
  <si>
    <t>冠脉血管内超声检查术（IVUS）</t>
  </si>
  <si>
    <t>含术前的靶血管造影</t>
  </si>
  <si>
    <t>同时做冠状血管内多普勒血流测量术加收20%</t>
  </si>
  <si>
    <t>003205000070000-32050000701</t>
  </si>
  <si>
    <t>冠脉血管内超声检查术（多普勒血流测量术）</t>
  </si>
  <si>
    <t>同时做冠状血管内多普勒血流测量术</t>
  </si>
  <si>
    <t>003205000070000-32050000702</t>
  </si>
  <si>
    <t>小儿冠脉血管内超声检查术（IVUS）</t>
  </si>
  <si>
    <t>003205000070000-32050000703</t>
  </si>
  <si>
    <t>小儿冠脉血管内超声检查术（多普勒血流测量术）</t>
  </si>
  <si>
    <t>003205000080000-320500008</t>
  </si>
  <si>
    <t>冠状血管内多普勒血流测量术</t>
  </si>
  <si>
    <t>003205000080000-32050000801</t>
  </si>
  <si>
    <t>小儿冠状血管内多普勒血流测量术</t>
  </si>
  <si>
    <t>012408000210000</t>
  </si>
  <si>
    <t>冠状动脉血流储备功能检查费</t>
  </si>
  <si>
    <t>在冠状动脉造影基础上进行血流储备功能检查。</t>
  </si>
  <si>
    <t>所定价格涵盖连接设备、测量冠状动脉血流储备功能、撤除设备等步骤所需的人力资源和基本物质资源消耗。不含冠状动脉造影。</t>
  </si>
  <si>
    <t>本项目中的“冠状动脉血流储备功能检查费”指：冠状动脉造影检查中通过压力导丝、传感器、造影图像等方式获取的血流储备功能情况，包括但不限于FFR、CFR、QFR、caFFR、iFR等不同测定方法。</t>
  </si>
  <si>
    <t>003205000010000-32050000104</t>
  </si>
  <si>
    <t>冠状动脉血流储备分数检查</t>
  </si>
  <si>
    <t>含检查靶血管造影，包括冠脉光学相干断层扫描(OCT)检查</t>
  </si>
  <si>
    <t>003205000010000-32050000105</t>
  </si>
  <si>
    <t>小儿冠状动脉血流储备分数检查</t>
  </si>
  <si>
    <t>013308000030000</t>
  </si>
  <si>
    <t>冠状动脉支架置入费</t>
  </si>
  <si>
    <t>手术费</t>
  </si>
  <si>
    <t>通过支架扩张冠状动脉。</t>
  </si>
  <si>
    <t>所定价格涵盖手术计划、术区准备、消毒铺巾、建立通路、支架置入、确认治疗效果、撤除、闭合通路，必要时球囊扩张等手术步骤所需的人力资源和基本物质资源消耗。不含冠状动脉造影。</t>
  </si>
  <si>
    <t>血管</t>
  </si>
  <si>
    <t>1.本项目中的“血管”指：左主干、左前降支、左回旋支、右冠状动脉及每支桥血管。2.同一血管不与“冠状动脉球囊扩张费”同时收取。</t>
  </si>
  <si>
    <t>理顺</t>
  </si>
  <si>
    <t>平移取整，县级按不超过省级下调理顺比价</t>
  </si>
  <si>
    <t>003205000030000-320500003</t>
  </si>
  <si>
    <t>经皮冠状动脉内支架置入术（STENT）</t>
  </si>
  <si>
    <t>含为放置冠脉内支架而进行的球囊预扩张和支架打开后的支架内球囊高压扩张及术前的靶血管造影</t>
  </si>
  <si>
    <t>以扩张一支冠脉血管为基价，扩张多支血管市级加收645元，县级加收615元，基层加收555元；血管内压力钢丝检查市级加收345元，县级加收330元，基层加收295元；使用远端保护装置市级加收515元，县级加收490元，基层加收445元。</t>
  </si>
  <si>
    <t>003205000030001-32050000301</t>
  </si>
  <si>
    <t>经皮冠状动脉内支架置入术（扩张多支血管加收）</t>
  </si>
  <si>
    <t>以扩张一支冠脉血管为基价，扩张多支血管加收</t>
  </si>
  <si>
    <t>003205000030000-32050000302</t>
  </si>
  <si>
    <t>经皮冠状动脉内支架置入术（血管内压力钢丝检查加收）</t>
  </si>
  <si>
    <t>血管内压力钢丝检查加收</t>
  </si>
  <si>
    <t>003205000030000-32050000303</t>
  </si>
  <si>
    <t>经皮冠状动脉内支架置入术（STENT）（使用远端保护装置加收）</t>
  </si>
  <si>
    <t>使用远端保护装置加收</t>
  </si>
  <si>
    <t>003205000150000-320500015</t>
  </si>
  <si>
    <t>冠脉内局部药物释放治疗术</t>
  </si>
  <si>
    <t>含冠脉造影</t>
  </si>
  <si>
    <t>013308000030001</t>
  </si>
  <si>
    <t>冠状动脉支架置入费-儿童（加收）</t>
  </si>
  <si>
    <t>003205000030000-32050000304</t>
  </si>
  <si>
    <t>小儿经皮冠状动脉内支架置入术（STENT）</t>
  </si>
  <si>
    <t>003205000030001-32050000305</t>
  </si>
  <si>
    <t>小儿经皮冠状动脉内支架置入术（STENT）（扩张多支血管加收）</t>
  </si>
  <si>
    <t>003205000150000-32050001501</t>
  </si>
  <si>
    <t>小儿冠脉内局部药物释放治疗术</t>
  </si>
  <si>
    <t>013308000040000</t>
  </si>
  <si>
    <t>冠状动脉球囊扩张费</t>
  </si>
  <si>
    <t>通过球囊扩张冠状动脉。</t>
  </si>
  <si>
    <t>所定价格涵盖手术计划、术区准备、消毒铺巾、建立通路、球囊扩张、确认治疗效果、撤除、闭合通路等手术步骤所需的人力资源和基本物质资源消耗。不含冠状动脉造影。</t>
  </si>
  <si>
    <t>1.本项目中的“血管”指：左主干、左前降支、左回旋支、右冠状动脉及每支桥血管。2.同一血管不与“冠状动脉支架置入费”同时收取。</t>
  </si>
  <si>
    <t>003205000020000-320500002</t>
  </si>
  <si>
    <t>经皮冠状动脉腔内成形术（PTCA）</t>
  </si>
  <si>
    <t>含PTCA前的靶血管造影</t>
  </si>
  <si>
    <t>以扩张一支冠脉血管为基价，扩张多支血管加收20%</t>
  </si>
  <si>
    <t>003205000020001-32050000201</t>
  </si>
  <si>
    <t>使用经皮冠状动脉腔内成形术（扩张多支血管加收）</t>
  </si>
  <si>
    <t>013308000040001</t>
  </si>
  <si>
    <t>冠状动脉球囊扩张费-儿童（加收）</t>
  </si>
  <si>
    <t>003205000020000-32050000202</t>
  </si>
  <si>
    <t>小儿经皮冠状动脉腔内成形术（PTCA）</t>
  </si>
  <si>
    <t>003205000020001-32050000203</t>
  </si>
  <si>
    <t>小儿使用经皮冠状动脉腔内成形术（扩张多支血管加收）</t>
  </si>
  <si>
    <t>扩张多支血管加收</t>
  </si>
  <si>
    <t>013308000050000</t>
  </si>
  <si>
    <t>冠状动脉慢性完全闭塞血管逆向再通治疗费</t>
  </si>
  <si>
    <t>通过血管闭塞端近段及远端两端操作疏通血管。</t>
  </si>
  <si>
    <t>所定价格涵盖手术计划、术区准备、消毒铺巾、建立通路、连通闭塞段两端、确认治疗效果、撤除、闭合血管通路等所需手术步骤的人力资源和基本物质资源消耗。不含冠状动脉造影。</t>
  </si>
  <si>
    <t>本项目中的“血管”指：左主干、左前降支、左回旋支、右冠状动脉及每支桥血管。第2根按50%计价，第3根25%，第4根及以上不计费。</t>
  </si>
  <si>
    <t>新增项目，暂按省级90%拟定</t>
  </si>
  <si>
    <t>013308000050001</t>
  </si>
  <si>
    <t>冠状动脉慢性完全闭塞血管逆向再通治疗费-儿童（加收）</t>
  </si>
  <si>
    <t>013308000060000</t>
  </si>
  <si>
    <t>冠状动脉腔内减容费</t>
  </si>
  <si>
    <t>通过激光、旋切、旋磨、振波、血栓抽吸等各种物理或机械方式消除斑块或血栓。</t>
  </si>
  <si>
    <t>所定价格涵盖手术计划、术区准备、消毒铺巾、建立通路、消除斑块、确认治疗效果、撤除、闭合通路等手术步骤所需的人力资源和基本物质资源消耗。不含冠状动脉造影。</t>
  </si>
  <si>
    <t>本项目中的“血管”指：左主干、左前降支、左回旋支、右冠状动脉及每支桥血管。</t>
  </si>
  <si>
    <t>003205000040000-320500004</t>
  </si>
  <si>
    <t>经皮冠状动脉腔内激光成形术（ELCA）</t>
  </si>
  <si>
    <t>含激光消融后球囊扩张和/或支架置入及术前的靶血管造影</t>
  </si>
  <si>
    <t>1．以一支冠脉血管为基价，多支血管酌情加收；2．若冠状动脉造影术后立即进行激光成形术，应视作二次手术分别计价</t>
  </si>
  <si>
    <t>003205000050000-320500005</t>
  </si>
  <si>
    <t>高速冠状动脉内膜旋磨术</t>
  </si>
  <si>
    <t>含旋磨后球囊扩张和/或支架置入及术前的靶血管造影</t>
  </si>
  <si>
    <t>以旋磨一支冠脉血管为基价，旋磨多支血管加收15%</t>
  </si>
  <si>
    <t>003205000050001-32050000501</t>
  </si>
  <si>
    <t>高速冠状动脉内膜旋磨术（旋磨多支血管）</t>
  </si>
  <si>
    <t>以旋磨一支冠脉血管为基价，旋磨多支血管</t>
  </si>
  <si>
    <t>003308020080000-330802008</t>
  </si>
  <si>
    <t>冠状动脉内膜切除术</t>
  </si>
  <si>
    <t>003205000060000-320500006</t>
  </si>
  <si>
    <t>定向冠脉内膜旋切术</t>
  </si>
  <si>
    <t>以旋切一支冠脉血管为基价，旋切多支血管市级医院加收605元，县级医院加收545元，基层加收465元</t>
  </si>
  <si>
    <t>003205000060001-32050000601</t>
  </si>
  <si>
    <t>定向冠脉内膜旋切术（旋切多支血管）</t>
  </si>
  <si>
    <t>以旋切一支冠脉血管为基价，旋切多支血管</t>
  </si>
  <si>
    <t>013308000060001</t>
  </si>
  <si>
    <t>冠状动脉腔内减容费-儿童（加收）</t>
  </si>
  <si>
    <t>003205000050000-32050000502</t>
  </si>
  <si>
    <t>小儿高速冠状动脉内膜旋磨术</t>
  </si>
  <si>
    <t>003205000050001-32050000503</t>
  </si>
  <si>
    <t>小儿高速冠状动脉内膜旋磨术（旋磨多支血管）</t>
  </si>
  <si>
    <t>旋磨多支血管</t>
  </si>
  <si>
    <t>003205000060000-32050000602</t>
  </si>
  <si>
    <t>小儿定向冠脉内膜旋切术</t>
  </si>
  <si>
    <t>003205000060001-32050000603</t>
  </si>
  <si>
    <t>小儿定向冠脉内膜旋切术（旋切多支血管）</t>
  </si>
  <si>
    <t>旋切多支血管</t>
  </si>
  <si>
    <t>003308020080000-33080200801</t>
  </si>
  <si>
    <t>小儿冠状动脉内膜切除术</t>
  </si>
  <si>
    <t>013308000070000</t>
  </si>
  <si>
    <t>冠状动脉溶栓费</t>
  </si>
  <si>
    <t>通过介入方式对冠状动脉进行溶栓治疗。</t>
  </si>
  <si>
    <t>所定价格涵盖手术计划、术区准备、消毒铺巾、建立通路、溶栓、确认治疗效果、撤除、闭合通路等手术步骤所需的人力资源和基本物质资源消耗。不含冠状动脉造影。</t>
  </si>
  <si>
    <t>新项目不再含造影费用，因此按比例下调拟定。</t>
  </si>
  <si>
    <t>003205000110000-320500011</t>
  </si>
  <si>
    <t>经皮冠状动脉内溶栓术</t>
  </si>
  <si>
    <t>003205000130000-320500013</t>
  </si>
  <si>
    <t>冠状动脉内超声溶栓术</t>
  </si>
  <si>
    <t>013308000070001</t>
  </si>
  <si>
    <t>冠状动脉溶栓费-儿童（加收）</t>
  </si>
  <si>
    <t>003205000110000-32050001101</t>
  </si>
  <si>
    <t>小儿经皮冠状动脉内溶栓术</t>
  </si>
  <si>
    <t>013107000050000</t>
  </si>
  <si>
    <t>主动脉内球囊反搏安装费</t>
  </si>
  <si>
    <t>安装并运行球囊反搏设备。</t>
  </si>
  <si>
    <t>所定价格涵盖经皮穿刺或切开、球囊导管送至降主动脉、固定导管、连接机器、启动反搏等手术步骤所需的人力资源和基本物质资源消耗。</t>
  </si>
  <si>
    <t>原“主动脉内球囊反搏置管术”含取出费，现拆分成安装费和取出费。按省级拆分比例拟定价格</t>
  </si>
  <si>
    <t>003308030230000-330803023</t>
  </si>
  <si>
    <t>主动脉内球囊反搏置管术</t>
  </si>
  <si>
    <t>指切开法；含主动脉内球囊及导管撤离术</t>
  </si>
  <si>
    <t>球囊反搏导管人造血管</t>
  </si>
  <si>
    <t>003308030230000-33080302301</t>
  </si>
  <si>
    <t>小儿主动脉内球囊反搏置管术</t>
  </si>
  <si>
    <t>353205000240000-A320500017</t>
  </si>
  <si>
    <t>A320500017</t>
  </si>
  <si>
    <t>经皮冠状动脉内振波成形术</t>
  </si>
  <si>
    <t>消毒铺巾穿刺动脉，将指引钢丝通过钙化病变送至病变血管远端，沿指引钢丝送入振波球囊至钙化病变处，连接振波仪器并调节振波参数，予病变处多次冲击钙化部位，以治疗冠脉血管内严重钙化病变。不含监护、DSA引导以及术前相关的介入检查。</t>
  </si>
  <si>
    <t>导管，导丝，血管鞘</t>
  </si>
  <si>
    <t>自主
定价</t>
  </si>
  <si>
    <t>013107000060000</t>
  </si>
  <si>
    <t>主动脉内球囊反搏取出费</t>
  </si>
  <si>
    <t>停止并撤除球囊反搏设备。</t>
  </si>
  <si>
    <t>所定价格涵盖停止设备、球囊排气、撤除导管、缝合或压迫止血等手术步骤所需的人力资源和基本物质资源消耗。</t>
  </si>
  <si>
    <t>012408000160000</t>
  </si>
  <si>
    <t>主动脉内球囊反搏运行监测费</t>
  </si>
  <si>
    <t>持续监测患者的反搏压及心功能，根据情况进行实时调整。</t>
  </si>
  <si>
    <t>所定价格涵盖监测患者的反搏压及心功能、调整机器工作模式及参数、记录参数及患者相关指标等步骤所需的人力资源和基本物质资源消耗。</t>
  </si>
  <si>
    <t>003205000090000-320500009</t>
  </si>
  <si>
    <t>经皮主动脉气囊反搏动术（IABP）</t>
  </si>
  <si>
    <t>含主动脉气囊植入、反搏动治疗、气囊取出；不含心电、压力连续示波监护</t>
  </si>
  <si>
    <t>003205000090000-32050000901</t>
  </si>
  <si>
    <t>小儿经皮主动脉气囊反搏动术（IABP）</t>
  </si>
  <si>
    <t>012408000230000</t>
  </si>
  <si>
    <t>右心导管检查费</t>
  </si>
  <si>
    <t>通过导管检查测量中心静脉压、右心室压、心输出量、肺动脉压等指标。</t>
  </si>
  <si>
    <t>所定价格涵盖手术计划、术区准备、消毒铺巾、置入鞘管、测定压力、撤除、闭合通路等手术步骤所需的人力资源和基本物质资源消耗。</t>
  </si>
  <si>
    <t>003107020200000-310702020</t>
  </si>
  <si>
    <t>右心导管检查术</t>
  </si>
  <si>
    <t>导管、导丝</t>
  </si>
  <si>
    <t>使用大C臂数字减影X光机加收50%。血氧测定基层加收42.5元，县级医院加收50元，市级医院加收57.5元</t>
  </si>
  <si>
    <t>003107020200001-31070202002</t>
  </si>
  <si>
    <t>右心导管检查术（血氧测定）</t>
  </si>
  <si>
    <t>血氧测定</t>
  </si>
  <si>
    <t>003107010240000-310701024</t>
  </si>
  <si>
    <t>肺动脉压和右心房压力监测</t>
  </si>
  <si>
    <t>漂浮导管、漂浮导管置入套件</t>
  </si>
  <si>
    <t>纳入价格构成</t>
  </si>
  <si>
    <t>纳入价格构成，不测算</t>
  </si>
  <si>
    <t>012408000230001</t>
  </si>
  <si>
    <t>右心导管检查费-儿童（加收）</t>
  </si>
  <si>
    <t>012408000240000</t>
  </si>
  <si>
    <t>左心导管检查费</t>
  </si>
  <si>
    <t>通过导管检查测量主动脉压、左心室压等指标。</t>
  </si>
  <si>
    <t>003107020210000-310702021</t>
  </si>
  <si>
    <t>左心导管检查术</t>
  </si>
  <si>
    <t>包括左室造影术</t>
  </si>
  <si>
    <t>012408000240001</t>
  </si>
  <si>
    <t>左心导管检查费-儿童（加收）</t>
  </si>
  <si>
    <t>013308000080000</t>
  </si>
  <si>
    <t>主动脉瓣成形费（介入）</t>
  </si>
  <si>
    <t>通过介入的方式治疗主动脉瓣瓣膜狭窄或关闭不全。</t>
  </si>
  <si>
    <t>所定价格涵盖手术计划、术区准备、消毒铺巾、建立通路、病变瓣膜成形、撤除、闭合血管通路等手术步骤所需的人力资源和基本物质资源消耗。</t>
  </si>
  <si>
    <t>003204000010000-320400001</t>
  </si>
  <si>
    <t>经皮瓣膜球囊成形术</t>
  </si>
  <si>
    <t>包括二尖瓣，三尖瓣，主动脉瓣，肺动脉瓣球囊成形术，房间隔穿刺术</t>
  </si>
  <si>
    <t>每个瓣膜</t>
  </si>
  <si>
    <t>013308000080001</t>
  </si>
  <si>
    <t>主动脉瓣成形费（介入）-儿童（加收）</t>
  </si>
  <si>
    <t>003204000010000-32040000101</t>
  </si>
  <si>
    <t>小儿经皮瓣膜球囊成形术</t>
  </si>
  <si>
    <t>013308000080100</t>
  </si>
  <si>
    <t>主动脉瓣成形费（介入）-肺动脉瓣成形（介入）（扩展）</t>
  </si>
  <si>
    <t>013308000090000</t>
  </si>
  <si>
    <t>二尖瓣成形费（介入）</t>
  </si>
  <si>
    <t>通过介入的方式治疗二尖瓣瓣膜狭窄或关闭不全。</t>
  </si>
  <si>
    <t>县级开展量仅1例，拟定市级后按比价调整县级、基层</t>
  </si>
  <si>
    <t>003308010020000-33080100202</t>
  </si>
  <si>
    <t>经导管二尖瓣成形术</t>
  </si>
  <si>
    <t>不含大C臂数字减影X光机引导</t>
  </si>
  <si>
    <t>013308000090001</t>
  </si>
  <si>
    <t>二尖瓣成形费（介入）-儿童（加收）</t>
  </si>
  <si>
    <t>003308010020000-33080100203</t>
  </si>
  <si>
    <t>小儿经导管二尖瓣成形术</t>
  </si>
  <si>
    <t>013308000090100</t>
  </si>
  <si>
    <t>二尖瓣成形费（介入）-三尖瓣成形（介入）（扩展）</t>
  </si>
  <si>
    <t>013308000091100</t>
  </si>
  <si>
    <t>二尖瓣成形费（介入）-缘对缘修复（扩展）</t>
  </si>
  <si>
    <t>013308000100000</t>
  </si>
  <si>
    <t>主动脉瓣置换费（介入）</t>
  </si>
  <si>
    <t>通过介入的方式用人工瓣膜替换病变瓣膜。</t>
  </si>
  <si>
    <t>所定价格涵盖手术计划、术区准备、消毒铺巾、建立通路、人工瓣膜输送、撤除、闭合血管通路等手术步骤所需的人力资源和基本物质治疗消耗。</t>
  </si>
  <si>
    <t>003308010090000-33080100904</t>
  </si>
  <si>
    <t>经导管主动脉瓣置换术</t>
  </si>
  <si>
    <t>013308000100001</t>
  </si>
  <si>
    <t>主动脉瓣置换费（介入）-儿童（加收）</t>
  </si>
  <si>
    <t>003308010090000-33080100905</t>
  </si>
  <si>
    <t>小儿经导管主动脉瓣置换术</t>
  </si>
  <si>
    <t>013308000100100</t>
  </si>
  <si>
    <t>主动脉瓣置换费（介入）-肺动脉瓣置换（介入）（扩展）</t>
  </si>
  <si>
    <t>无开展量，扩展项按主项价格执行</t>
  </si>
  <si>
    <t>353204000160000-33080101102</t>
  </si>
  <si>
    <t>经导管肺动脉瓣植入术/置换术</t>
  </si>
  <si>
    <t>353204000160000-33080101103</t>
  </si>
  <si>
    <t>小儿经导管肺动脉瓣植入术/置换术</t>
  </si>
  <si>
    <t>013308000110000</t>
  </si>
  <si>
    <t>二尖瓣置换费（介入）</t>
  </si>
  <si>
    <t>003308010030000-33080100304</t>
  </si>
  <si>
    <t>经导管二尖瓣置换术</t>
  </si>
  <si>
    <t>013308000110001</t>
  </si>
  <si>
    <t>二尖瓣置换费（介入）-儿童（加收）</t>
  </si>
  <si>
    <t>003308010030000-33080100305</t>
  </si>
  <si>
    <t>小儿经导管二尖瓣置换术</t>
  </si>
  <si>
    <t>013308000110100</t>
  </si>
  <si>
    <t>二尖瓣置换费（介入）-三尖瓣置换（介入）（扩展）</t>
  </si>
  <si>
    <t>003308010050000-33080100504</t>
  </si>
  <si>
    <t>经导管三尖瓣置换术</t>
  </si>
  <si>
    <t>003308010050000-33080100505</t>
  </si>
  <si>
    <t>小儿经导管三尖瓣置换术</t>
  </si>
  <si>
    <t>013308000120000</t>
  </si>
  <si>
    <t>结构性心脏病封堵费（常规）</t>
  </si>
  <si>
    <t>通过介入的方式治疗结构性心脏病。</t>
  </si>
  <si>
    <t>所定价格涵盖手术计划、术区准备、消毒铺巾、建立通路、释放封堵装置、撤除、闭合血管通路等手术步骤所需的人力资源和基本物质资源消耗。</t>
  </si>
  <si>
    <t>1.本项目中的“常规”指：包括但不限于动脉导管未闭、房间隔缺损、室间隔缺损、卵圆孔未闭以及左心耳封堵等情况。2.同时涉及多个疾病的可分别计费。</t>
  </si>
  <si>
    <t>加权平移后按不超过省级拟定</t>
  </si>
  <si>
    <t>003204000030000-320400003</t>
  </si>
  <si>
    <t>先心病介入治疗</t>
  </si>
  <si>
    <t>包括动脉导管未闭、房室间隔缺损等</t>
  </si>
  <si>
    <t>封堵器</t>
  </si>
  <si>
    <t>353204000040000-320400004</t>
  </si>
  <si>
    <t>左心耳封堵术</t>
  </si>
  <si>
    <t>食道超声检查左心耳形态。穿刺股静脉，行房间隔穿刺，进入左房。左房内完成封堵器的导引系统交换。在食道超声和X光造影提示下，沿造影导管放置导引系统于左心耳内。沿导引系统递送封堵器，在食道超声和X光下释放封堵器，不含房间隔穿刺、监护、食道超声。</t>
  </si>
  <si>
    <t>导丝、导引系统、封堵器</t>
  </si>
  <si>
    <t>013308000120001</t>
  </si>
  <si>
    <t>结构性心脏病封堵费（常规）-儿童（加收）</t>
  </si>
  <si>
    <t>003204000030000-32040000301</t>
  </si>
  <si>
    <t>小儿先心病介入治疗</t>
  </si>
  <si>
    <t>353204000040000-32040000401</t>
  </si>
  <si>
    <t>小儿左心耳封堵术</t>
  </si>
  <si>
    <t>013308000130000</t>
  </si>
  <si>
    <t>结构性心脏病封堵费（复杂）</t>
  </si>
  <si>
    <t>通过介入的方式治疗复杂结构性心脏病。</t>
  </si>
  <si>
    <t>1.本项目中的“复杂”指：肺动静脉瘘、冠状动脉瘘、主动脉窦瘤、瓣周漏、吻合口漏。2.同时涉及多个疾病的可分别计费。</t>
  </si>
  <si>
    <t>新增，按项目间比价关系拟定</t>
  </si>
  <si>
    <t>013308000130001</t>
  </si>
  <si>
    <t>结构性心脏病封堵费（复杂）-儿童（加收）</t>
  </si>
  <si>
    <t>013308000140000</t>
  </si>
  <si>
    <t>房间隔分流费</t>
  </si>
  <si>
    <t>通过穿刺、消融、介入等方式制造房间隔交通。</t>
  </si>
  <si>
    <t>所定价格涵盖手术计划、术区准备、消毒铺巾、建立通路、制造房间隔交通、闭合血管通路等手术步骤所需的人力资源和基本物质资源消耗。</t>
  </si>
  <si>
    <t>013308000140001</t>
  </si>
  <si>
    <t>房间隔分流费-儿童（加收）</t>
  </si>
  <si>
    <t>013308000150000</t>
  </si>
  <si>
    <t>肥厚型心肌病消融费</t>
  </si>
  <si>
    <t>通过介入的方式消融肥厚的室间隔。</t>
  </si>
  <si>
    <t>所定价格涵盖手术计划、术区准备、消毒铺巾、建立通路、采用不同的消融能量或介质进行消融、撤除、闭合血管通路等手术步骤所需的人力资源和基本物质资源消耗。不含冠状动脉造影。</t>
  </si>
  <si>
    <t>本项目中的“消融能量或介质”指：包括但不限于化学、射频、冷冻、脉冲等方式。</t>
  </si>
  <si>
    <t>开展量仅市级3例，按不超过省级下调</t>
  </si>
  <si>
    <t>003205000160000-320500016</t>
  </si>
  <si>
    <t>肥厚型心肌病化学消融术</t>
  </si>
  <si>
    <t>003205000120000-320500012</t>
  </si>
  <si>
    <t>经皮激光心肌血管重建术（PMR）</t>
  </si>
  <si>
    <t>013308000150001</t>
  </si>
  <si>
    <t>肥厚型心肌病消融费-儿童（加收）</t>
  </si>
  <si>
    <t>003205000160000-32050001601</t>
  </si>
  <si>
    <t>小儿肥厚型心肌病化学消融术</t>
  </si>
  <si>
    <t>013308000160000</t>
  </si>
  <si>
    <t>心律失常消融费（常规）</t>
  </si>
  <si>
    <t>通过介入的方式消融心律失常病灶。</t>
  </si>
  <si>
    <t>所定价格涵盖手术计划、术区准备、消毒铺巾、建立通路、穿刺、采用不同的消融能量或介质进行消融、撤除、闭合血管通路等手术步骤所需的人力资源和基本物质资源消耗。</t>
  </si>
  <si>
    <t>1.本项目中的“心率失常病灶”指：包括但不限于阵发性室上性心动过速、预激综合症、I型心房扑动、房性早搏、室性早搏、房性心动过速、非器质性心脏病的室性心动过速。2.消融能量或介质包括但不限于化学、射频、冷冻、脉冲等方式。</t>
  </si>
  <si>
    <t>003107020040000-310702004</t>
  </si>
  <si>
    <t>射频消融术</t>
  </si>
  <si>
    <t>包括各种方法学的消融术</t>
  </si>
  <si>
    <t>射频导管、心导管、防间隔穿刺针及配件</t>
  </si>
  <si>
    <t>003308030150000-330803015</t>
  </si>
  <si>
    <t>心脏异常传导束切断术</t>
  </si>
  <si>
    <t>不含心表电生理标测;指冷冻法</t>
  </si>
  <si>
    <t>电切法基层医院3060元，县级医院3600元，市级医院3750元</t>
  </si>
  <si>
    <t>003308030150100-33080301501</t>
  </si>
  <si>
    <t>心脏异常传导束切断术（电切法）</t>
  </si>
  <si>
    <t>电切法</t>
  </si>
  <si>
    <t>013308000160001</t>
  </si>
  <si>
    <t>心律失常消融费（常规）-儿童（加收）</t>
  </si>
  <si>
    <t>003308030150000-33080301502</t>
  </si>
  <si>
    <t>小儿心脏异常传导束切断术</t>
  </si>
  <si>
    <t>003308030150100-33080301503</t>
  </si>
  <si>
    <t>小儿心脏异常传导束切断术（电切法）</t>
  </si>
  <si>
    <t>013308000170000</t>
  </si>
  <si>
    <t>心律失常消融费（复杂）</t>
  </si>
  <si>
    <t>通过介入的方式消融复杂心律失常病灶。</t>
  </si>
  <si>
    <t>1、本项目中的“心率失常病灶”指：心房颤动、II型心房扑动、器质性心脏病的室性心动过速。2、消融能量或介质包括但不限于化学、射频、冷冻、脉冲等方式。</t>
  </si>
  <si>
    <t>按项目间比价关系拟定，为常规的1.2倍</t>
  </si>
  <si>
    <t>013308000170001</t>
  </si>
  <si>
    <t>心律失常消融费（复杂）-儿童（加收）</t>
  </si>
  <si>
    <t xml:space="preserve">医保 </t>
  </si>
  <si>
    <t>013308000180000</t>
  </si>
  <si>
    <t>肾动脉去神经费</t>
  </si>
  <si>
    <t>通过介入的方式消融肾交感神经。</t>
  </si>
  <si>
    <t>所定价格涵盖手术计划、术区准备、消毒铺巾、穿刺、放置鞘管、消融治疗，撤除、闭合通路等手术步骤所需的人力资源和基本物质资源消耗。</t>
  </si>
  <si>
    <t>013308000180001</t>
  </si>
  <si>
    <t>肾动脉去神经费-儿童（加收）</t>
  </si>
  <si>
    <t>013308000190000</t>
  </si>
  <si>
    <t>肺动脉去神经费</t>
  </si>
  <si>
    <t>通过介入的方式消融肺交感神经。</t>
  </si>
  <si>
    <t>013308000190001</t>
  </si>
  <si>
    <t>肺动脉去神经费-儿童（加收）</t>
  </si>
  <si>
    <t>012408000250000</t>
  </si>
  <si>
    <t>有创心内电生理检查费</t>
  </si>
  <si>
    <t>通过介入的方式诱发和诊断心律失常以及验证导管消融有效性。</t>
  </si>
  <si>
    <t>所定价格涵盖介入手术计划、术区准备、消毒铺巾、建立通路、放置导管、电生理检查和分析、药物激发、撤出导管、闭合通路等手术步骤所需的人力资源和基本物质资源消耗。</t>
  </si>
  <si>
    <t>003107020030000-310702003</t>
  </si>
  <si>
    <t>有创性心内电生理检查</t>
  </si>
  <si>
    <t>包括窦房结功能测定术</t>
  </si>
  <si>
    <t>心导管、附件、电极</t>
  </si>
  <si>
    <t>003107020030000-31070200302</t>
  </si>
  <si>
    <t>有创性心内电生理检查（窦房结功能测定术）</t>
  </si>
  <si>
    <t>窦房结功能测定术</t>
  </si>
  <si>
    <t>012408000250001</t>
  </si>
  <si>
    <t>有创心内电生理检查费-儿童（加收）</t>
  </si>
  <si>
    <t>013308000200000</t>
  </si>
  <si>
    <t>植入式心电监测器安装费</t>
  </si>
  <si>
    <t>通过皮下植入心电监测器，监测患者心电活动。</t>
  </si>
  <si>
    <t>所定价格涵盖手术计划、术区准备、消毒铺巾、皮下植入、缝合，心电事件记录及存储等步骤所需的人力资源和基本物质资源消耗。</t>
  </si>
  <si>
    <t>353107010380000-310701031</t>
  </si>
  <si>
    <t>植入式心电事件记录器安置术</t>
  </si>
  <si>
    <t>皮肤清洁处理，在胸骨左缘和左胸骨中线第1-4肋间的范围内安放电极，记录不同组合的双极心电图，判断理想植入部位。消毒铺巾，局部麻醉，根据选择的植入部位做切口，制备皮下囊袋，将高妙器放进皮下囊袋后，逐层缝合皮下组织及皮肤。</t>
  </si>
  <si>
    <t>植入式心电事件记录器</t>
  </si>
  <si>
    <t>013308000200001</t>
  </si>
  <si>
    <t>植入式心电监测器安装费-儿童（加收）</t>
  </si>
  <si>
    <t>013308000210000</t>
  </si>
  <si>
    <t>植入式心电监测器取出费</t>
  </si>
  <si>
    <t>通过手术取出植入式心电监测器。</t>
  </si>
  <si>
    <t>所定价格涵盖手术计划、术区准备、消毒铺巾、取出、缝合等步骤所需的人力资源和基本物质资源消耗。</t>
  </si>
  <si>
    <t>353107010320000-310701032</t>
  </si>
  <si>
    <t>植入式心电事件记录器取出术</t>
  </si>
  <si>
    <t>皮肤清洁处理，将原植入的心电事件记录器从囊袋中取出，逐层缝合皮下组织及皮肤。</t>
  </si>
  <si>
    <t>013308000210001</t>
  </si>
  <si>
    <t>植入式心电监测器取出费-儿童（加收）</t>
  </si>
  <si>
    <t>013308000220000</t>
  </si>
  <si>
    <t>永久起搏器安装费</t>
  </si>
  <si>
    <t>通过介入的方式安装单腔、双腔或无导线永久起搏器。</t>
  </si>
  <si>
    <t>所定价格涵盖手术计划、术区准备、消毒铺巾、皮下囊袋制备、心房或心室起搏电极植入、参数调试、起搏器安置、缝合、程控测试等诊疗步骤的人力资源和基本物质资源消耗。</t>
  </si>
  <si>
    <t>提高</t>
  </si>
  <si>
    <r>
      <rPr>
        <sz val="10"/>
        <color theme="1"/>
        <rFont val="仿宋"/>
        <charset val="134"/>
      </rPr>
      <t>省级按项目间及区域间比价关系提高</t>
    </r>
    <r>
      <rPr>
        <sz val="10"/>
        <color rgb="FFC00000"/>
        <rFont val="仿宋"/>
        <charset val="134"/>
      </rPr>
      <t>（我省价格偏低）</t>
    </r>
    <r>
      <rPr>
        <sz val="10"/>
        <color theme="1"/>
        <rFont val="仿宋"/>
        <charset val="134"/>
      </rPr>
      <t>，我市按原比价关系提高，取出术为安装术的96%。</t>
    </r>
  </si>
  <si>
    <t>003107020070000-310702007</t>
  </si>
  <si>
    <t>永久起搏器安置术</t>
  </si>
  <si>
    <t>包括无导线起搏器安置术</t>
  </si>
  <si>
    <t>起搏器、心导管、电极、导管、导丝、配件</t>
  </si>
  <si>
    <t>使用大C臂数字减影X光机加收50%。起搏器囊袋修复收50%</t>
  </si>
  <si>
    <t>013308000220001</t>
  </si>
  <si>
    <t>永久起搏器安装费-儿童（加收）</t>
  </si>
  <si>
    <t>013308000220100</t>
  </si>
  <si>
    <t>永久起搏器安装费-植入式心脏复律除颤器安装（扩展）</t>
  </si>
  <si>
    <t>003107020090000-310702009</t>
  </si>
  <si>
    <t>埋藏式心脏复律除颤器安置术</t>
  </si>
  <si>
    <t>包括埋藏式心脏复律除颤器更换术</t>
  </si>
  <si>
    <t>除颤器、心导管、电极</t>
  </si>
  <si>
    <t>013308000221100</t>
  </si>
  <si>
    <t>永久起搏器安装费-植入式心脏收缩力调节器安装（扩展）</t>
  </si>
  <si>
    <t>013308000230000</t>
  </si>
  <si>
    <t>永久起搏器电极取出费</t>
  </si>
  <si>
    <t>通过介入的方式取出原永久起搏器起搏电极导线。</t>
  </si>
  <si>
    <t>所定价格涵盖手术计划、术区准备、消毒铺巾、取出原永久起搏器起搏电极导线、缝合等手术步骤所需的人力资源和基本物质资源消耗。</t>
  </si>
  <si>
    <t>003107020080000-31070200802</t>
  </si>
  <si>
    <t>永久起搏器更换术（起搏导线拔除加收）</t>
  </si>
  <si>
    <t>起搏导线拔除加收</t>
  </si>
  <si>
    <t>013308000230001</t>
  </si>
  <si>
    <t>永久起搏器电极取出费-儿童（加收）</t>
  </si>
  <si>
    <t>013308000230100</t>
  </si>
  <si>
    <t>永久起搏器电极取出费-植入式心脏复律除颤器电极取出（扩展）</t>
  </si>
  <si>
    <t>013308000231100</t>
  </si>
  <si>
    <t>永久起搏器电极取出费-植入式心脏收缩力调节器电极取出（扩展）</t>
  </si>
  <si>
    <t>013308000240000</t>
  </si>
  <si>
    <t>永久起搏器更换费</t>
  </si>
  <si>
    <t>通过介入的方式取出原起搏器，更换新的起搏器。</t>
  </si>
  <si>
    <t>所定价格涵盖手术计划、术区准备、消毒铺巾、切口囊袋，取出原起搏器、调整起搏器囊袋大小、原导线测试，导线与新起搏器连接、缝合等手术步骤所需的人力资源和基本物资消耗。</t>
  </si>
  <si>
    <t>若为器械升级手术应按照相应器械的安装费收取。</t>
  </si>
  <si>
    <t>按省级定价比例下调拟定价格，更换按原项目的90%拟定</t>
  </si>
  <si>
    <t>003107020080000-310702008</t>
  </si>
  <si>
    <t>永久起搏器更换术</t>
  </si>
  <si>
    <t>含取出术</t>
  </si>
  <si>
    <t>使用大C臂数字减影X光机加收50%。起搏导线拔除基层加收1020元，县级医院加收1200元，市级医院加收1380元</t>
  </si>
  <si>
    <t>013308000240001</t>
  </si>
  <si>
    <t>永久起搏器更换费-儿童（加收）</t>
  </si>
  <si>
    <t>013308000240100</t>
  </si>
  <si>
    <t>永久起搏器更换费-植入式心脏复律除颤器更换（扩展）</t>
  </si>
  <si>
    <t>013308000241100</t>
  </si>
  <si>
    <t>永久起搏器更换费-植入式心脏收缩力调节器更换（扩展）</t>
  </si>
  <si>
    <t>013308000250000</t>
  </si>
  <si>
    <t>永久起搏器取出费</t>
  </si>
  <si>
    <t>通过介入的方式取出原起搏器及导线。</t>
  </si>
  <si>
    <t>所定价格涵盖手术计划、术区准备、消毒铺巾、切口囊袋、取出起搏器、处理包埋原导线、缝合等手术步骤所需的人力资源和基本物资消耗。</t>
  </si>
  <si>
    <t>取出按原更换术项目的10%拟定</t>
  </si>
  <si>
    <t>013308000250001</t>
  </si>
  <si>
    <t>永久起搏器取出费-儿童（加收）</t>
  </si>
  <si>
    <t>013308000250011</t>
  </si>
  <si>
    <t>永久起搏器取出费-囊袋清创（加收）</t>
  </si>
  <si>
    <t>003107020070000-31070200702</t>
  </si>
  <si>
    <t>永久起搏器安置术-起搏器囊袋修复</t>
  </si>
  <si>
    <t>起搏器囊袋修复</t>
  </si>
  <si>
    <t>013308000250100</t>
  </si>
  <si>
    <t>永久起搏器取出费-植入式心脏复律除颤器取出（扩展）</t>
  </si>
  <si>
    <t>013308000251100</t>
  </si>
  <si>
    <t>永久起搏器取出费-植入式心脏收缩力调节器取出（扩展）</t>
  </si>
  <si>
    <t>013308000270000</t>
  </si>
  <si>
    <t>临时起搏器安装费</t>
  </si>
  <si>
    <t>通过介入方式安装并运行临时起搏器。</t>
  </si>
  <si>
    <t>所定价格涵盖手术计划、术区准备、消毒铺巾、介入方式放置电极导线，连接临时起搏器、测试参数等手术步骤所需的人力资源和基本物资消耗。</t>
  </si>
  <si>
    <t>003107020050000-310702005</t>
  </si>
  <si>
    <t>310702005</t>
  </si>
  <si>
    <t>临时起搏器安置术</t>
  </si>
  <si>
    <t>心导管、电极</t>
  </si>
  <si>
    <t>003308030170000-330803017</t>
  </si>
  <si>
    <t>心脏表面临时起搏器安置术</t>
  </si>
  <si>
    <t>起搏导线</t>
  </si>
  <si>
    <t>起搏器应用按每小时5%计价</t>
  </si>
  <si>
    <t>013308000270001</t>
  </si>
  <si>
    <t>临时起搏器安装费-儿童（加收）</t>
  </si>
  <si>
    <t>003308030170000-33080301702</t>
  </si>
  <si>
    <t>小儿心脏表面临时起搏器安置术</t>
  </si>
  <si>
    <t>013308000280000</t>
  </si>
  <si>
    <t>临时起搏器取出费</t>
  </si>
  <si>
    <t>停止并撤除临时起搏器。</t>
  </si>
  <si>
    <t>所定价格涵盖手术计划、术区准备、消毒铺巾、停止起搏、完全移除电极导线、闭合通路等手术步骤所需的人力资源和基本物资消耗。</t>
  </si>
  <si>
    <t>导线未完全移除的不计价收费。</t>
  </si>
  <si>
    <t>013308000280001</t>
  </si>
  <si>
    <t>临时起搏器取出费-儿童（加收）</t>
  </si>
  <si>
    <t>013107000070000</t>
  </si>
  <si>
    <t>临时起搏器运行监测费</t>
  </si>
  <si>
    <t>对临时起搏器参数的调整，持续提供临时性心脏起搏。</t>
  </si>
  <si>
    <t>所定价格涵盖临时起搏器参数、位置调整，功能状态的评估等步骤所需的人力资源和基本物资消耗。</t>
  </si>
  <si>
    <t>加权平移后按不超过省级拟定，同质化缩小价差</t>
  </si>
  <si>
    <t>003107020060000-310702006</t>
  </si>
  <si>
    <t>临时起搏器应用</t>
  </si>
  <si>
    <t>003308030170000-33080301701</t>
  </si>
  <si>
    <t>心脏表面临时起搏器安置术（起搏器应用）</t>
  </si>
  <si>
    <t>起搏器应用</t>
  </si>
  <si>
    <t>013308000290000</t>
  </si>
  <si>
    <t>体外循环转流费</t>
  </si>
  <si>
    <t>通过设备在手术中建立替代循环的体外系统，维持血液循环。</t>
  </si>
  <si>
    <t>所定价格涵盖患者评估、切开、穿刺、插管、管路连接、预充、转流、调试、控制、监测、撤除等步骤所需的人力资源、设备运转成本和基本物质资源消耗。</t>
  </si>
  <si>
    <t>本项目中的“微创体外循环转流”指：因手术需要开展的负压辅助静脉引流技术。计价单位小时以2小时为基础，2小时以后，每小时三甲医院按250元计价，三甲以下医院按225元计价。</t>
  </si>
  <si>
    <t>003301000170000-330100017</t>
  </si>
  <si>
    <t>体外循环</t>
  </si>
  <si>
    <t>一次性特殊消耗材料</t>
  </si>
  <si>
    <t>2小时</t>
  </si>
  <si>
    <t>每增加1小时基层加收102元，县级医院加收120元，市级医院加收125元</t>
  </si>
  <si>
    <t>003308030280000-330803028</t>
  </si>
  <si>
    <t>连续动静脉转流术</t>
  </si>
  <si>
    <t>含动脉－静脉和静脉－静脉转流的操作</t>
  </si>
  <si>
    <t>体外循环转流费（2小时以后）</t>
  </si>
  <si>
    <t>省级按项目间比价关系给予上调一倍，我市按比价关系给予提高拟定</t>
  </si>
  <si>
    <t>003301000170001-33010001701</t>
  </si>
  <si>
    <t>体外循环（每增加1小时加收）</t>
  </si>
  <si>
    <t>每小时</t>
  </si>
  <si>
    <t>每增加1小时加收</t>
  </si>
  <si>
    <t>003301000170001-33010001703</t>
  </si>
  <si>
    <t>小儿体外循环（每增加1小时加收）</t>
  </si>
  <si>
    <t>013308000290011</t>
  </si>
  <si>
    <t>体外循环转流费-微创体外循环转流（加收）</t>
  </si>
  <si>
    <t>本项目中的“微创体外循环转流”指：因手术需要开展的负压辅助静脉引流技术。</t>
  </si>
  <si>
    <t>新增加收项，比价关系拟定</t>
  </si>
  <si>
    <t>013308000290001</t>
  </si>
  <si>
    <t>体外循环转流费-儿童（加收）</t>
  </si>
  <si>
    <t>003301000170000-33010001702</t>
  </si>
  <si>
    <t>小儿体外循环</t>
  </si>
  <si>
    <t>003308030280000-33080302801</t>
  </si>
  <si>
    <t>小儿连续动静脉转流术</t>
  </si>
  <si>
    <t>013107000080000</t>
  </si>
  <si>
    <t>体外人工膜肺安装费</t>
  </si>
  <si>
    <t>通过安装人工体外膜肺，替代或辅助肺循环，实现气体交换。</t>
  </si>
  <si>
    <t>所定价格涵盖患者评估、切开、穿刺、插管、预充、血泵及膜肺连接、启动、调试、控制等步骤所需的人力资源、设备运转成本和基本物质资源消耗。</t>
  </si>
  <si>
    <t>本项目中的“体外循环辅助装置”指：通过各种原理进行短期心室循环的装置。</t>
  </si>
  <si>
    <t>原项目含撤除术，现拆分成安装费和撤除术。按省级拆分比例拟定价格（按照出按原项目的60%拟定）</t>
  </si>
  <si>
    <t>003308030250000-33080302502</t>
  </si>
  <si>
    <t>体外人工膜肺安装术</t>
  </si>
  <si>
    <t>含体外人工膜肺撤除术</t>
  </si>
  <si>
    <t>氧合器、插管、循环管路 、离心泵泵头</t>
  </si>
  <si>
    <t>013107000080001</t>
  </si>
  <si>
    <t>体外人工膜肺安装费-儿童（加收）</t>
  </si>
  <si>
    <t>003308030250000-33080302503</t>
  </si>
  <si>
    <t>小儿体外人工膜肺安装术</t>
  </si>
  <si>
    <t>013107000080100</t>
  </si>
  <si>
    <t>体外人工膜肺安装费-体外循环辅助装置安装（扩展）</t>
  </si>
  <si>
    <t>扩展</t>
  </si>
  <si>
    <t>013107000090000</t>
  </si>
  <si>
    <t>体外人工膜肺撤除费</t>
  </si>
  <si>
    <t>撤除体外膜肺。</t>
  </si>
  <si>
    <t>所定价格涵盖患者评估、减流、停机、撤除等步骤所需的人力资源、设备运转成本和基本物质资源消耗。</t>
  </si>
  <si>
    <t>原项目含撤除术，现拆分成安装费和撤除费。按省级拆分比例拟定价格（撤除费按原项目的40%拟定）</t>
  </si>
  <si>
    <t>013107000090001</t>
  </si>
  <si>
    <t>体外人工膜肺撤除费-儿童（加收）</t>
  </si>
  <si>
    <t>013107000090100</t>
  </si>
  <si>
    <t>体外人工膜肺撤除费-体外循环辅助装置撤除（扩展）</t>
  </si>
  <si>
    <t>012408000170000</t>
  </si>
  <si>
    <t>体外人工膜肺运行监测费</t>
  </si>
  <si>
    <t>在体外人工膜肺运行过程中进行人工膜肺设备运行监测。</t>
  </si>
  <si>
    <t>所定价格涵盖观察、调试、监测等步骤所需的人力资源、设备运转成本和基本物质资源消耗。不含患者基础生命体征监测。</t>
  </si>
  <si>
    <t>003308030250000-330803025</t>
  </si>
  <si>
    <t>体外人工膜肺（ECMO）</t>
  </si>
  <si>
    <t>含氧合等指标的监测</t>
  </si>
  <si>
    <t>体外人工膜肺安装术市级按3800元/次收取，县级按3420元/次收，基层按2910元/次收取；人工膜肺的膜肺更换术市级按1045元/次收取，县级按940元/次收，基层按800元/次收取；人工膜肺的血泵更换术市级按1045元/次收取，县级按940元/次收，基层按800元/次收取。</t>
  </si>
  <si>
    <t>003308030250000-33080302501</t>
  </si>
  <si>
    <t>小儿体外人工膜肺（ECMO）</t>
  </si>
  <si>
    <t>012408000170100</t>
  </si>
  <si>
    <t>体外人工膜肺运行监测费-体外循环辅助装置运行监测（扩展）</t>
  </si>
  <si>
    <t>003308030260000-330803026</t>
  </si>
  <si>
    <t>左右心室辅助循环</t>
  </si>
  <si>
    <t>003308030260000-33080302601</t>
  </si>
  <si>
    <t>小儿左右心室辅助循环</t>
  </si>
  <si>
    <t>013107000100000</t>
  </si>
  <si>
    <t>体外人工膜肺置换费</t>
  </si>
  <si>
    <t>通过对膜肺、血泵等组件进行更换。</t>
  </si>
  <si>
    <t>所定价格涵盖降低血泵流量、暂停辅助、置换组件、连接、启动、调试等步骤所需的人力资源和基本物质资源消耗。</t>
  </si>
  <si>
    <t>003308030250000-33080302504</t>
  </si>
  <si>
    <t>人工膜肺的膜肺更换术</t>
  </si>
  <si>
    <t>氧合器、循环管路</t>
  </si>
  <si>
    <t>003308030250000-33080302506</t>
  </si>
  <si>
    <t>人工膜肺的血泵更换术</t>
  </si>
  <si>
    <t>循环管路 、离心泵泵头</t>
  </si>
  <si>
    <t>013107000100001</t>
  </si>
  <si>
    <t>体外人工膜肺置换费-儿童（加收）</t>
  </si>
  <si>
    <t>003308030250000-33080302505</t>
  </si>
  <si>
    <t>小儿人工膜肺的膜肺更换术</t>
  </si>
  <si>
    <t>003308030250000-33080302507</t>
  </si>
  <si>
    <t>小儿人工膜肺的血泵更换术</t>
  </si>
  <si>
    <t>013107000100100</t>
  </si>
  <si>
    <t>体外人工膜肺置换费-体外循环辅助装置置换（扩展）</t>
  </si>
  <si>
    <t>013308000010000</t>
  </si>
  <si>
    <t>心室辅助装置植入费</t>
  </si>
  <si>
    <t>通过手术植入心室辅助装置，进行过渡性或长期机械循环支持。</t>
  </si>
  <si>
    <t>所定价格涵盖手术计划、术区准备、消毒、切开、血泵植入、人工血管吻合、缝合、处理用物等步骤所需的人力资源和基本物质资源消耗。</t>
  </si>
  <si>
    <t>无开展量，省级按项目间及区域间比价关系（我省价格处于低位）提高，我市按比价关系提高</t>
  </si>
  <si>
    <t>003308030220000-330803022</t>
  </si>
  <si>
    <t>左右心室辅助泵安装术</t>
  </si>
  <si>
    <t>含临时性插管</t>
  </si>
  <si>
    <t>人工辅助泵</t>
  </si>
  <si>
    <t>003308030220000-330803024</t>
  </si>
  <si>
    <t>含长时间转流插管</t>
  </si>
  <si>
    <t>新增分项</t>
  </si>
  <si>
    <t>心室辅助装置植入费（临时）</t>
  </si>
  <si>
    <t>临时性插管三甲医院按1150元收取，三甲以下医院按1035元收取。</t>
  </si>
  <si>
    <t>新增项，比价关系拟定</t>
  </si>
  <si>
    <t>013308000010001</t>
  </si>
  <si>
    <t>心室辅助装置植入费-儿童（加收）</t>
  </si>
  <si>
    <t>003308030220000-33080302201</t>
  </si>
  <si>
    <t>小儿左右心室辅助泵安装术</t>
  </si>
  <si>
    <t>003308030220000-33080302401</t>
  </si>
  <si>
    <t>心室辅助装置植入费（临时）-儿童（加收）</t>
  </si>
  <si>
    <t>013308000010011</t>
  </si>
  <si>
    <t>心室辅助装置植入费-再次手术（加收）</t>
  </si>
  <si>
    <t>新增加收项，比价关系拟定（主项15%）</t>
  </si>
  <si>
    <t>心室辅助装置植入费-再次手术（临时）（加收）</t>
  </si>
  <si>
    <t>013308000020000</t>
  </si>
  <si>
    <t>心室辅助装置取出费</t>
  </si>
  <si>
    <t>通过手术取出心室辅助装置。</t>
  </si>
  <si>
    <t>所定价格涵盖手术计划、术区准备、消毒、切开、停止并撤除设备、缝合、处理用物等步骤所需的人力资源和基本物质资源消耗。</t>
  </si>
  <si>
    <t>心室辅助装置置换按“心室辅助装置植入费”及“心室辅助装置取出费”收取。</t>
  </si>
  <si>
    <t>013308000020001</t>
  </si>
  <si>
    <t>心室辅助装置取出费-儿童（加收）</t>
  </si>
  <si>
    <t>013308000310000</t>
  </si>
  <si>
    <t>冠状动脉旁路移植费</t>
  </si>
  <si>
    <t>通过人工血管或生物血管，连接狭窄冠状动脉的远端和主动脉。</t>
  </si>
  <si>
    <t>所定价格涵盖手术计划、术区准备、消毒、切开、吻合血管、缝合、处理用物等步骤所需的人力资源和基本物质资源消耗。</t>
  </si>
  <si>
    <t>加权平移后取整</t>
  </si>
  <si>
    <t>003308020030000-330802003</t>
  </si>
  <si>
    <t>冠状动脉搭桥术</t>
  </si>
  <si>
    <t>含搭桥血管材料的获取术；包括大隐静脉、桡动脉、左右乳内动脉、胃网膜右动脉、腹壁下动脉等</t>
  </si>
  <si>
    <t>每支吻合血管</t>
  </si>
  <si>
    <t>每增一支市级医院加收570元，县级医院加收510元，基层加收405元</t>
  </si>
  <si>
    <t>003308020060000-330802006</t>
  </si>
  <si>
    <t>非体外循环冠状动脉搭桥术</t>
  </si>
  <si>
    <t>每增一支市级医院加收540元，县级医院加收485元，基层加收415元</t>
  </si>
  <si>
    <t>013308000310001</t>
  </si>
  <si>
    <t>冠状动脉旁路移植费-儿童（加收）</t>
  </si>
  <si>
    <t>003308020030000-33080200302</t>
  </si>
  <si>
    <t>小儿冠状动脉搭桥术</t>
  </si>
  <si>
    <t>003308020060000-33080200602</t>
  </si>
  <si>
    <t>小儿非体外循环冠状动脉搭桥术</t>
  </si>
  <si>
    <t>013308000310011</t>
  </si>
  <si>
    <t>冠状动脉旁路移植费-微创手术（加收）</t>
  </si>
  <si>
    <t>无开展量，按比价关系拟定（微创手术统一加收价格）</t>
  </si>
  <si>
    <t>003308020070000-330802007</t>
  </si>
  <si>
    <t>小切口冠状动脉搭桥术</t>
  </si>
  <si>
    <t>包括各部位的小切口（左前外、右前外、剑尺）</t>
  </si>
  <si>
    <t>003308020070000-33080200701</t>
  </si>
  <si>
    <t>小儿小切口冠状动脉搭桥术</t>
  </si>
  <si>
    <t>013308000310021</t>
  </si>
  <si>
    <t>冠状动脉旁路移植费-再次手术（加收）</t>
  </si>
  <si>
    <t>新增加收项，按30%加收</t>
  </si>
  <si>
    <t>013308000310031</t>
  </si>
  <si>
    <t>冠状动脉旁路移植费-每使用一支动脉桥（加收）</t>
  </si>
  <si>
    <t>加权平移取整</t>
  </si>
  <si>
    <t>003308020030000-33080200301</t>
  </si>
  <si>
    <t>冠状动脉搭桥术（每增一支加收）</t>
  </si>
  <si>
    <t>每增一支加收</t>
  </si>
  <si>
    <t>003308020030000-33080200303</t>
  </si>
  <si>
    <t>小儿冠状动脉搭桥术（每增一支加收）</t>
  </si>
  <si>
    <t>003308020040000-33080200401</t>
  </si>
  <si>
    <t>冠脉搭桥+换瓣术（每增一支加收）</t>
  </si>
  <si>
    <t>003308020040000-33080200403</t>
  </si>
  <si>
    <t>小儿冠脉搭桥+换瓣术（每增一支加收）</t>
  </si>
  <si>
    <t>003308020050000-33080200501</t>
  </si>
  <si>
    <t>冠脉搭桥+人工血管置换术（每增一支加收）</t>
  </si>
  <si>
    <t>003308020050000-33080200503</t>
  </si>
  <si>
    <t>小儿冠脉搭桥+人工血管置换术（每增一支加收）</t>
  </si>
  <si>
    <t>003308020060000-33080200601</t>
  </si>
  <si>
    <t>非体外循环冠状动脉搭桥术（每增一支加收）</t>
  </si>
  <si>
    <t>003308020060000-33080200603</t>
  </si>
  <si>
    <t>小儿非体外循环冠状动脉搭桥术（每增一支加收）</t>
  </si>
  <si>
    <t>013308000310041</t>
  </si>
  <si>
    <t>冠状动脉旁路移植费-冠状动脉内膜剥脱（加收）</t>
  </si>
  <si>
    <t>新增加收项，按50%加收</t>
  </si>
  <si>
    <t>013308000340000</t>
  </si>
  <si>
    <t>室壁瘤手术费</t>
  </si>
  <si>
    <t>通过各种手术方式修复室壁瘤体。</t>
  </si>
  <si>
    <t>所定价格涵盖手术计划、术区准备、消毒、切开、折叠或切除室壁瘤、缝合、处理用物等步骤所需的人力资源和基本物质资源消耗。</t>
  </si>
  <si>
    <t>平移后提高基层理顺比价（基层无开展量）</t>
  </si>
  <si>
    <t>003308030110000-330803011</t>
  </si>
  <si>
    <t>室壁瘤切除术</t>
  </si>
  <si>
    <t>包括室壁瘤切除缝合术、左心室成形术</t>
  </si>
  <si>
    <t>贴片材料</t>
  </si>
  <si>
    <t>013308000340001</t>
  </si>
  <si>
    <t>室壁瘤手术费-儿童（加收）</t>
  </si>
  <si>
    <t>003308030110000-33080301101</t>
  </si>
  <si>
    <t>小儿室壁瘤切除术</t>
  </si>
  <si>
    <t>013308000340021</t>
  </si>
  <si>
    <t>室壁瘤手术费-左室成形（加收）</t>
  </si>
  <si>
    <t>无工作量，映射项目扣除主项价格得出平移价格后按比例下调</t>
  </si>
  <si>
    <t>003308030140000-33080301402</t>
  </si>
  <si>
    <t>33080301402</t>
  </si>
  <si>
    <t>经导管左心室减容术</t>
  </si>
  <si>
    <t>003308030140000-33080301403</t>
  </si>
  <si>
    <t>小儿经导管左心室减容术</t>
  </si>
  <si>
    <t>013308000350000</t>
  </si>
  <si>
    <t>心包剥脱费</t>
  </si>
  <si>
    <t>通过手术对缩窄性心包炎进行心包剥脱。</t>
  </si>
  <si>
    <t>所定价格涵盖手术计划、术区准备、消毒、切开、剥离心包、缝合、处理用物等步骤所需的人力资源和基本物质资源消耗。</t>
  </si>
  <si>
    <t>理顺，提高</t>
  </si>
  <si>
    <t>开展较少，我市原项目价格偏低，心脏手术类项目技术难度较大，给予提高理顺比价</t>
  </si>
  <si>
    <t>003308030020000-330803002</t>
  </si>
  <si>
    <t>心包剥脱术</t>
  </si>
  <si>
    <t>包括各种原因所致心包炎的剥脱与松解</t>
  </si>
  <si>
    <t>003308030030000-330803003</t>
  </si>
  <si>
    <t>经胸腔镜心包部分切除术</t>
  </si>
  <si>
    <t>013308000350001</t>
  </si>
  <si>
    <t>心包剥脱费-儿童（加收）</t>
  </si>
  <si>
    <t>003308030020000-33080300201</t>
  </si>
  <si>
    <t>小儿心包剥脱术</t>
  </si>
  <si>
    <t>003308030030000-33080300301</t>
  </si>
  <si>
    <t>小儿经胸腔镜心包部分切除术</t>
  </si>
  <si>
    <t>013308000360000</t>
  </si>
  <si>
    <t>心脏血栓清除费</t>
  </si>
  <si>
    <t>通过手术对心房/心室血栓进行清除治疗。</t>
  </si>
  <si>
    <t>所定价格涵盖手术计划、术区准备、消毒、切开、清除血栓、缝合、处理用物等步骤所需的人力资源和基本物质资源消耗。</t>
  </si>
  <si>
    <t>无开展量，按比价关系拟定</t>
  </si>
  <si>
    <t>003308020130000-330802013</t>
  </si>
  <si>
    <t>肺动脉栓塞摘除术</t>
  </si>
  <si>
    <t>003308030120000-330803012</t>
  </si>
  <si>
    <t>心房血栓清除术</t>
  </si>
  <si>
    <t>013308000360001</t>
  </si>
  <si>
    <t>心脏血栓清除费-儿童（加收）</t>
  </si>
  <si>
    <t>003308020130000-33080201301</t>
  </si>
  <si>
    <t>小儿肺动脉栓塞摘除术</t>
  </si>
  <si>
    <t>003308030120000-33080301201</t>
  </si>
  <si>
    <t>小儿心房血栓清除术</t>
  </si>
  <si>
    <t>013308000370000</t>
  </si>
  <si>
    <t>心包开窗引流费</t>
  </si>
  <si>
    <t>通过手术对心包进行开窗及引流。</t>
  </si>
  <si>
    <t>所定价格涵盖手术计划、术区准备、消毒、切开、引出心包腔内积液、缝合、处理用物等步骤所需的人力资源和基本物质资源消耗。不含心包穿刺。</t>
  </si>
  <si>
    <t>003308030050000-330803005</t>
  </si>
  <si>
    <t>心包开窗引流术</t>
  </si>
  <si>
    <t>013308000370001</t>
  </si>
  <si>
    <t>心包开窗引流费-儿童（加收）</t>
  </si>
  <si>
    <t>003308030050000-33080300501</t>
  </si>
  <si>
    <t>小儿心包开窗引流术</t>
  </si>
  <si>
    <t>013308000380000</t>
  </si>
  <si>
    <t>心包肿瘤切除费</t>
  </si>
  <si>
    <t>通过手术对心包的肿瘤进行切除。</t>
  </si>
  <si>
    <t>所定价格涵盖手术计划、术区准备、消毒、切开、切除、缝合、处理用物等步骤所需的人力资源和基本物质资源消耗。</t>
  </si>
  <si>
    <t>003308030040000-330803004</t>
  </si>
  <si>
    <t>心包肿瘤切除术</t>
  </si>
  <si>
    <t>003308030040001-33080300402</t>
  </si>
  <si>
    <t>经胸腔镜心包肿瘤切除术</t>
  </si>
  <si>
    <t>013308000380001</t>
  </si>
  <si>
    <t>心包肿瘤切除费-儿童（加收）</t>
  </si>
  <si>
    <t>003308030040000-33080300401</t>
  </si>
  <si>
    <t>小儿心包肿瘤切除术</t>
  </si>
  <si>
    <t>003308030040001-33080300403</t>
  </si>
  <si>
    <t>小儿经胸腔镜心包肿瘤切除术</t>
  </si>
  <si>
    <t>013308000380011</t>
  </si>
  <si>
    <t>心包肿瘤切除费-恶性肿瘤（加收）</t>
  </si>
  <si>
    <t>013308000390000</t>
  </si>
  <si>
    <t>心脏肿瘤切除费</t>
  </si>
  <si>
    <t>通过手术对心脏的肿瘤进行切除。</t>
  </si>
  <si>
    <t>所定价格涵盖手术计划、术区准备、消毒、切开、切除、缝合、处理用物，必要时补片修补等步骤所需的人力资源和基本物质资源消耗。</t>
  </si>
  <si>
    <t>003308030090000-330803009</t>
  </si>
  <si>
    <t>心脏良性肿瘤摘除术</t>
  </si>
  <si>
    <t>包括心脏各部位的良性肿瘤及囊肿</t>
  </si>
  <si>
    <t>多发肿瘤市级医院加收720元，县级医院加收650元，基层加收555元</t>
  </si>
  <si>
    <t>003308030090001-33080300901</t>
  </si>
  <si>
    <t>心脏良性肿瘤摘除术（多发肿瘤）</t>
  </si>
  <si>
    <t>多发肿瘤</t>
  </si>
  <si>
    <t>003308030130000-330803013</t>
  </si>
  <si>
    <t>心房折叠术</t>
  </si>
  <si>
    <t>013308000390001</t>
  </si>
  <si>
    <t>心脏肿瘤切除费-儿童（加收）</t>
  </si>
  <si>
    <t>003308030090000-33080300902</t>
  </si>
  <si>
    <t>小儿心脏良性肿瘤摘除术</t>
  </si>
  <si>
    <t>003308030090001-33080300903</t>
  </si>
  <si>
    <t>小儿心脏良性肿瘤摘除术（多发肿瘤）</t>
  </si>
  <si>
    <t>003308030130000-33080301301</t>
  </si>
  <si>
    <t>小儿心房折叠术</t>
  </si>
  <si>
    <t>013308000390011</t>
  </si>
  <si>
    <t>心脏肿瘤切除费-恶性肿瘤（加收）</t>
  </si>
  <si>
    <t>003308030100000-330803010</t>
  </si>
  <si>
    <t>心脏恶性肿瘤摘除术</t>
  </si>
  <si>
    <t>003308030100000-33080301001</t>
  </si>
  <si>
    <t>小儿心脏恶性肿瘤摘除术</t>
  </si>
  <si>
    <t>013308000400000</t>
  </si>
  <si>
    <t>心内异物取出费</t>
  </si>
  <si>
    <t>通过手术取出心脏内的异物或植入物。</t>
  </si>
  <si>
    <t>所定价格涵盖手术计划、术区准备、消毒、切开、取出、缝合、处理用物，必要时补片修补等步骤所需的人力资源和基本物质资源消耗。</t>
  </si>
  <si>
    <t>003308030080000-330803008</t>
  </si>
  <si>
    <t>心内异物取出术</t>
  </si>
  <si>
    <t>包括心脏各部位及肺动脉内的异物</t>
  </si>
  <si>
    <t>013308000400001</t>
  </si>
  <si>
    <t>心内异物取出费-儿童（加收）</t>
  </si>
  <si>
    <t>003308030080000-33080300801</t>
  </si>
  <si>
    <t>小儿心内异物取出术</t>
  </si>
  <si>
    <t>013308000410000</t>
  </si>
  <si>
    <t>心脏破损修补费</t>
  </si>
  <si>
    <t>通过手术对破损心脏进行修补。</t>
  </si>
  <si>
    <t>所定价格涵盖手术计划、术区准备、消毒、切开、修补、缝合、处理用物，必要时补片修补等步骤所需的人力资源和基本物质资源消耗。</t>
  </si>
  <si>
    <t>003308030070000-330803007</t>
  </si>
  <si>
    <t>心脏外伤修补术</t>
  </si>
  <si>
    <t>包括清创、引流</t>
  </si>
  <si>
    <t>013308000410001</t>
  </si>
  <si>
    <t>心脏破损修补费-儿童（加收）</t>
  </si>
  <si>
    <t>003308030070000-33080300701</t>
  </si>
  <si>
    <t>小儿心脏外伤修补术</t>
  </si>
  <si>
    <t>013308000420000</t>
  </si>
  <si>
    <t>开胸心脏挤压费</t>
  </si>
  <si>
    <t>通过手术对心脏进行挤压。</t>
  </si>
  <si>
    <t>所定价格涵盖手术计划、术区准备、消毒、切开、直视心脏按压、缝合、处理用物等步骤所需的人力资源和基本物质资源消耗。</t>
  </si>
  <si>
    <t>不与体外循环各类手术费同时收费。</t>
  </si>
  <si>
    <t>003308030310000-330803031</t>
  </si>
  <si>
    <t>开胸心脏挤压术</t>
  </si>
  <si>
    <t>013308000420001</t>
  </si>
  <si>
    <t>开胸心脏挤压费-儿童（加收）</t>
  </si>
  <si>
    <t>003308030310000-33080303101</t>
  </si>
  <si>
    <t>小儿开胸心脏挤压术</t>
  </si>
  <si>
    <t>013308000430000</t>
  </si>
  <si>
    <t>室间隔部分心肌切除费</t>
  </si>
  <si>
    <t>通过手术对原发性或继发性肥厚室间隔进行切除。</t>
  </si>
  <si>
    <t>工作量仅2例，我市原项目价格较低，按照心脏类手术难度大，按项目间比价关系给予提高理顺比价关系。</t>
  </si>
  <si>
    <t>003308020240000-330802024</t>
  </si>
  <si>
    <t>左室流出道狭窄疏通术</t>
  </si>
  <si>
    <t>包括主动脉瓣下肌性、膜性狭窄的切除、肥厚性梗阻性心肌病的肌肉切除疏通</t>
  </si>
  <si>
    <t>013308000430001</t>
  </si>
  <si>
    <t>室间隔部分心肌切除费-儿童（加收）</t>
  </si>
  <si>
    <t>003308020240000-33080202401</t>
  </si>
  <si>
    <t>小儿左室流出道狭窄疏通术</t>
  </si>
  <si>
    <t>013308000440000</t>
  </si>
  <si>
    <t>心耳闭合费</t>
  </si>
  <si>
    <t>通过手术对左心耳进行闭合。</t>
  </si>
  <si>
    <t>所定价格涵盖手术计划、术区准备、消毒、切开、心内缝合或心耳闭合系统等方式闭合左心耳、缝合、处理用物，必要时补片修补等步骤所需的人力资源和基本物质资源消耗。</t>
  </si>
  <si>
    <t>新增价格</t>
  </si>
  <si>
    <t>新增价格，按比价关系拟定</t>
  </si>
  <si>
    <t>353308030400000-A330803034</t>
  </si>
  <si>
    <t>A330803034</t>
  </si>
  <si>
    <t>心耳闭合术</t>
  </si>
  <si>
    <t>全身麻醉，经胸骨正中切口或微创切口，心脏停跳或跳动下，在心耳根部行结扎术。止血，放置引流，缝合切口。不含体外循环、全身麻醉。</t>
  </si>
  <si>
    <t>心耳闭合系统</t>
  </si>
  <si>
    <t>013308000440001</t>
  </si>
  <si>
    <t>心耳闭合费-儿童（加收）</t>
  </si>
  <si>
    <t>353204000080000-33080303201</t>
  </si>
  <si>
    <t>小儿心耳结扎术</t>
  </si>
  <si>
    <t>013308000440011</t>
  </si>
  <si>
    <t>心耳闭合费-微创手术（加收）</t>
  </si>
  <si>
    <t>003308030160000-33080301604</t>
  </si>
  <si>
    <t>经胸腔镜房颤矫治术</t>
  </si>
  <si>
    <t>013308000450000</t>
  </si>
  <si>
    <t>心脏直视消融费</t>
  </si>
  <si>
    <t>通过手术的方式消融心律失常病灶。</t>
  </si>
  <si>
    <t>所定价格涵盖手术计划、术区准备、消毒、切开、消融治疗、缝合、处理用物等步骤所需的人力资源和基本物质资源消耗。</t>
  </si>
  <si>
    <t>003308030160000-330803016</t>
  </si>
  <si>
    <t>迷宫手术（房颤矫治术）</t>
  </si>
  <si>
    <t>包括各种改良方式(冷冻、电凝等)、心内直视射频消融术；不含心表电生理标测</t>
  </si>
  <si>
    <t>003308030160200-33080301601</t>
  </si>
  <si>
    <t>迷宫手术（房颤矫治术）-心内直视射频消融术</t>
  </si>
  <si>
    <t>心内直视射频消融术</t>
  </si>
  <si>
    <t>013308000450001</t>
  </si>
  <si>
    <t>心脏直视消融费-儿童（加收）</t>
  </si>
  <si>
    <t>003308030160000-33080301602</t>
  </si>
  <si>
    <t>小儿迷宫手术（房颤矫治术）</t>
  </si>
  <si>
    <t>003308030160200-33080301603</t>
  </si>
  <si>
    <t>小儿迷宫手术（房颤矫治术）-心内直视射频消融术</t>
  </si>
  <si>
    <t>013308000450011</t>
  </si>
  <si>
    <t>心脏直视消融费-微创手术（加收）</t>
  </si>
  <si>
    <r>
      <rPr>
        <sz val="10"/>
        <color theme="1"/>
        <rFont val="仿宋"/>
        <charset val="134"/>
      </rPr>
      <t>无开展量，按比价关系拟定</t>
    </r>
    <r>
      <rPr>
        <sz val="10"/>
        <color rgb="FFC00000"/>
        <rFont val="仿宋"/>
        <charset val="134"/>
      </rPr>
      <t>（微创手术统一加收价格）</t>
    </r>
  </si>
  <si>
    <t>003308030160000-33080301605</t>
  </si>
  <si>
    <t>小儿经胸腔镜房颤矫治术</t>
  </si>
  <si>
    <t>013308000460000</t>
  </si>
  <si>
    <t>法洛四联症矫治费</t>
  </si>
  <si>
    <t>通过手术对法洛四联症患者进行治疗。</t>
  </si>
  <si>
    <t>所定价格涵盖手术计划、术区准备、消毒、切开、室间隔缺损修补、右心室流出道疏通、缝合、处理用物等步骤所需的人力资源和基本物质资源消耗。</t>
  </si>
  <si>
    <t>不与“右室流出道疏通费”及“肺动脉成形费”同时收取。</t>
  </si>
  <si>
    <t>003308010220000-330801022</t>
  </si>
  <si>
    <t>法鲁氏三联症根治术</t>
  </si>
  <si>
    <t>含右室流出道扩大、疏通、房缺修补术</t>
  </si>
  <si>
    <t>003308010230000-330801023</t>
  </si>
  <si>
    <t>法鲁氏四联症根治术（大）</t>
  </si>
  <si>
    <t>含应用外通道</t>
  </si>
  <si>
    <t>003308010240000-330801024</t>
  </si>
  <si>
    <t>法鲁氏四联症根治术（中）</t>
  </si>
  <si>
    <t>含应用跨肺动脉瓣环补片</t>
  </si>
  <si>
    <t>003308010250000-330801025</t>
  </si>
  <si>
    <t>法鲁氏四联症根治术（小）</t>
  </si>
  <si>
    <t>含简单补片重建右室－肺动脉连续</t>
  </si>
  <si>
    <t>003308010260000-330801026</t>
  </si>
  <si>
    <t>复合性先天性心脏畸形矫治术</t>
  </si>
  <si>
    <t>包括完全型心内膜垫缺损合并右室双出口或法鲁氏四联症的根治术等</t>
  </si>
  <si>
    <t>013308000460001</t>
  </si>
  <si>
    <t>法洛四联症矫治费-儿童（加收）</t>
  </si>
  <si>
    <t>003308010220000-33080102201</t>
  </si>
  <si>
    <t>小儿法鲁氏三联症根治术</t>
  </si>
  <si>
    <t>003308010230000-33080102301</t>
  </si>
  <si>
    <t>小儿法鲁氏四联症根治术（大）</t>
  </si>
  <si>
    <t>003308010240000-33080102401</t>
  </si>
  <si>
    <t>小儿法鲁氏四联症根治术（中）</t>
  </si>
  <si>
    <t>003308010250000-33080102501</t>
  </si>
  <si>
    <t>小儿法鲁氏四联症根治术（小）</t>
  </si>
  <si>
    <t>003308010260000-33080102601</t>
  </si>
  <si>
    <t>小儿复合性先天性心脏畸形矫治术</t>
  </si>
  <si>
    <t>013308000470000</t>
  </si>
  <si>
    <t>房间隔缺损修补费</t>
  </si>
  <si>
    <t>通过手术对缺损房间隔进行修补。</t>
  </si>
  <si>
    <t>加权平移</t>
  </si>
  <si>
    <t>003308010170000-330801017</t>
  </si>
  <si>
    <t>房间隔缺损修补术</t>
  </si>
  <si>
    <t>包括单心房间隔再造术，Ⅰ、Ⅱ孔房缺</t>
  </si>
  <si>
    <t>003308020100000-330802010</t>
  </si>
  <si>
    <t>冠状静脉窦无顶综合征矫治术</t>
  </si>
  <si>
    <t>003308010210000-330801021</t>
  </si>
  <si>
    <t>卵圆孔修补术</t>
  </si>
  <si>
    <t>013308000470001</t>
  </si>
  <si>
    <t>房间隔缺损修补费-儿童（加收）</t>
  </si>
  <si>
    <t>003308010170000-33080101701</t>
  </si>
  <si>
    <t>小儿房间隔缺损修补术</t>
  </si>
  <si>
    <t>003308020100000-33080201001</t>
  </si>
  <si>
    <t>小儿冠状静脉窦无顶综合征矫治术</t>
  </si>
  <si>
    <t>013308000470011</t>
  </si>
  <si>
    <t>房间隔缺损修补费-微创手术（加收）</t>
  </si>
  <si>
    <r>
      <rPr>
        <sz val="10"/>
        <color theme="1"/>
        <rFont val="仿宋"/>
        <charset val="134"/>
      </rPr>
      <t>按比价关系拟定</t>
    </r>
    <r>
      <rPr>
        <sz val="10"/>
        <color rgb="FFC00000"/>
        <rFont val="仿宋"/>
        <charset val="134"/>
      </rPr>
      <t>（微创手术统一加收价格）</t>
    </r>
  </si>
  <si>
    <t>013308000480000</t>
  </si>
  <si>
    <t>房间隔造口/房间隔缺损扩大费</t>
  </si>
  <si>
    <t>通过手术建立或扩大左心房与右心房之间的通道。</t>
  </si>
  <si>
    <t>所定价格涵盖手术计划、术区准备、消毒、切开、房间隔造口或房间隔缺损扩大、缝合、处理用物等步骤所需的人力资源和基本物质资源消耗。</t>
  </si>
  <si>
    <t>003308010160000-330801016</t>
  </si>
  <si>
    <t>房间隔造口术（Blabock-Hanlon手术）</t>
  </si>
  <si>
    <t>包括切除术</t>
  </si>
  <si>
    <t>人工血管</t>
  </si>
  <si>
    <t>003308020390000-330802039</t>
  </si>
  <si>
    <t>内外通道矫治手术（Rastalli手术）</t>
  </si>
  <si>
    <t>包括大动脉转位或右室双出口等疾患的各种改良方式</t>
  </si>
  <si>
    <t>003308020450000-330802045</t>
  </si>
  <si>
    <t>外通道手术</t>
  </si>
  <si>
    <t>包括左室心尖--主动脉右房--右室；不含前以表述的特定术式中包含的外通道.如Rastalli手术等</t>
  </si>
  <si>
    <t>013308000480001</t>
  </si>
  <si>
    <t>房间隔造口/房间隔缺损扩大费-儿童（加收）</t>
  </si>
  <si>
    <t>003308010160000-33080101601</t>
  </si>
  <si>
    <t>小儿房间隔造口术（Blabock-Hanlon手术）</t>
  </si>
  <si>
    <t>003308020390000-33080203901</t>
  </si>
  <si>
    <t>小儿内外通道矫治手术（Rastalli手术）</t>
  </si>
  <si>
    <t>003308020450000-33080204501</t>
  </si>
  <si>
    <t>小儿外通道手术</t>
  </si>
  <si>
    <t>013308000490000</t>
  </si>
  <si>
    <t>室间隔缺损修补费</t>
  </si>
  <si>
    <t>通过手术对缺损室间隔进行修补。</t>
  </si>
  <si>
    <t>省级按项目间及区域间比价关系提高（我省价格偏低），我市按原比价关系提高</t>
  </si>
  <si>
    <t>003308010180000-330801018</t>
  </si>
  <si>
    <t>室间隔缺损直视修补术</t>
  </si>
  <si>
    <t>含缝合法</t>
  </si>
  <si>
    <t>室间隔缺损导管封堵术市级医院3250元，县级医院2925元，基层2340元</t>
  </si>
  <si>
    <t>003308010180000-33080101801</t>
  </si>
  <si>
    <t>室间隔缺损直视修补术-室间隔缺损导管封堵术</t>
  </si>
  <si>
    <t>室间隔缺损导管封堵术</t>
  </si>
  <si>
    <t>003308020410000-330802041</t>
  </si>
  <si>
    <t>矫正型大动脉转位伴发畸形矫治术</t>
  </si>
  <si>
    <t>包括室缺损修补术、肺动脉狭窄疏通术、左侧房室瓣成形术等</t>
  </si>
  <si>
    <t>每个部位</t>
  </si>
  <si>
    <t>003308010280000-330801028</t>
  </si>
  <si>
    <t>单心室分隔术</t>
  </si>
  <si>
    <t>013308000490001</t>
  </si>
  <si>
    <t>室间隔缺损修补费-儿童（加收）</t>
  </si>
  <si>
    <t>003308010180000-33080101802</t>
  </si>
  <si>
    <t>小儿室间隔缺损直视修补术</t>
  </si>
  <si>
    <t>003308010180000-33080101803</t>
  </si>
  <si>
    <t>小儿室间隔缺损直视修补术-室间隔缺损导管封堵术</t>
  </si>
  <si>
    <t>003308020410000-33080204101</t>
  </si>
  <si>
    <t>小儿矫正型大动脉转位伴发畸形矫治术</t>
  </si>
  <si>
    <t>003308010280000-33080102801</t>
  </si>
  <si>
    <t>小儿单心室分隔术</t>
  </si>
  <si>
    <t>013308000490011</t>
  </si>
  <si>
    <t>室间隔缺损修补费-微创手术（加收）</t>
  </si>
  <si>
    <t>013308000500000</t>
  </si>
  <si>
    <t>部分型心内膜垫缺损矫治费</t>
  </si>
  <si>
    <t>通过手术对部分缺损的心内膜垫进行修补。</t>
  </si>
  <si>
    <t>所定价格涵盖手术计划、术区准备、消毒、切开、修补、处理瓣膜裂、缝合、处理用物，必要时补片修补等步骤所需的人力资源和基本物质资源消耗。</t>
  </si>
  <si>
    <t>003308010190000-330801019</t>
  </si>
  <si>
    <t>部分型心内膜垫缺损矫治术</t>
  </si>
  <si>
    <t>包括Ⅰ孔房缺修补术、二尖瓣、三尖瓣成形术</t>
  </si>
  <si>
    <t>013308000500001</t>
  </si>
  <si>
    <t>部分型心内膜垫缺损矫治费-儿童（加收）</t>
  </si>
  <si>
    <t>003308010190000-33080101901</t>
  </si>
  <si>
    <t>小儿部分型心内膜垫缺损矫治术</t>
  </si>
  <si>
    <t>013308000500100</t>
  </si>
  <si>
    <t>部分型心内膜垫缺损矫治费-过渡性心内膜垫缺损矫治（扩展）</t>
  </si>
  <si>
    <t>013308000510000</t>
  </si>
  <si>
    <t>完全型心内膜垫缺损矫治费</t>
  </si>
  <si>
    <t>通过手术对完全缺损的心内膜垫进行修补。</t>
  </si>
  <si>
    <t>所定价格涵盖手术计划、术区准备、消毒、切开、修补、处理房室畸形、缝合、处理用物，必要时补片修补等步骤所需的人力资源和基本物质资源消耗。</t>
  </si>
  <si>
    <t>003308010200000-330801020</t>
  </si>
  <si>
    <t>完全型心内膜垫缺损矫治术</t>
  </si>
  <si>
    <t>013308000510001</t>
  </si>
  <si>
    <t>完全型心内膜垫缺损矫治费-儿童（加收）</t>
  </si>
  <si>
    <t>003308010200000-33080102001</t>
  </si>
  <si>
    <t>小儿完全型心内膜垫缺损矫治术</t>
  </si>
  <si>
    <t>013308000520000</t>
  </si>
  <si>
    <t>动脉导管闭合费</t>
  </si>
  <si>
    <t>通过手术闭合动脉导管开口。</t>
  </si>
  <si>
    <t>所定价格涵盖手术计划、术区准备、消毒、切开、闭合、缝合、处理用物等步骤所需的人力资源和基本物质资源消耗。</t>
  </si>
  <si>
    <t>003308020140000-330802014</t>
  </si>
  <si>
    <t>动脉导管闭合术</t>
  </si>
  <si>
    <t>含导管结扎、切断、缝合</t>
  </si>
  <si>
    <t>在体外循环下直视闭合术基层医院加收510元，县级医院加收600元，市级医院加收640元</t>
  </si>
  <si>
    <t>003308020140000-33080201401</t>
  </si>
  <si>
    <t>动脉导管闭合术-在体外循环下直视闭合术</t>
  </si>
  <si>
    <t>在体外循环下直视闭合术</t>
  </si>
  <si>
    <t>013308000520001</t>
  </si>
  <si>
    <t>动脉导管闭合费-儿童（加收）</t>
  </si>
  <si>
    <t>003308020140000-33080201402</t>
  </si>
  <si>
    <t>小儿动脉导管闭合术</t>
  </si>
  <si>
    <t>003308020140000-33080201403</t>
  </si>
  <si>
    <t>小儿动脉导管闭合术-在体外循环下直视闭合术</t>
  </si>
  <si>
    <t>013308000530000</t>
  </si>
  <si>
    <t>左心发育不良综合征分期手术费</t>
  </si>
  <si>
    <t>通过手术对存在左心发育不良综合征的患者进行分期手术。</t>
  </si>
  <si>
    <t>所定价格涵盖手术计划、术区准备、消毒、切开、重建左心流出通道、缝合、处理用物，必要时补片修补等步骤所需的人力资源和基本物质资源消耗。</t>
  </si>
  <si>
    <t>013308000530001</t>
  </si>
  <si>
    <t>左心发育不良综合征分期手术费-儿童（加收）</t>
  </si>
  <si>
    <t>013308000540000</t>
  </si>
  <si>
    <t>左心发育不良综合征双心室修复费</t>
  </si>
  <si>
    <t>通过手术对存在左心发育不良综合征的患者进行双侧心室修复。</t>
  </si>
  <si>
    <t>所定价格涵盖手术计划、术区准备、消毒、切开、二尖瓣成形、主动脉瓣成形、主动脉成形、缝合、处理用物等步骤所需的人力资源和基本物质资源消耗。</t>
  </si>
  <si>
    <t>013308000540001</t>
  </si>
  <si>
    <t>左心发育不良综合征双心室修复费-儿童（加收）</t>
  </si>
  <si>
    <t>013308000550000</t>
  </si>
  <si>
    <t>右室流出道疏通费</t>
  </si>
  <si>
    <t>通过手术对右心室流出道梗阻进行疏通。</t>
  </si>
  <si>
    <t>所定价格涵盖手术计划、术区准备、消毒、切开、疏通、缝合、处理用物等步骤所需的人力资源和基本物质资源消耗。</t>
  </si>
  <si>
    <t>013308000550001</t>
  </si>
  <si>
    <t>右室流出道疏通费-儿童（加收）</t>
  </si>
  <si>
    <t>013308000550100</t>
  </si>
  <si>
    <t>右室流出道疏通费-右室双腔心矫治术（扩展）</t>
  </si>
  <si>
    <t>013308000560000</t>
  </si>
  <si>
    <t>右心室双出口矫治费</t>
  </si>
  <si>
    <t>通过手术对存在双出口畸形的右心室进行治疗。</t>
  </si>
  <si>
    <t>所定价格涵盖手术计划、术区准备、消毒、切开、建立内隧道、修补、主动脉隔至左室、缝合、处理用物等步骤所需的人力资源和基本物质资源消耗。</t>
  </si>
  <si>
    <t>无开展量，省级按项目间及区域间比价关系下调，我市按比价关系下调拟定</t>
  </si>
  <si>
    <t>003308020180000-330802018</t>
  </si>
  <si>
    <t>右室双出口矫治术</t>
  </si>
  <si>
    <t>包括内隧道或内通道或左室流出道成形及右室流出道成形术</t>
  </si>
  <si>
    <t>003308020360000-330802036</t>
  </si>
  <si>
    <t>动脉调转术（Switch术）</t>
  </si>
  <si>
    <t>包括完全型大动脉转位、右室双出口</t>
  </si>
  <si>
    <t>013308000560001</t>
  </si>
  <si>
    <t>右心室双出口矫治费-儿童（加收）</t>
  </si>
  <si>
    <t>003308020180000-33080201801</t>
  </si>
  <si>
    <t>小儿右室双出口矫治术</t>
  </si>
  <si>
    <t>003308020360000-33080203601</t>
  </si>
  <si>
    <t>小儿动脉调转术（Switch术）</t>
  </si>
  <si>
    <t>013308000570000</t>
  </si>
  <si>
    <t>心房调转费</t>
  </si>
  <si>
    <t>通过手术对大动脉转位畸形进行矫正。</t>
  </si>
  <si>
    <t>所定价格涵盖手术计划、术区准备、消毒、切开、自体或异体组织构建调转通道、缝合、处理用物等步骤所需的人力资源和基本物质资源消耗。</t>
  </si>
  <si>
    <t>无开展量，平移后按项目间比价关系和与省级比价关系给予调高</t>
  </si>
  <si>
    <t>003308020370000-330802037</t>
  </si>
  <si>
    <t>心房调转术</t>
  </si>
  <si>
    <t>包括各种改良的术式</t>
  </si>
  <si>
    <t>013308000570001</t>
  </si>
  <si>
    <t>心房调转费-儿童（加收）</t>
  </si>
  <si>
    <t>003308020370000-33080203701</t>
  </si>
  <si>
    <t>小儿心房调转术</t>
  </si>
  <si>
    <t>013308000580000</t>
  </si>
  <si>
    <t>三房心矫治费</t>
  </si>
  <si>
    <t>通过手术对三房心畸形进行矫正。</t>
  </si>
  <si>
    <t>所定价格涵盖手术计划、术区准备、消毒、切开、切除、修补、主动脉成形、缝合、处理用物等步骤所需的人力资源和基本物质资源消耗。</t>
  </si>
  <si>
    <t>003308010270000-330801027</t>
  </si>
  <si>
    <t>三房心矫治术</t>
  </si>
  <si>
    <t>包括房间隔缺损修补术及二尖瓣上隔膜切除术</t>
  </si>
  <si>
    <t>013308000580001</t>
  </si>
  <si>
    <t>三房心矫治费-儿童（加收）</t>
  </si>
  <si>
    <t>003308010270000-33080102701</t>
  </si>
  <si>
    <t>小儿三房心矫治术</t>
  </si>
  <si>
    <t>013308000590000</t>
  </si>
  <si>
    <t>主动脉瓣成形费</t>
  </si>
  <si>
    <t>通过手术对主动脉瓣瓣膜进行修补。</t>
  </si>
  <si>
    <t>所定价格涵盖手术计划、术区准备、消毒、切开、成形、缝合、处理用物，必要时补片修补等步骤所需的人力资源和基本物质资源消耗。</t>
  </si>
  <si>
    <t>003308010070000-330801007</t>
  </si>
  <si>
    <t>主动脉瓣上狭窄矫治术</t>
  </si>
  <si>
    <t>含狭窄切除、补片扩大成形</t>
  </si>
  <si>
    <t>003308010080000-330801008</t>
  </si>
  <si>
    <t>主动脉瓣直视成形术</t>
  </si>
  <si>
    <t>003308010080000-33080100802</t>
  </si>
  <si>
    <t>经胸腔镜主动脉瓣直视成形术</t>
  </si>
  <si>
    <t>013308000590001</t>
  </si>
  <si>
    <t>主动脉瓣成形费-儿童（加收）</t>
  </si>
  <si>
    <t>003308010070000-33080100701</t>
  </si>
  <si>
    <t>小儿主动脉瓣上狭窄矫治术</t>
  </si>
  <si>
    <t>003308010080000-33080100801</t>
  </si>
  <si>
    <t>小儿主动脉瓣直视成形术</t>
  </si>
  <si>
    <t>003308010080000-33080100803</t>
  </si>
  <si>
    <t>小儿经胸腔镜主动脉瓣直视成形术</t>
  </si>
  <si>
    <t>013308000600000</t>
  </si>
  <si>
    <t>二尖瓣成形费</t>
  </si>
  <si>
    <t>通过手术对二尖瓣瓣膜进行修补。</t>
  </si>
  <si>
    <t>003308010010000-330801001</t>
  </si>
  <si>
    <t>二尖瓣闭式扩张术</t>
  </si>
  <si>
    <t>包括左右径路</t>
  </si>
  <si>
    <t>003308010020000-330801002</t>
  </si>
  <si>
    <t>二尖瓣直视成形术</t>
  </si>
  <si>
    <t>包括各种类型的二尖瓣狭窄或关闭不全的瓣膜的处理，如交界切开、睫索替代、瓣叶切除、瓣环成形等</t>
  </si>
  <si>
    <t>经导管二尖瓣成形术市级按6000元/次收取，县级按5400元/次收取，基层按4600元/次收取。</t>
  </si>
  <si>
    <t>003308030140000-330803014</t>
  </si>
  <si>
    <t>左室减容术（Batista手术）</t>
  </si>
  <si>
    <t>包括二尖瓣成形术</t>
  </si>
  <si>
    <t>经导管左心室减容术参照执行。</t>
  </si>
  <si>
    <t>013308000600001</t>
  </si>
  <si>
    <t>二尖瓣成形费-儿童（加收）</t>
  </si>
  <si>
    <t>003308010010000-33080100101</t>
  </si>
  <si>
    <t>小儿二尖瓣闭式扩张术</t>
  </si>
  <si>
    <t>003308010020000-33080100201</t>
  </si>
  <si>
    <t>小儿二尖瓣直视成形术</t>
  </si>
  <si>
    <t>003308030140000-33080301401</t>
  </si>
  <si>
    <t>小儿左室减容术（Batista手术）</t>
  </si>
  <si>
    <t>013308000600011</t>
  </si>
  <si>
    <t>二尖瓣成形费-微创手术（加收）</t>
  </si>
  <si>
    <t>013308000610000</t>
  </si>
  <si>
    <t>三尖瓣成形费</t>
  </si>
  <si>
    <t>通过手术对三尖瓣瓣膜进行修补。</t>
  </si>
  <si>
    <t>003308010040000-330801004</t>
  </si>
  <si>
    <t>三尖瓣直视成形术</t>
  </si>
  <si>
    <t>包括交界切开、瓣环环缩术</t>
  </si>
  <si>
    <t>013308000610001</t>
  </si>
  <si>
    <t>三尖瓣成形费-儿童（加收）</t>
  </si>
  <si>
    <t>003308010040000-33080100401</t>
  </si>
  <si>
    <t>小儿三尖瓣直视成形术</t>
  </si>
  <si>
    <t>013308000610011</t>
  </si>
  <si>
    <t>三尖瓣成形费-微创手术（加收）</t>
  </si>
  <si>
    <t>003308010040000-33080100402</t>
  </si>
  <si>
    <t>经胸腔镜三尖瓣直视成形术</t>
  </si>
  <si>
    <t>003308010040000-33080100403</t>
  </si>
  <si>
    <t>小儿经胸腔镜三尖瓣直视成形术</t>
  </si>
  <si>
    <t>013308000620000</t>
  </si>
  <si>
    <t>肺动脉瓣成形费</t>
  </si>
  <si>
    <t>通过手术对肺动脉瓣瓣膜进行修补。</t>
  </si>
  <si>
    <t>工作量仅1.5例，按照心脏类手术难度大，按项目间（各人工瓣成形费）比价关系给予提高市级价格理顺比价关系。</t>
  </si>
  <si>
    <t>003308010120000-330801012</t>
  </si>
  <si>
    <t>肺动脉瓣狭窄矫治术</t>
  </si>
  <si>
    <t>含肺动脉扩大补片、肺动脉瓣交界切开(或瓣成形)、右室流出道重建术</t>
  </si>
  <si>
    <t>013308000620001</t>
  </si>
  <si>
    <t>肺动脉瓣成形费-儿童（加收）</t>
  </si>
  <si>
    <t>003308010120000-33080101201</t>
  </si>
  <si>
    <t>小儿肺动脉瓣狭窄矫治术</t>
  </si>
  <si>
    <t>013308000630000</t>
  </si>
  <si>
    <t>主动脉瓣置换费</t>
  </si>
  <si>
    <t>通过手术对主动脉瓣瓣膜进行替换。</t>
  </si>
  <si>
    <t>所定价格涵盖手术计划、术区准备、消毒、切开、置换、缝合、处理用物，必要时补片修补等步骤所需的人力资源和基本物质资源消耗。</t>
  </si>
  <si>
    <t>双瓣置换术三甲医院12000元，三甲以下医院10800元。</t>
  </si>
  <si>
    <t>003308010090000-330801009</t>
  </si>
  <si>
    <t>主动脉瓣置换术</t>
  </si>
  <si>
    <t>人工瓣膜、异体动脉瓣</t>
  </si>
  <si>
    <t>经导管主动脉瓣置换术市级按6000元/次收取，县级按5400元/次收取，基层按4600元/次收取。</t>
  </si>
  <si>
    <t>主动脉瓣置换费（双瓣置换术）</t>
  </si>
  <si>
    <t>003308010140000-330801014</t>
  </si>
  <si>
    <t>双瓣置换术</t>
  </si>
  <si>
    <t>多瓣置换市级医院11700元，县级医院10530元，基层8950元</t>
  </si>
  <si>
    <t>003308010140001-33080101401</t>
  </si>
  <si>
    <t>双瓣置换术（多瓣置换）</t>
  </si>
  <si>
    <t>多瓣置换</t>
  </si>
  <si>
    <t>003308010140000-33080101402</t>
  </si>
  <si>
    <t>小儿双瓣置换术</t>
  </si>
  <si>
    <t>003308010140001-33080101403</t>
  </si>
  <si>
    <t>小儿双瓣置换术（多瓣置换）</t>
  </si>
  <si>
    <t>013308000630001</t>
  </si>
  <si>
    <t>主动脉瓣置换费-儿童（加收）</t>
  </si>
  <si>
    <t>003308010090000-33080100901</t>
  </si>
  <si>
    <t>小儿主动脉瓣置换术</t>
  </si>
  <si>
    <t>013308000630011</t>
  </si>
  <si>
    <t>主动脉瓣置换费-微创手术（加收）</t>
  </si>
  <si>
    <t>003308010090000-33080100902</t>
  </si>
  <si>
    <t>经胸腔镜主动脉瓣置换术</t>
  </si>
  <si>
    <t>003308010090000-33080100903</t>
  </si>
  <si>
    <t>小儿经胸腔镜主动脉瓣置换术</t>
  </si>
  <si>
    <t>003308010130000-330801013</t>
  </si>
  <si>
    <t>小切口瓣膜置换术</t>
  </si>
  <si>
    <t>003308010130000-33080101301</t>
  </si>
  <si>
    <t>小儿小切口瓣膜置换术</t>
  </si>
  <si>
    <t>013308000630021</t>
  </si>
  <si>
    <t>主动脉瓣置换费-根部加宽（加收）</t>
  </si>
  <si>
    <t>按项目间比价关系拟定</t>
  </si>
  <si>
    <t>003308020270000-330802027</t>
  </si>
  <si>
    <t>细小主动脉根部加宽补片成形术</t>
  </si>
  <si>
    <t>包括各种类型的加宽方式</t>
  </si>
  <si>
    <t>003308020270000-33080202701</t>
  </si>
  <si>
    <t>小儿细小主动脉根部加宽补片成形术</t>
  </si>
  <si>
    <t>013308000640000</t>
  </si>
  <si>
    <t>左室流出道扩大费</t>
  </si>
  <si>
    <t>通过手术对主动脉瓣瓣膜进行替换，同时通过补片扩大瓣环和流出道。</t>
  </si>
  <si>
    <t>所定价格涵盖手术计划、术区准备、消毒、切开、置换、补片扩大瓣环和流出道、缝合、处理用物等步骤所需的人力资源和基本物质资源消耗。</t>
  </si>
  <si>
    <t>工作量仅2例，我市原项目价格较低，按照心脏类手术难度大，按心脏瓣膜置换项目间比价关系给予提高理顺比价关系。</t>
  </si>
  <si>
    <t>003308020440000-330802044</t>
  </si>
  <si>
    <t>科诺（Konno）手术</t>
  </si>
  <si>
    <t>包括左室流出道扩大、主动脉根部扩大、右室流出道扩大及主动脉瓣替换术</t>
  </si>
  <si>
    <t>013308000640001</t>
  </si>
  <si>
    <t>左室流出道扩大费-儿童（加收）</t>
  </si>
  <si>
    <t>003308020440000-33080204401</t>
  </si>
  <si>
    <t>小儿科诺（Konno）手术</t>
  </si>
  <si>
    <t>013308000650000</t>
  </si>
  <si>
    <t>二尖瓣置换费</t>
  </si>
  <si>
    <t>通过手术对二尖瓣瓣膜进行替换。</t>
  </si>
  <si>
    <t>003308010030000-330801003</t>
  </si>
  <si>
    <t>二尖瓣替换术</t>
  </si>
  <si>
    <t>包括保留部分或全部二尖瓣装置</t>
  </si>
  <si>
    <t>经导管二尖瓣置换术市级按5800元/次收取，县级按5300元/次收取，基层按4500元/次收取。</t>
  </si>
  <si>
    <t>013308000650001</t>
  </si>
  <si>
    <t>二尖瓣置换费-儿童（加收）</t>
  </si>
  <si>
    <t>003308010030000-33080100301</t>
  </si>
  <si>
    <t>小儿二尖瓣替换术</t>
  </si>
  <si>
    <t>013308000650011</t>
  </si>
  <si>
    <t>二尖瓣置换费-微创手术（加收）</t>
  </si>
  <si>
    <t>003308010030000-33080100302</t>
  </si>
  <si>
    <t>经胸腔镜二尖瓣替换术</t>
  </si>
  <si>
    <t>003308010030000-33080100303</t>
  </si>
  <si>
    <t>小儿经胸腔镜二尖瓣替换术</t>
  </si>
  <si>
    <t>013308000650021</t>
  </si>
  <si>
    <t>二尖瓣置换费-瓣环加宽（加收）</t>
  </si>
  <si>
    <t>013308000660000</t>
  </si>
  <si>
    <t>三尖瓣置换费</t>
  </si>
  <si>
    <t>通过手术对三尖瓣瓣膜进行替换。</t>
  </si>
  <si>
    <t>工作量仅4例，我市原项目价格较低，按照心脏类手术难度大，按心脏瓣膜置换项目间比价关系给予提高理顺比价关系。</t>
  </si>
  <si>
    <t>003308010050000-330801005</t>
  </si>
  <si>
    <t>三尖瓣置换术</t>
  </si>
  <si>
    <t>经导管三尖瓣置换术市级按6000元/次收取，县级按5400元/次收取，基层按4600元/次收取。</t>
  </si>
  <si>
    <t>003308010050000-33080100502</t>
  </si>
  <si>
    <t>经胸腔镜三尖瓣置换术</t>
  </si>
  <si>
    <t>013308000660001</t>
  </si>
  <si>
    <t>三尖瓣置换费-儿童（加收）</t>
  </si>
  <si>
    <t>003308010050000-33080100501</t>
  </si>
  <si>
    <t>小儿三尖瓣置换术</t>
  </si>
  <si>
    <t>003308010050000-33080100503</t>
  </si>
  <si>
    <t>小儿经胸腔镜三尖瓣置换术</t>
  </si>
  <si>
    <t>013308000670000</t>
  </si>
  <si>
    <t>肺动脉瓣置换费</t>
  </si>
  <si>
    <t>通过手术对肺动脉瓣瓣膜进行替换。</t>
  </si>
  <si>
    <t>无工作量，按瓣膜置换项目间比价关系给予提高理顺比价关系。</t>
  </si>
  <si>
    <t>003308010110000-330801011</t>
  </si>
  <si>
    <t>肺动脉瓣置换术</t>
  </si>
  <si>
    <t>经导管肺动脉瓣植入术/置换术市级4220元/次，县级3800元/次；基层3230元/次。</t>
  </si>
  <si>
    <t>013308000670001</t>
  </si>
  <si>
    <t>肺动脉瓣置换费-儿童（加收）</t>
  </si>
  <si>
    <t>003308010110000-33080101101</t>
  </si>
  <si>
    <t>小儿肺动脉瓣置换术</t>
  </si>
  <si>
    <t>013308000680000</t>
  </si>
  <si>
    <t>冠状动脉瘘修补费</t>
  </si>
  <si>
    <t>通过手术对冠状动脉瘘进行修补。</t>
  </si>
  <si>
    <t>所定价格涵盖手术计划、术区准备、消毒、切开、切断或缝合冠状动脉、缝合、处理用物等步骤所需的人力资源和基本物质资源消耗。</t>
  </si>
  <si>
    <t>无工作量，按项目间比价关系给予提高理顺比价关系。</t>
  </si>
  <si>
    <t>003308020010000-330802001</t>
  </si>
  <si>
    <t>冠状动静脉瘘修补术</t>
  </si>
  <si>
    <t>包括冠状动脉到各个心脏部位瘘的闭合手术</t>
  </si>
  <si>
    <t>013308000680001</t>
  </si>
  <si>
    <t>冠状动脉瘘修补费-儿童（加收）</t>
  </si>
  <si>
    <t>003308020010000-33080200101</t>
  </si>
  <si>
    <t>小儿冠状动静脉瘘修补术</t>
  </si>
  <si>
    <t>013308000690000</t>
  </si>
  <si>
    <t>冠脉异常起源矫治费</t>
  </si>
  <si>
    <t>通过手术治疗冠状动脉起源异常。</t>
  </si>
  <si>
    <t>所定价格涵盖手术计划、术区准备、消毒、切开、切除、吻合，修补、缝合、处理用物等步骤所需的人力资源和基本物质资源消耗。</t>
  </si>
  <si>
    <t>003308020020000-330802002</t>
  </si>
  <si>
    <t>冠状动脉起源异常矫治术</t>
  </si>
  <si>
    <t>013308000690001</t>
  </si>
  <si>
    <t>冠脉异常起源矫治费-儿童（加收）</t>
  </si>
  <si>
    <t>003308020020000-33080200201</t>
  </si>
  <si>
    <t>小儿冠状动脉起源异常矫治术</t>
  </si>
  <si>
    <t>013308000700000</t>
  </si>
  <si>
    <t>主动脉缩窄矫治费</t>
  </si>
  <si>
    <t>通过手术对主动脉缩窄进行矫治。</t>
  </si>
  <si>
    <t>所定价格涵盖手术计划、术区准备、消毒、切开、吻合、补片成形或人工血管置换，缝合、处理用物等步骤所需的人力资源和基本物质资源消耗。</t>
  </si>
  <si>
    <t>003308020230000-330802023</t>
  </si>
  <si>
    <t>主动脉缩窄矫治术</t>
  </si>
  <si>
    <t>包括主动脉补片成形、左锁骨下动脉反转修复缩窄、人工血管移植或旁路移植或直接吻合术</t>
  </si>
  <si>
    <t>013308000700001</t>
  </si>
  <si>
    <t>主动脉缩窄矫治费-儿童（加收）</t>
  </si>
  <si>
    <t>003308020230000-33080202301</t>
  </si>
  <si>
    <t>小儿主动脉缩窄矫治术</t>
  </si>
  <si>
    <t>013308000700011</t>
  </si>
  <si>
    <t>主动脉缩窄矫治费-主动脉弓中断矫治（加收）</t>
  </si>
  <si>
    <t>无开展量，按项目间比价关系拟定</t>
  </si>
  <si>
    <t>003308020310000-330802031</t>
  </si>
  <si>
    <t>主动脉弓中断矫治术</t>
  </si>
  <si>
    <t>包括主动脉弓重建(如人工血管移植或直接吻合)、动脉导管闭合和室缺修补术</t>
  </si>
  <si>
    <t>003308020310000-33080203101</t>
  </si>
  <si>
    <t>小儿主动脉弓中断矫治术</t>
  </si>
  <si>
    <t>013308000710000</t>
  </si>
  <si>
    <t>主动脉弓成形费</t>
  </si>
  <si>
    <t>通过手术修复或重建主动脉弓。</t>
  </si>
  <si>
    <t>所定价格涵盖手术计划、术区准备、消毒、切开、成形、缝合、处理用物等步骤所需的人力资源和基本物质资源消耗。</t>
  </si>
  <si>
    <t>003308020350000-330802035</t>
  </si>
  <si>
    <t>主动脉弓降部瘤切除人工血管置换术</t>
  </si>
  <si>
    <t>包括左锁骨下动脉、左颈总动脉重建</t>
  </si>
  <si>
    <t>013308000710001</t>
  </si>
  <si>
    <t>主动脉弓成形费-儿童（加收）</t>
  </si>
  <si>
    <t>003308020350000-33080203501</t>
  </si>
  <si>
    <t>小儿主动脉弓降部瘤切除人工血管置换术</t>
  </si>
  <si>
    <t>013308000720000</t>
  </si>
  <si>
    <t>主动脉弓置换费</t>
  </si>
  <si>
    <t>通过手术对主动脉部分弓进行替换。</t>
  </si>
  <si>
    <t>所定价格涵盖手术计划、术区准备、消毒、切开、人工血管和/或支架血管替换主动脉弓、缝合、处理用物等步骤所需的人力资源和基本物质资源消耗。</t>
  </si>
  <si>
    <t>003308020330000-330802033</t>
  </si>
  <si>
    <t>主动脉弓置换术</t>
  </si>
  <si>
    <t>包括全弓、次全弓替换，除主动脉瓣以外的胸主动脉</t>
  </si>
  <si>
    <t>003308020340000-330802034</t>
  </si>
  <si>
    <t>“象鼻子”技术</t>
  </si>
  <si>
    <t>包括弓降部或胸腹主动脉处的象鼻子技术</t>
  </si>
  <si>
    <t>013308000720001</t>
  </si>
  <si>
    <t>主动脉弓置换费-儿童（加收）</t>
  </si>
  <si>
    <t>003308020330000-33080203301</t>
  </si>
  <si>
    <t>小儿主动脉弓置换术</t>
  </si>
  <si>
    <t>003308020340000-33080203401</t>
  </si>
  <si>
    <t>小儿“象鼻子”技术</t>
  </si>
  <si>
    <t>013308000720011</t>
  </si>
  <si>
    <t>主动脉弓置换费-次全弓、全弓置换（加收）</t>
  </si>
  <si>
    <t>新增加收项，按项目间比价关系拟定</t>
  </si>
  <si>
    <t>013308000730000</t>
  </si>
  <si>
    <t>主动脉血管环矫治费</t>
  </si>
  <si>
    <t>通过手术对主动脉血管环进行矫治。</t>
  </si>
  <si>
    <t>003308020320000-330802032</t>
  </si>
  <si>
    <t>先天性心脏病主动脉弓部血管环切断术</t>
  </si>
  <si>
    <t>包括各种血管环及头臂分枝起源走行异常造成的食管、气管受压解除</t>
  </si>
  <si>
    <t>013308000730001</t>
  </si>
  <si>
    <t>主动脉血管环矫治费-儿童（加收）</t>
  </si>
  <si>
    <t>003308020320000-33080203201</t>
  </si>
  <si>
    <t>小儿先天性心脏病主动脉弓部血管环切断术</t>
  </si>
  <si>
    <t>013308000740000</t>
  </si>
  <si>
    <t>主动脉根部替换费</t>
  </si>
  <si>
    <t>通过手术对主动脉根部进行替换。</t>
  </si>
  <si>
    <t>所定价格涵盖手术计划、术区准备、消毒、切开、人工或生物瓣膜及血管替换主动脉根部、吻合、缝合、处理用物，必要时补片修补等步骤所需的人力资源和基本物质资源消耗。</t>
  </si>
  <si>
    <t>003308020250000-330802025</t>
  </si>
  <si>
    <t>主动脉根部替换术</t>
  </si>
  <si>
    <t>包括Bentall手术(主动脉瓣替换、升主动脉替换和左右冠脉移植术)等</t>
  </si>
  <si>
    <t>003308020260000-330802026</t>
  </si>
  <si>
    <t>保留瓣膜的主动脉根部替换术</t>
  </si>
  <si>
    <t>包括DaridYacuob手术</t>
  </si>
  <si>
    <t>013308000740001</t>
  </si>
  <si>
    <t>主动脉根部替换费-儿童（加收）</t>
  </si>
  <si>
    <t>003308020250000-33080202501</t>
  </si>
  <si>
    <t>小儿主动脉根部替换术</t>
  </si>
  <si>
    <t>003308020260000-33080202601</t>
  </si>
  <si>
    <t>小儿保留瓣膜的主动脉根部替换术</t>
  </si>
  <si>
    <t>013308000740011</t>
  </si>
  <si>
    <t>主动脉根部替换费-保留瓣膜手术（加收）</t>
  </si>
  <si>
    <t>013308000750000</t>
  </si>
  <si>
    <t>升主动脉替换费</t>
  </si>
  <si>
    <t>通过手术对升主动脉进行替换。</t>
  </si>
  <si>
    <t>所定价格涵盖手术计划、术区准备、消毒、切开、替换、缝合、处理用物，必要时补片修补等步骤所需的人力资源和基本物质资源消耗。</t>
  </si>
  <si>
    <t>003308020290000-330802029</t>
  </si>
  <si>
    <t>升主动脉替换术</t>
  </si>
  <si>
    <t>013308000750001</t>
  </si>
  <si>
    <t>升主动脉替换费-儿童（加收）</t>
  </si>
  <si>
    <t>003308020290000-33080202901</t>
  </si>
  <si>
    <t>小儿升主动脉替换术</t>
  </si>
  <si>
    <t>013308000750100</t>
  </si>
  <si>
    <t>升主动脉替换费-升主动脉成形（扩展）</t>
  </si>
  <si>
    <t>013308000751100</t>
  </si>
  <si>
    <t>升主动脉替换费-降主动脉替换（扩展）</t>
  </si>
  <si>
    <t>013308000760000</t>
  </si>
  <si>
    <t>全胸腹主动脉置换费</t>
  </si>
  <si>
    <t>通过手术对胸腹主动脉进行替换。</t>
  </si>
  <si>
    <t>003308020430000-330802043</t>
  </si>
  <si>
    <t>复合性人工血管置换术</t>
  </si>
  <si>
    <t>包括两种以上的重要术式，如主动脉根部置换术加主动脉弓部置换术加升主动脉置换术等</t>
  </si>
  <si>
    <t>013308000760001</t>
  </si>
  <si>
    <t>全胸腹主动脉置换费-儿童（加收）</t>
  </si>
  <si>
    <t>003308020430000-33080204301</t>
  </si>
  <si>
    <t>小儿复合性人工血管置换术</t>
  </si>
  <si>
    <t>013308000770000</t>
  </si>
  <si>
    <t>主动脉窦瘤破裂修补费</t>
  </si>
  <si>
    <t>通过手术对破裂的主动脉窦瘤进行修补。</t>
  </si>
  <si>
    <t>所定价格涵盖手术计划、术区准备、消毒、切开、修补、缝合、处理用物等步骤所需的人力资源和基本物质资源消耗。</t>
  </si>
  <si>
    <t>工作量仅2例，心脏类手术难度大，按项目间比价关系给予提高理顺比价关系。</t>
  </si>
  <si>
    <t>003308020280000-330802028</t>
  </si>
  <si>
    <t>主动脉窦瘤破裂修补术</t>
  </si>
  <si>
    <t>包括窦破到心脏各腔室的处理</t>
  </si>
  <si>
    <t>013308000770001</t>
  </si>
  <si>
    <t>主动脉窦瘤破裂修补费-儿童（加收）</t>
  </si>
  <si>
    <t>003308020280000-33080202801</t>
  </si>
  <si>
    <t>小儿主动脉窦瘤破裂修补术</t>
  </si>
  <si>
    <t>013308000780000</t>
  </si>
  <si>
    <t>主肺动脉窗修补费</t>
  </si>
  <si>
    <t>通过手术对主肺动脉窗进行修补。</t>
  </si>
  <si>
    <t>003308020150000-330802015</t>
  </si>
  <si>
    <t>主肺动脉窗修补术</t>
  </si>
  <si>
    <t>013308000780001</t>
  </si>
  <si>
    <t>主肺动脉窗修补费-儿童（加收）</t>
  </si>
  <si>
    <t>003308020150000-33080201501</t>
  </si>
  <si>
    <t>小儿主肺动脉窗修补术</t>
  </si>
  <si>
    <t>013308000790000</t>
  </si>
  <si>
    <t>自体肺动脉瓣替换主动脉瓣费</t>
  </si>
  <si>
    <t>通过手术将患者主动脉辦替换为自身的肺动脉辦。</t>
  </si>
  <si>
    <t>所定价格涵盖手术计划、术区准备、消毒、切开、切除、吻合、缝合、处理用物等步骤所需的人力资源和基本物质资源消耗。</t>
  </si>
  <si>
    <t>无工作量，我市原项目价格仅为省级77%，按项目间比价关系给予提高理顺比价关系。</t>
  </si>
  <si>
    <t>003308010100000-330801010</t>
  </si>
  <si>
    <t>自体肺动脉瓣替换主动脉瓣术-ROSS手术</t>
  </si>
  <si>
    <t>包括各种肺动脉重建的方法</t>
  </si>
  <si>
    <t>异体动脉瓣</t>
  </si>
  <si>
    <t>013308000790001</t>
  </si>
  <si>
    <t>自体肺动脉瓣替换主动脉瓣费-儿童（加收）</t>
  </si>
  <si>
    <t>003308010100000-33080101001</t>
  </si>
  <si>
    <t>小儿自体肺动脉瓣替换主动脉瓣术-ROSS手术</t>
  </si>
  <si>
    <t>013308000800000</t>
  </si>
  <si>
    <t>双动脉根部调转费</t>
  </si>
  <si>
    <t>通过手术对主动脉及肺动脉根部进行调转。</t>
  </si>
  <si>
    <t>所定价格涵盖手术计划、术区准备、消毒、切开、主动脉瓣缝至肺动脉瓣、冠状动脉再植于主动脉根部、缝合、处理用物等步骤所需的人力资源和基本物质资源消耗。</t>
  </si>
  <si>
    <t>无工作量，按比较关系下调理顺比价关系。</t>
  </si>
  <si>
    <t>003308020380000-330802038</t>
  </si>
  <si>
    <t>双调转手术（DoubleSwitch手术）</t>
  </si>
  <si>
    <t>包括心房和心室或大动脉水平的各种组合的双调转手术</t>
  </si>
  <si>
    <t>013308000800001</t>
  </si>
  <si>
    <t>双动脉根部调转费-儿童（加收）</t>
  </si>
  <si>
    <t>003308020380000-33080203801</t>
  </si>
  <si>
    <t>小儿双调转手术（DoubleSwitch手术）</t>
  </si>
  <si>
    <t>013308000810000</t>
  </si>
  <si>
    <t>共同动脉干矫治费</t>
  </si>
  <si>
    <t>通过手术将主动脉与肺动脉分离。</t>
  </si>
  <si>
    <t>所定价格涵盖手术计划、术区准备、消毒、切开、切下肺动脉、切开右心室、带瓣管道重建右心室和肺动脉连接、缝合、处理用物，必要时补片修补等步骤所需的人力资源和基本物质资源消耗。</t>
  </si>
  <si>
    <t>003308020420000-330802042</t>
  </si>
  <si>
    <t>永存动脉干修复术</t>
  </si>
  <si>
    <t>013308000810001</t>
  </si>
  <si>
    <t>共同动脉干矫治费-儿童（加收）</t>
  </si>
  <si>
    <t>003308020420000-33080204201</t>
  </si>
  <si>
    <t>小儿永存动脉干修复术</t>
  </si>
  <si>
    <t>013308000820000</t>
  </si>
  <si>
    <t>肺动脉成形费</t>
  </si>
  <si>
    <t>通过手术对肺动脉进行成形。</t>
  </si>
  <si>
    <t>013308000820001</t>
  </si>
  <si>
    <t>肺动脉成形费-儿童（加收）</t>
  </si>
  <si>
    <t>013308000830000</t>
  </si>
  <si>
    <t>肺动脉环缩费</t>
  </si>
  <si>
    <t>通过手术在肺动脉主干或分支周围缝绕一条环带。</t>
  </si>
  <si>
    <t>所定价格涵盖手术计划、术区准备、消毒、切开、环缩、缝合、处理用物等步骤所需的人力资源和基本物质资源消耗。</t>
  </si>
  <si>
    <t>003308020120000-330802012</t>
  </si>
  <si>
    <t>肺动脉环缩术</t>
  </si>
  <si>
    <t>013308000830001</t>
  </si>
  <si>
    <t>肺动脉环缩费-儿童（加收）</t>
  </si>
  <si>
    <t>003308020120000-33080201201</t>
  </si>
  <si>
    <t>小儿肺动脉环缩术</t>
  </si>
  <si>
    <t>013308000840000</t>
  </si>
  <si>
    <t>体肺动脉分流费</t>
  </si>
  <si>
    <t>通过手术建立分流通道，将体循环的血流引导至肺循环。</t>
  </si>
  <si>
    <t>所定价格涵盖手术计划、术区准备、消毒、切开、直接连接或人工血管连接动脉、缝合、处理用物等步骤所需的人力资源和基本物质资源消耗。</t>
  </si>
  <si>
    <t>003308020160000-330802016</t>
  </si>
  <si>
    <t>先天性心脏病体肺动脉分流术</t>
  </si>
  <si>
    <t>包括经典改良各种术式</t>
  </si>
  <si>
    <t>013308000840001</t>
  </si>
  <si>
    <t>体肺动脉分流费-儿童（加收）</t>
  </si>
  <si>
    <t>003308020160000-33080201601</t>
  </si>
  <si>
    <t>小儿先天性心脏病体肺动脉分流术</t>
  </si>
  <si>
    <t>013308000850000</t>
  </si>
  <si>
    <t>肺动脉闭锁矫治费</t>
  </si>
  <si>
    <t>通过手术对肺动脉闭锁进行矫治。</t>
  </si>
  <si>
    <t>所定价格涵盖手术计划、术区准备、消毒、切开、建立隧道或带瓣管道连接、缝合、处理用物等步骤所需的人力资源和基本物质资源消耗。</t>
  </si>
  <si>
    <t>不与“肺动脉成形费”同时收取。</t>
  </si>
  <si>
    <t>003308020190000-330802019</t>
  </si>
  <si>
    <t>肺动脉闭锁矫治术</t>
  </si>
  <si>
    <t>包括室缺修补、右室肺动脉连接重建、肺动脉重建或成形、异常体肺血管切断</t>
  </si>
  <si>
    <t>013308000850001</t>
  </si>
  <si>
    <t>肺动脉闭锁矫治费-儿童（加收）</t>
  </si>
  <si>
    <t>003308020190000-33080201901</t>
  </si>
  <si>
    <t>小儿肺动脉闭锁矫治术</t>
  </si>
  <si>
    <t>013308000860000</t>
  </si>
  <si>
    <t>肺动脉吊带矫治费</t>
  </si>
  <si>
    <t>通过手术对肺动脉吊带进行矫治。</t>
  </si>
  <si>
    <t>所定价格涵盖手术计划、术区准备、消毒、切开、矫治、缝合、处理用物等步骤所需的人力资源和基本物质资源消耗。</t>
  </si>
  <si>
    <t>013308000860001</t>
  </si>
  <si>
    <t>肺动脉吊带矫治费-儿童（加收）</t>
  </si>
  <si>
    <t>013308000870000</t>
  </si>
  <si>
    <t>体静脉肺动脉吻合费</t>
  </si>
  <si>
    <t>通过手术将体静脉与肺动脉进行吻合。</t>
  </si>
  <si>
    <t>所定价格涵盖手术计划、术区准备、消毒、切开、切断、吻合、缝合、处理用物等步骤所需的人力资源和基本物质资源消耗。</t>
  </si>
  <si>
    <t>003308020110000-330802011</t>
  </si>
  <si>
    <t>上腔静脉肺动脉吻合术（双向Glenn）</t>
  </si>
  <si>
    <t>每侧</t>
  </si>
  <si>
    <t>双侧市级医院加收720元，县级医院加收650元，基层加收555元</t>
  </si>
  <si>
    <t>003308020400000-330802040</t>
  </si>
  <si>
    <t>房坦型手术（FontanType手术）</t>
  </si>
  <si>
    <t>指用于单心室矫治；包括经典房坦手术、各种改良的房坦手术及半Fontan手术等(也含各种开窗术)</t>
  </si>
  <si>
    <t>013308000870001</t>
  </si>
  <si>
    <t>体静脉肺动脉吻合费-儿童（加收）</t>
  </si>
  <si>
    <t>003308020110000-33080201102</t>
  </si>
  <si>
    <t>小儿上腔静脉肺动脉吻合术（双向Glenn）</t>
  </si>
  <si>
    <t>003308020400000-33080204001</t>
  </si>
  <si>
    <t>小儿房坦型手术（FontanType手术）</t>
  </si>
  <si>
    <t>013308000870011</t>
  </si>
  <si>
    <t>体静脉肺动脉吻合费-双侧吻合（加收）</t>
  </si>
  <si>
    <t>无工作量，按项目间比价关系拟定</t>
  </si>
  <si>
    <t>003308020110000-33080201101</t>
  </si>
  <si>
    <t>上腔静脉肺动脉吻合术（双向Glenn、双侧）</t>
  </si>
  <si>
    <t>双侧</t>
  </si>
  <si>
    <t>003308020110000-33080201103</t>
  </si>
  <si>
    <t>小儿上腔静脉肺动脉吻合术（双向Glenn、双侧）</t>
  </si>
  <si>
    <t>013308000870012</t>
  </si>
  <si>
    <t>体静脉肺动脉吻合费-全腔吻合（加收）</t>
  </si>
  <si>
    <t>003308020170000-330802017</t>
  </si>
  <si>
    <t>全腔肺动脉吻合术</t>
  </si>
  <si>
    <t>包括双向Glenn手术、下腔静脉到肺动脉内隧道或外通道手术</t>
  </si>
  <si>
    <t>003308020170000-33080201701</t>
  </si>
  <si>
    <t>小儿全腔肺动脉吻合术</t>
  </si>
  <si>
    <t>013308000880000</t>
  </si>
  <si>
    <t>体肺侧枝血管闭合费</t>
  </si>
  <si>
    <t>通过手术对异常的体肺侧枝进行结扎。</t>
  </si>
  <si>
    <t>所定价格涵盖手术计划、术区准备、消毒、切开、结扎、缝合、处理用物等步骤所需的人力资源和基本物质资源消耗。</t>
  </si>
  <si>
    <t>013308000880001</t>
  </si>
  <si>
    <t>体肺侧枝血管闭合费-儿童（加收）</t>
  </si>
  <si>
    <t>013308000890000</t>
  </si>
  <si>
    <t>部分型肺静脉畸形矫治费</t>
  </si>
  <si>
    <t>通过手术对部分型肺静脉畸形进行治疗。</t>
  </si>
  <si>
    <t>所定价格涵盖手术计划、术区准备、消毒、切开、肺静脉连接至上腔静脉、修补房间隔缺损、缝合、处理用物等步骤所需的人力资源和基本物质资源消耗。</t>
  </si>
  <si>
    <t>单纯房间隔补片修补按“房间隔缺损修补费”收取。</t>
  </si>
  <si>
    <t>无工作量，省级按项目间及区域间比价关系提高，我市按比价关系提高</t>
  </si>
  <si>
    <t>003308020200000-330802020</t>
  </si>
  <si>
    <t>部分型肺静脉畸形引流矫治术</t>
  </si>
  <si>
    <t>013308000890001</t>
  </si>
  <si>
    <t>部分型肺静脉畸形矫治费-儿童（加收）</t>
  </si>
  <si>
    <t>003308020200000-33080202001</t>
  </si>
  <si>
    <t>小儿部分型肺静脉畸形引流矫治术</t>
  </si>
  <si>
    <t>013308000890011</t>
  </si>
  <si>
    <t>部分型肺静脉畸形矫治费-上腔静脉-右心房连接重建（加收）</t>
  </si>
  <si>
    <t>003308020220000-330802022</t>
  </si>
  <si>
    <t>体静脉引流入肺静脉侧心房矫治术</t>
  </si>
  <si>
    <t>003308020220000-33080202201</t>
  </si>
  <si>
    <t>小儿体静脉引流入肺静脉侧心房矫治术</t>
  </si>
  <si>
    <t>013308000900000</t>
  </si>
  <si>
    <t>完全型肺静脉畸形矫治费</t>
  </si>
  <si>
    <t>通过手术对完全型肺静脉畸形进行治疗。</t>
  </si>
  <si>
    <t>所定价格涵盖手术计划、术区准备、消毒、切开、肺静脉连接左心房、缝合、处理用物等步骤所需的人力资源和基本物质资源消耗。</t>
  </si>
  <si>
    <t>003308020210000-330802021</t>
  </si>
  <si>
    <t>完全型肺静脉畸形引流矫治术</t>
  </si>
  <si>
    <t>包括心上型、心下型及心内型、混合型</t>
  </si>
  <si>
    <t>013308000900001</t>
  </si>
  <si>
    <t>完全型肺静脉畸形矫治费-儿童（加收）</t>
  </si>
  <si>
    <t>003308020210000-33080202101</t>
  </si>
  <si>
    <t>小儿完全型肺静脉畸形引流矫治术</t>
  </si>
  <si>
    <t>013308000910000</t>
  </si>
  <si>
    <t>肺动静脉瘘修补费</t>
  </si>
  <si>
    <t>通过手术对肺动/静脉瘘进行修补。</t>
  </si>
  <si>
    <t>所定价格涵盖手术计划、术区准备、消毒、切开、切断或缝合动脉/静脉瘘瘘孔、缝合、处理用物等步骤所需的人力资源和基本物质资源消耗。</t>
  </si>
  <si>
    <t>003308020090000-330802009</t>
  </si>
  <si>
    <t>肺动静脉瘘结扎术</t>
  </si>
  <si>
    <t>013308000910001</t>
  </si>
  <si>
    <t>肺动静脉瘘修补费-儿童（加收）</t>
  </si>
  <si>
    <t>003308020090000-33080200901</t>
  </si>
  <si>
    <t>小儿肺动静脉瘘结扎术</t>
  </si>
  <si>
    <t>013308000920000</t>
  </si>
  <si>
    <t>肺静脉狭窄矫治费</t>
  </si>
  <si>
    <t>通过手术对肺静脉狭窄进行矫治。</t>
  </si>
  <si>
    <t>013308000920001</t>
  </si>
  <si>
    <t>肺静脉狭窄矫治费-儿童（加收）</t>
  </si>
  <si>
    <t>013308000930000</t>
  </si>
  <si>
    <t>三尖瓣下移畸形矫治费</t>
  </si>
  <si>
    <t>通过手术对三尖瓣下移畸形进行矫正。</t>
  </si>
  <si>
    <t>所定价格涵盖手术计划、术区准备、消毒、切开、切除、重建、缝合、处理用物，必要时补片修补等步骤所需的人力资源和基本物质资源消耗。</t>
  </si>
  <si>
    <t>不与“三尖瓣成形费”同时收取。</t>
  </si>
  <si>
    <t>003308010060000-330801006</t>
  </si>
  <si>
    <t>330801006</t>
  </si>
  <si>
    <t>三尖瓣下移畸形矫治术（Ebstein畸形矫治术）</t>
  </si>
  <si>
    <t>含房缺修补、房化右室折叠或切除、三尖瓣成形术</t>
  </si>
  <si>
    <t>013308000930001</t>
  </si>
  <si>
    <t>三尖瓣下移畸形矫治费-儿童（加收）</t>
  </si>
  <si>
    <t>003308010060000-33080100601</t>
  </si>
  <si>
    <t>小儿三尖瓣下移畸形矫治术（Ebstein畸形矫治术）</t>
  </si>
  <si>
    <t>013308000940000</t>
  </si>
  <si>
    <t>瓣周漏修补费</t>
  </si>
  <si>
    <t>通过手术对人工瓣膜瓣周漏进行封闭或缩减。</t>
  </si>
  <si>
    <t>所定价格涵盖手术计划、术区准备、消毒、切开、缝合或堵闭瓣周漏、缝合、处理用物等步骤所需的人力资源和基本物质资源消耗。</t>
  </si>
  <si>
    <t>003308010150000-330801015</t>
  </si>
  <si>
    <t>瓣周漏修补术</t>
  </si>
  <si>
    <t>013308000940001</t>
  </si>
  <si>
    <t>瓣周漏修补费-儿童（加收）</t>
  </si>
  <si>
    <t>003308010150000-33080101501</t>
  </si>
  <si>
    <t>小儿瓣周漏修补术</t>
  </si>
  <si>
    <t>现收费
(市级)</t>
  </si>
  <si>
    <t>现收费
(县级)</t>
  </si>
  <si>
    <t>现收费
(基层)</t>
  </si>
  <si>
    <t>003308020040000-330802004</t>
  </si>
  <si>
    <t>冠脉搭桥+换瓣术</t>
  </si>
  <si>
    <t>包括瓣成形术</t>
  </si>
  <si>
    <t>003308020040000-33080200402</t>
  </si>
  <si>
    <t>小儿冠脉搭桥+换瓣术</t>
  </si>
  <si>
    <t>003308020050000-330802005</t>
  </si>
  <si>
    <t>冠脉搭桥+人工血管置换术</t>
  </si>
  <si>
    <t>003308020050000-33080200502</t>
  </si>
  <si>
    <t>小儿冠脉搭桥+人工血管置换术</t>
  </si>
  <si>
    <t>003308020300000-330802030</t>
  </si>
  <si>
    <t>升主动脉替换加主动脉瓣替换术（Wheat′s手术）</t>
  </si>
  <si>
    <t>包括升主动脉替换加主动脉瓣替换</t>
  </si>
  <si>
    <t>003308020300000-33080203001</t>
  </si>
  <si>
    <t>小儿升主动脉替换加主动脉瓣替换术（Wheat′s手术）</t>
  </si>
  <si>
    <t>id</t>
  </si>
  <si>
    <t>code</t>
  </si>
  <si>
    <t>sever_type</t>
  </si>
  <si>
    <t>change_time</t>
  </si>
  <si>
    <t>old_hilist_code</t>
  </si>
  <si>
    <t>new_hilist_code</t>
  </si>
  <si>
    <t>hilist_name</t>
  </si>
  <si>
    <t>selfpay_prop</t>
  </si>
  <si>
    <t>old_price</t>
  </si>
  <si>
    <t>old_price_city</t>
  </si>
  <si>
    <t>old_price_town</t>
  </si>
  <si>
    <t>old_price_village</t>
  </si>
  <si>
    <t>new_price</t>
  </si>
  <si>
    <t>new_price_city</t>
  </si>
  <si>
    <t>new_price_town</t>
  </si>
  <si>
    <t>new_price_village</t>
  </si>
  <si>
    <t>unit</t>
  </si>
  <si>
    <t>batch</t>
  </si>
  <si>
    <t>is_use_old</t>
  </si>
  <si>
    <t>merge_type</t>
  </si>
  <si>
    <t>cnt_change_model</t>
  </si>
  <si>
    <t>cnt_change_value</t>
  </si>
  <si>
    <t>null</t>
  </si>
  <si>
    <t>2026-03-24 00:00:00</t>
  </si>
  <si>
    <t>merge</t>
  </si>
  <si>
    <t>main</t>
  </si>
  <si>
    <t>normal</t>
  </si>
  <si>
    <t>limit</t>
  </si>
  <si>
    <t>server_list_id</t>
  </si>
  <si>
    <t>is_main</t>
  </si>
  <si>
    <t>main_code</t>
  </si>
  <si>
    <t>A</t>
  </si>
  <si>
    <t>B</t>
  </si>
  <si>
    <t>C</t>
  </si>
  <si>
    <t>D</t>
  </si>
  <si>
    <t>E</t>
  </si>
  <si>
    <t>F</t>
  </si>
  <si>
    <t>G</t>
  </si>
  <si>
    <t>H</t>
  </si>
  <si>
    <t>I</t>
  </si>
  <si>
    <t>J</t>
  </si>
  <si>
    <t>K</t>
  </si>
  <si>
    <t>L</t>
  </si>
  <si>
    <t>M</t>
  </si>
  <si>
    <t>N</t>
  </si>
  <si>
    <t>O</t>
  </si>
  <si>
    <t>P</t>
  </si>
  <si>
    <t>Q</t>
  </si>
  <si>
    <t>R</t>
  </si>
  <si>
    <t>S</t>
  </si>
  <si>
    <t>T</t>
  </si>
  <si>
    <t>U</t>
  </si>
  <si>
    <t>V</t>
  </si>
  <si>
    <t>W</t>
  </si>
  <si>
    <t>X</t>
  </si>
  <si>
    <t>Y</t>
  </si>
  <si>
    <t>list_type</t>
  </si>
  <si>
    <t>list_type_name</t>
  </si>
  <si>
    <t>数量3</t>
  </si>
  <si>
    <t>数量2</t>
  </si>
  <si>
    <t>数量1</t>
  </si>
  <si>
    <t>预计差额3</t>
  </si>
  <si>
    <t>预计差额2</t>
  </si>
  <si>
    <t>预计差额1</t>
  </si>
  <si>
    <t>实际差额3</t>
  </si>
  <si>
    <t>实际差额2</t>
  </si>
  <si>
    <t>实际差额1</t>
  </si>
  <si>
    <t>服务项目</t>
  </si>
  <si>
    <t>sum</t>
  </si>
  <si>
    <t>set</t>
  </si>
</sst>
</file>

<file path=xl/styles.xml><?xml version="1.0" encoding="utf-8"?>
<styleSheet xmlns="http://schemas.openxmlformats.org/spreadsheetml/2006/main">
  <numFmts count="5">
    <numFmt numFmtId="176" formatCode="0.00_);[Red]\(0.00\)"/>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37">
    <font>
      <sz val="11"/>
      <color theme="1"/>
      <name val="宋体"/>
      <charset val="134"/>
      <scheme val="minor"/>
    </font>
    <font>
      <b/>
      <sz val="10"/>
      <color theme="1"/>
      <name val="Arial Unicode MS"/>
      <charset val="134"/>
    </font>
    <font>
      <sz val="6.75"/>
      <color theme="1"/>
      <name val="Arial Unicode MS"/>
      <charset val="134"/>
    </font>
    <font>
      <sz val="6.75"/>
      <color theme="1"/>
      <name val="宋体"/>
      <charset val="134"/>
      <scheme val="minor"/>
    </font>
    <font>
      <sz val="12"/>
      <name val="宋体"/>
      <charset val="134"/>
    </font>
    <font>
      <b/>
      <sz val="10"/>
      <name val="仿宋"/>
      <charset val="134"/>
    </font>
    <font>
      <sz val="10"/>
      <color theme="1"/>
      <name val="仿宋"/>
      <charset val="134"/>
    </font>
    <font>
      <sz val="22"/>
      <color theme="1"/>
      <name val="楷体"/>
      <charset val="134"/>
    </font>
    <font>
      <b/>
      <sz val="14"/>
      <color theme="1"/>
      <name val="宋体"/>
      <charset val="134"/>
      <scheme val="minor"/>
    </font>
    <font>
      <sz val="14"/>
      <color theme="1"/>
      <name val="宋体"/>
      <charset val="134"/>
      <scheme val="minor"/>
    </font>
    <font>
      <sz val="24"/>
      <color theme="1"/>
      <name val="方正小标宋简体"/>
      <charset val="134"/>
    </font>
    <font>
      <b/>
      <sz val="10"/>
      <color theme="1"/>
      <name val="仿宋"/>
      <charset val="134"/>
    </font>
    <font>
      <sz val="10"/>
      <color rgb="FFC00000"/>
      <name val="仿宋"/>
      <charset val="134"/>
    </font>
    <font>
      <sz val="10"/>
      <name val="仿宋"/>
      <charset val="134"/>
    </font>
    <font>
      <sz val="10"/>
      <color rgb="FFFF0000"/>
      <name val="仿宋"/>
      <charset val="134"/>
    </font>
    <font>
      <b/>
      <sz val="10"/>
      <color rgb="FFFF0000"/>
      <name val="仿宋"/>
      <charset val="134"/>
    </font>
    <font>
      <sz val="11"/>
      <color rgb="FFFA7D00"/>
      <name val="宋体"/>
      <charset val="134"/>
      <scheme val="minor"/>
    </font>
    <font>
      <sz val="11"/>
      <color theme="0"/>
      <name val="宋体"/>
      <charset val="134"/>
      <scheme val="minor"/>
    </font>
    <font>
      <b/>
      <sz val="11"/>
      <color theme="3"/>
      <name val="宋体"/>
      <charset val="134"/>
      <scheme val="minor"/>
    </font>
    <font>
      <u/>
      <sz val="11"/>
      <color rgb="FF0000FF"/>
      <name val="宋体"/>
      <charset val="134"/>
      <scheme val="minor"/>
    </font>
    <font>
      <b/>
      <sz val="18"/>
      <color theme="3"/>
      <name val="宋体"/>
      <charset val="134"/>
      <scheme val="minor"/>
    </font>
    <font>
      <sz val="11"/>
      <color rgb="FFFF0000"/>
      <name val="宋体"/>
      <charset val="134"/>
      <scheme val="minor"/>
    </font>
    <font>
      <i/>
      <sz val="11"/>
      <color rgb="FF7F7F7F"/>
      <name val="宋体"/>
      <charset val="134"/>
      <scheme val="minor"/>
    </font>
    <font>
      <b/>
      <sz val="11"/>
      <color rgb="FF3F3F3F"/>
      <name val="宋体"/>
      <charset val="134"/>
      <scheme val="minor"/>
    </font>
    <font>
      <b/>
      <sz val="15"/>
      <color theme="3"/>
      <name val="宋体"/>
      <charset val="134"/>
      <scheme val="minor"/>
    </font>
    <font>
      <sz val="11"/>
      <color rgb="FF9C0006"/>
      <name val="宋体"/>
      <charset val="134"/>
      <scheme val="minor"/>
    </font>
    <font>
      <sz val="11"/>
      <color rgb="FF9C6500"/>
      <name val="宋体"/>
      <charset val="134"/>
      <scheme val="minor"/>
    </font>
    <font>
      <b/>
      <sz val="11"/>
      <color theme="1"/>
      <name val="宋体"/>
      <charset val="134"/>
      <scheme val="minor"/>
    </font>
    <font>
      <b/>
      <sz val="11"/>
      <color rgb="FFFA7D00"/>
      <name val="宋体"/>
      <charset val="134"/>
      <scheme val="minor"/>
    </font>
    <font>
      <sz val="12"/>
      <color theme="1"/>
      <name val="宋体"/>
      <charset val="134"/>
      <scheme val="minor"/>
    </font>
    <font>
      <sz val="11"/>
      <color rgb="FF006100"/>
      <name val="宋体"/>
      <charset val="134"/>
      <scheme val="minor"/>
    </font>
    <font>
      <b/>
      <sz val="11"/>
      <color rgb="FFFFFFFF"/>
      <name val="宋体"/>
      <charset val="134"/>
      <scheme val="minor"/>
    </font>
    <font>
      <sz val="11"/>
      <color rgb="FF3F3F76"/>
      <name val="宋体"/>
      <charset val="134"/>
      <scheme val="minor"/>
    </font>
    <font>
      <sz val="11"/>
      <color indexed="8"/>
      <name val="宋体"/>
      <charset val="134"/>
    </font>
    <font>
      <b/>
      <sz val="13"/>
      <color theme="3"/>
      <name val="宋体"/>
      <charset val="134"/>
      <scheme val="minor"/>
    </font>
    <font>
      <u/>
      <sz val="11"/>
      <color rgb="FF800080"/>
      <name val="宋体"/>
      <charset val="134"/>
      <scheme val="minor"/>
    </font>
    <font>
      <sz val="10"/>
      <name val="Arial"/>
      <charset val="0"/>
    </font>
  </fonts>
  <fills count="40">
    <fill>
      <patternFill patternType="none"/>
    </fill>
    <fill>
      <patternFill patternType="gray125"/>
    </fill>
    <fill>
      <patternFill patternType="solid">
        <fgColor rgb="FFFFFF00"/>
        <bgColor indexed="64"/>
      </patternFill>
    </fill>
    <fill>
      <patternFill patternType="solid">
        <fgColor theme="7" tint="0.8"/>
        <bgColor indexed="64"/>
      </patternFill>
    </fill>
    <fill>
      <patternFill patternType="solid">
        <fgColor theme="5" tint="0.8"/>
        <bgColor indexed="64"/>
      </patternFill>
    </fill>
    <fill>
      <patternFill patternType="solid">
        <fgColor rgb="FFFFCD35"/>
        <bgColor indexed="64"/>
      </patternFill>
    </fill>
    <fill>
      <patternFill patternType="solid">
        <fgColor theme="2" tint="-0.1"/>
        <bgColor indexed="64"/>
      </patternFill>
    </fill>
    <fill>
      <patternFill patternType="solid">
        <fgColor theme="4" tint="0.8"/>
        <bgColor indexed="64"/>
      </patternFill>
    </fill>
    <fill>
      <patternFill patternType="solid">
        <fgColor rgb="FFE2EFDA"/>
        <bgColor indexed="64"/>
      </patternFill>
    </fill>
    <fill>
      <patternFill patternType="solid">
        <fgColor theme="4" tint="0.599993896298105"/>
        <bgColor indexed="64"/>
      </patternFill>
    </fill>
    <fill>
      <patternFill patternType="solid">
        <fgColor theme="9"/>
        <bgColor indexed="64"/>
      </patternFill>
    </fill>
    <fill>
      <patternFill patternType="solid">
        <fgColor theme="8"/>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6"/>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rgb="FFF2F2F2"/>
        <bgColor indexed="64"/>
      </patternFill>
    </fill>
    <fill>
      <patternFill patternType="solid">
        <fgColor theme="9" tint="0.599993896298105"/>
        <bgColor indexed="64"/>
      </patternFill>
    </fill>
    <fill>
      <patternFill patternType="solid">
        <fgColor rgb="FFFFC7CE"/>
        <bgColor indexed="64"/>
      </patternFill>
    </fill>
    <fill>
      <patternFill patternType="solid">
        <fgColor rgb="FFFFEB9C"/>
        <bgColor indexed="64"/>
      </patternFill>
    </fill>
    <fill>
      <patternFill patternType="solid">
        <fgColor theme="8" tint="0.799981688894314"/>
        <bgColor indexed="64"/>
      </patternFill>
    </fill>
    <fill>
      <patternFill patternType="solid">
        <fgColor rgb="FFFFFFCC"/>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rgb="FFC6EFCE"/>
        <bgColor indexed="64"/>
      </patternFill>
    </fill>
    <fill>
      <patternFill patternType="solid">
        <fgColor theme="5"/>
        <bgColor indexed="64"/>
      </patternFill>
    </fill>
    <fill>
      <patternFill patternType="solid">
        <fgColor theme="5" tint="0.399975585192419"/>
        <bgColor indexed="64"/>
      </patternFill>
    </fill>
    <fill>
      <patternFill patternType="solid">
        <fgColor rgb="FFA5A5A5"/>
        <bgColor indexed="64"/>
      </patternFill>
    </fill>
    <fill>
      <patternFill patternType="solid">
        <fgColor rgb="FFFFCC9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s>
  <cellStyleXfs count="54">
    <xf numFmtId="0" fontId="0" fillId="0" borderId="0">
      <alignment vertical="center"/>
    </xf>
    <xf numFmtId="0" fontId="29" fillId="0" borderId="0">
      <alignment vertical="center"/>
    </xf>
    <xf numFmtId="0" fontId="33" fillId="0" borderId="0">
      <alignment vertical="center"/>
    </xf>
    <xf numFmtId="0" fontId="4" fillId="0" borderId="0">
      <alignment vertical="center"/>
    </xf>
    <xf numFmtId="0" fontId="17" fillId="36" borderId="0" applyNumberFormat="0" applyBorder="0" applyAlignment="0" applyProtection="0">
      <alignment vertical="center"/>
    </xf>
    <xf numFmtId="0" fontId="0" fillId="38" borderId="0" applyNumberFormat="0" applyBorder="0" applyAlignment="0" applyProtection="0">
      <alignment vertical="center"/>
    </xf>
    <xf numFmtId="0" fontId="17" fillId="37" borderId="0" applyNumberFormat="0" applyBorder="0" applyAlignment="0" applyProtection="0">
      <alignment vertical="center"/>
    </xf>
    <xf numFmtId="0" fontId="32" fillId="34" borderId="10" applyNumberFormat="0" applyAlignment="0" applyProtection="0">
      <alignment vertical="center"/>
    </xf>
    <xf numFmtId="0" fontId="0" fillId="26" borderId="0" applyNumberFormat="0" applyBorder="0" applyAlignment="0" applyProtection="0">
      <alignment vertical="center"/>
    </xf>
    <xf numFmtId="0" fontId="0" fillId="17" borderId="0" applyNumberFormat="0" applyBorder="0" applyAlignment="0" applyProtection="0">
      <alignment vertical="center"/>
    </xf>
    <xf numFmtId="44" fontId="0" fillId="0" borderId="0" applyFont="0" applyFill="0" applyBorder="0" applyAlignment="0" applyProtection="0">
      <alignment vertical="center"/>
    </xf>
    <xf numFmtId="0" fontId="17" fillId="15" borderId="0" applyNumberFormat="0" applyBorder="0" applyAlignment="0" applyProtection="0">
      <alignment vertical="center"/>
    </xf>
    <xf numFmtId="9" fontId="0" fillId="0" borderId="0" applyFont="0" applyFill="0" applyBorder="0" applyAlignment="0" applyProtection="0">
      <alignment vertical="center"/>
    </xf>
    <xf numFmtId="0" fontId="17" fillId="32" borderId="0" applyNumberFormat="0" applyBorder="0" applyAlignment="0" applyProtection="0">
      <alignment vertical="center"/>
    </xf>
    <xf numFmtId="0" fontId="17" fillId="29" borderId="0" applyNumberFormat="0" applyBorder="0" applyAlignment="0" applyProtection="0">
      <alignment vertical="center"/>
    </xf>
    <xf numFmtId="0" fontId="17" fillId="31" borderId="0" applyNumberFormat="0" applyBorder="0" applyAlignment="0" applyProtection="0">
      <alignment vertical="center"/>
    </xf>
    <xf numFmtId="0" fontId="17" fillId="28" borderId="0" applyNumberFormat="0" applyBorder="0" applyAlignment="0" applyProtection="0">
      <alignment vertical="center"/>
    </xf>
    <xf numFmtId="0" fontId="17" fillId="13" borderId="0" applyNumberFormat="0" applyBorder="0" applyAlignment="0" applyProtection="0">
      <alignment vertical="center"/>
    </xf>
    <xf numFmtId="0" fontId="28" fillId="18" borderId="10" applyNumberFormat="0" applyAlignment="0" applyProtection="0">
      <alignment vertical="center"/>
    </xf>
    <xf numFmtId="0" fontId="17" fillId="39" borderId="0" applyNumberFormat="0" applyBorder="0" applyAlignment="0" applyProtection="0">
      <alignment vertical="center"/>
    </xf>
    <xf numFmtId="0" fontId="26" fillId="21" borderId="0" applyNumberFormat="0" applyBorder="0" applyAlignment="0" applyProtection="0">
      <alignment vertical="center"/>
    </xf>
    <xf numFmtId="0" fontId="0" fillId="22" borderId="0" applyNumberFormat="0" applyBorder="0" applyAlignment="0" applyProtection="0">
      <alignment vertical="center"/>
    </xf>
    <xf numFmtId="0" fontId="30" fillId="30" borderId="0" applyNumberFormat="0" applyBorder="0" applyAlignment="0" applyProtection="0">
      <alignment vertical="center"/>
    </xf>
    <xf numFmtId="0" fontId="0" fillId="25" borderId="0" applyNumberFormat="0" applyBorder="0" applyAlignment="0" applyProtection="0">
      <alignment vertical="center"/>
    </xf>
    <xf numFmtId="0" fontId="27" fillId="0" borderId="9" applyNumberFormat="0" applyFill="0" applyAlignment="0" applyProtection="0">
      <alignment vertical="center"/>
    </xf>
    <xf numFmtId="0" fontId="25" fillId="20" borderId="0" applyNumberFormat="0" applyBorder="0" applyAlignment="0" applyProtection="0">
      <alignment vertical="center"/>
    </xf>
    <xf numFmtId="0" fontId="31" fillId="33" borderId="12" applyNumberFormat="0" applyAlignment="0" applyProtection="0">
      <alignment vertical="center"/>
    </xf>
    <xf numFmtId="0" fontId="23" fillId="18" borderId="7" applyNumberFormat="0" applyAlignment="0" applyProtection="0">
      <alignment vertical="center"/>
    </xf>
    <xf numFmtId="0" fontId="24" fillId="0" borderId="8" applyNumberFormat="0" applyFill="0" applyAlignment="0" applyProtection="0">
      <alignment vertical="center"/>
    </xf>
    <xf numFmtId="0" fontId="22" fillId="0" borderId="0" applyNumberFormat="0" applyFill="0" applyBorder="0" applyAlignment="0" applyProtection="0">
      <alignment vertical="center"/>
    </xf>
    <xf numFmtId="0" fontId="0" fillId="35" borderId="0" applyNumberFormat="0" applyBorder="0" applyAlignment="0" applyProtection="0">
      <alignment vertical="center"/>
    </xf>
    <xf numFmtId="0" fontId="18" fillId="0" borderId="0" applyNumberFormat="0" applyFill="0" applyBorder="0" applyAlignment="0" applyProtection="0">
      <alignment vertical="center"/>
    </xf>
    <xf numFmtId="0" fontId="36" fillId="0" borderId="0"/>
    <xf numFmtId="42" fontId="0" fillId="0" borderId="0" applyFont="0" applyFill="0" applyBorder="0" applyAlignment="0" applyProtection="0">
      <alignment vertical="center"/>
    </xf>
    <xf numFmtId="0" fontId="0" fillId="16" borderId="0" applyNumberFormat="0" applyBorder="0" applyAlignment="0" applyProtection="0">
      <alignment vertical="center"/>
    </xf>
    <xf numFmtId="43"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14" borderId="0" applyNumberFormat="0" applyBorder="0" applyAlignment="0" applyProtection="0">
      <alignment vertical="center"/>
    </xf>
    <xf numFmtId="0" fontId="21" fillId="0" borderId="0" applyNumberFormat="0" applyFill="0" applyBorder="0" applyAlignment="0" applyProtection="0">
      <alignment vertical="center"/>
    </xf>
    <xf numFmtId="0" fontId="17" fillId="12" borderId="0" applyNumberFormat="0" applyBorder="0" applyAlignment="0" applyProtection="0">
      <alignment vertical="center"/>
    </xf>
    <xf numFmtId="0" fontId="0" fillId="23" borderId="11" applyNumberFormat="0" applyFont="0" applyAlignment="0" applyProtection="0">
      <alignment vertical="center"/>
    </xf>
    <xf numFmtId="0" fontId="0" fillId="24" borderId="0" applyNumberFormat="0" applyBorder="0" applyAlignment="0" applyProtection="0">
      <alignment vertical="center"/>
    </xf>
    <xf numFmtId="0" fontId="17" fillId="11" borderId="0" applyNumberFormat="0" applyBorder="0" applyAlignment="0" applyProtection="0">
      <alignment vertical="center"/>
    </xf>
    <xf numFmtId="0" fontId="0" fillId="19" borderId="0" applyNumberFormat="0" applyBorder="0" applyAlignment="0" applyProtection="0">
      <alignment vertical="center"/>
    </xf>
    <xf numFmtId="0" fontId="19" fillId="0" borderId="0" applyNumberFormat="0" applyFill="0" applyBorder="0" applyAlignment="0" applyProtection="0">
      <alignment vertical="center"/>
    </xf>
    <xf numFmtId="41" fontId="0" fillId="0" borderId="0" applyFont="0" applyFill="0" applyBorder="0" applyAlignment="0" applyProtection="0">
      <alignment vertical="center"/>
    </xf>
    <xf numFmtId="0" fontId="4" fillId="0" borderId="0">
      <alignment vertical="center"/>
    </xf>
    <xf numFmtId="0" fontId="34" fillId="0" borderId="8" applyNumberFormat="0" applyFill="0" applyAlignment="0" applyProtection="0">
      <alignment vertical="center"/>
    </xf>
    <xf numFmtId="0" fontId="0" fillId="27" borderId="0" applyNumberFormat="0" applyBorder="0" applyAlignment="0" applyProtection="0">
      <alignment vertical="center"/>
    </xf>
    <xf numFmtId="0" fontId="18" fillId="0" borderId="6" applyNumberFormat="0" applyFill="0" applyAlignment="0" applyProtection="0">
      <alignment vertical="center"/>
    </xf>
    <xf numFmtId="0" fontId="17" fillId="10" borderId="0" applyNumberFormat="0" applyBorder="0" applyAlignment="0" applyProtection="0">
      <alignment vertical="center"/>
    </xf>
    <xf numFmtId="0" fontId="0" fillId="9" borderId="0" applyNumberFormat="0" applyBorder="0" applyAlignment="0" applyProtection="0">
      <alignment vertical="center"/>
    </xf>
    <xf numFmtId="0" fontId="16" fillId="0" borderId="5" applyNumberFormat="0" applyFill="0" applyAlignment="0" applyProtection="0">
      <alignment vertical="center"/>
    </xf>
  </cellStyleXfs>
  <cellXfs count="122">
    <xf numFmtId="0" fontId="0" fillId="0" borderId="0" xfId="0">
      <alignment vertical="center"/>
    </xf>
    <xf numFmtId="0" fontId="1" fillId="0" borderId="0" xfId="0" applyFont="1" applyAlignment="1">
      <alignment horizontal="center" vertical="center" wrapText="1"/>
    </xf>
    <xf numFmtId="0" fontId="2" fillId="0" borderId="0" xfId="0" applyFont="1">
      <alignment vertical="center"/>
    </xf>
    <xf numFmtId="0" fontId="3" fillId="0" borderId="0" xfId="0" applyFont="1">
      <alignment vertical="center"/>
    </xf>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0" fontId="0" fillId="0" borderId="0" xfId="0" applyAlignment="1">
      <alignment vertical="center"/>
    </xf>
    <xf numFmtId="0" fontId="0" fillId="0" borderId="0" xfId="0" applyFill="1" applyBorder="1" applyAlignment="1">
      <alignment vertical="center"/>
    </xf>
    <xf numFmtId="0" fontId="0" fillId="0" borderId="0" xfId="0" applyFont="1" applyFill="1" applyAlignment="1">
      <alignment vertical="center"/>
    </xf>
    <xf numFmtId="49" fontId="0" fillId="0" borderId="0" xfId="0" applyNumberFormat="1" applyFont="1" applyFill="1" applyBorder="1" applyAlignment="1">
      <alignment vertical="center"/>
    </xf>
    <xf numFmtId="0" fontId="4" fillId="0" borderId="0" xfId="0" applyFont="1" applyFill="1" applyAlignment="1">
      <alignment vertical="center"/>
    </xf>
    <xf numFmtId="0" fontId="0" fillId="0" borderId="0" xfId="0" applyFont="1" applyFill="1" applyBorder="1" applyAlignment="1">
      <alignment vertical="center"/>
    </xf>
    <xf numFmtId="0" fontId="0" fillId="2" borderId="0" xfId="0" applyFill="1">
      <alignment vertical="center"/>
    </xf>
    <xf numFmtId="0" fontId="0" fillId="0" borderId="0" xfId="0" applyNumberFormat="1" applyAlignment="1">
      <alignment vertical="center"/>
    </xf>
    <xf numFmtId="0" fontId="5" fillId="0" borderId="1" xfId="32" applyFont="1" applyFill="1" applyBorder="1" applyAlignment="1" applyProtection="1">
      <alignment horizontal="center" vertical="center" wrapText="1"/>
      <protection locked="0"/>
    </xf>
    <xf numFmtId="43" fontId="5" fillId="0" borderId="1" xfId="35" applyNumberFormat="1" applyFont="1" applyFill="1" applyBorder="1" applyAlignment="1" applyProtection="1">
      <alignment horizontal="center" vertical="center" wrapText="1"/>
      <protection locked="0"/>
    </xf>
    <xf numFmtId="49" fontId="6" fillId="3" borderId="1" xfId="0" applyNumberFormat="1" applyFont="1" applyFill="1" applyBorder="1" applyAlignment="1">
      <alignment horizontal="center" vertical="center" wrapText="1"/>
    </xf>
    <xf numFmtId="49" fontId="6" fillId="3" borderId="2" xfId="0" applyNumberFormat="1" applyFont="1" applyFill="1" applyBorder="1" applyAlignment="1">
      <alignment horizontal="center" vertical="center" wrapText="1"/>
    </xf>
    <xf numFmtId="49" fontId="6" fillId="3" borderId="3" xfId="0" applyNumberFormat="1" applyFont="1" applyFill="1" applyBorder="1" applyAlignment="1">
      <alignment horizontal="center" vertical="center" wrapText="1"/>
    </xf>
    <xf numFmtId="49" fontId="6" fillId="3" borderId="4" xfId="0" applyNumberFormat="1" applyFont="1" applyFill="1" applyBorder="1" applyAlignment="1">
      <alignment horizontal="center" vertical="center" wrapText="1"/>
    </xf>
    <xf numFmtId="49" fontId="6" fillId="4" borderId="1" xfId="0" applyNumberFormat="1" applyFont="1" applyFill="1" applyBorder="1" applyAlignment="1">
      <alignment horizontal="center" vertical="center" wrapText="1"/>
    </xf>
    <xf numFmtId="49" fontId="6" fillId="4" borderId="2" xfId="0" applyNumberFormat="1" applyFont="1" applyFill="1" applyBorder="1" applyAlignment="1">
      <alignment horizontal="center" vertical="center" wrapText="1"/>
    </xf>
    <xf numFmtId="49" fontId="6" fillId="4" borderId="3" xfId="0" applyNumberFormat="1" applyFont="1" applyFill="1" applyBorder="1" applyAlignment="1">
      <alignment horizontal="center" vertical="center" wrapText="1"/>
    </xf>
    <xf numFmtId="49" fontId="6" fillId="4" borderId="4"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49" fontId="6" fillId="3" borderId="1" xfId="0" applyNumberFormat="1" applyFont="1" applyFill="1" applyBorder="1" applyAlignment="1">
      <alignment horizontal="left" vertical="center" wrapText="1"/>
    </xf>
    <xf numFmtId="49" fontId="6" fillId="4" borderId="1" xfId="0" applyNumberFormat="1" applyFont="1" applyFill="1" applyBorder="1" applyAlignment="1">
      <alignment horizontal="left" vertical="center" wrapText="1"/>
    </xf>
    <xf numFmtId="0" fontId="6" fillId="3" borderId="2" xfId="0" applyNumberFormat="1" applyFont="1" applyFill="1" applyBorder="1" applyAlignment="1">
      <alignment horizontal="center" vertical="center" wrapText="1"/>
    </xf>
    <xf numFmtId="0" fontId="6" fillId="3" borderId="3" xfId="0" applyNumberFormat="1" applyFont="1" applyFill="1" applyBorder="1" applyAlignment="1">
      <alignment horizontal="center" vertical="center" wrapText="1"/>
    </xf>
    <xf numFmtId="0" fontId="6" fillId="3" borderId="4" xfId="0" applyNumberFormat="1" applyFont="1" applyFill="1" applyBorder="1" applyAlignment="1">
      <alignment horizontal="center" vertical="center" wrapText="1"/>
    </xf>
    <xf numFmtId="0" fontId="6" fillId="4" borderId="1" xfId="0" applyNumberFormat="1" applyFont="1" applyFill="1" applyBorder="1" applyAlignment="1">
      <alignment horizontal="center" vertical="center" wrapText="1"/>
    </xf>
    <xf numFmtId="0" fontId="6" fillId="4" borderId="2" xfId="0" applyNumberFormat="1" applyFont="1" applyFill="1" applyBorder="1" applyAlignment="1">
      <alignment horizontal="center" vertical="center" wrapText="1"/>
    </xf>
    <xf numFmtId="0" fontId="6" fillId="4" borderId="3" xfId="0" applyNumberFormat="1" applyFont="1" applyFill="1" applyBorder="1" applyAlignment="1">
      <alignment horizontal="center" vertical="center" wrapText="1"/>
    </xf>
    <xf numFmtId="0" fontId="6" fillId="4" borderId="4" xfId="0" applyNumberFormat="1" applyFont="1" applyFill="1" applyBorder="1" applyAlignment="1">
      <alignment horizontal="center" vertical="center" wrapText="1"/>
    </xf>
    <xf numFmtId="0" fontId="6" fillId="3" borderId="1" xfId="32"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32"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3" borderId="1" xfId="32"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4" borderId="1" xfId="32"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0" borderId="0" xfId="0" applyFont="1">
      <alignment vertical="center"/>
    </xf>
    <xf numFmtId="0" fontId="8" fillId="0" borderId="0" xfId="0" applyFont="1" applyFill="1" applyAlignment="1">
      <alignment horizontal="center" vertical="center"/>
    </xf>
    <xf numFmtId="0" fontId="9" fillId="0" borderId="0" xfId="0" applyFont="1" applyFill="1" applyAlignment="1">
      <alignment vertical="center"/>
    </xf>
    <xf numFmtId="0" fontId="9" fillId="0" borderId="0" xfId="0" applyFont="1" applyFill="1">
      <alignment vertical="center"/>
    </xf>
    <xf numFmtId="0" fontId="9" fillId="0" borderId="0" xfId="0" applyFont="1" applyFill="1" applyAlignment="1">
      <alignment horizontal="center" vertical="center"/>
    </xf>
    <xf numFmtId="0" fontId="9" fillId="0" borderId="0" xfId="0" applyFont="1" applyFill="1" applyAlignment="1">
      <alignment horizontal="center" vertical="center" wrapText="1"/>
    </xf>
    <xf numFmtId="0" fontId="9" fillId="0" borderId="0" xfId="0" applyFont="1" applyFill="1" applyAlignment="1">
      <alignment horizontal="left" vertical="center" wrapText="1"/>
    </xf>
    <xf numFmtId="9" fontId="9" fillId="0" borderId="0" xfId="0" applyNumberFormat="1" applyFont="1" applyFill="1" applyAlignment="1">
      <alignment horizontal="center" vertical="center"/>
    </xf>
    <xf numFmtId="0" fontId="9" fillId="0" borderId="0" xfId="0" applyFont="1" applyFill="1" applyAlignment="1">
      <alignment horizontal="left" vertical="center"/>
    </xf>
    <xf numFmtId="0" fontId="9" fillId="0" borderId="0" xfId="0" applyNumberFormat="1" applyFont="1" applyFill="1" applyAlignment="1">
      <alignment horizontal="center" vertical="center"/>
    </xf>
    <xf numFmtId="0" fontId="10" fillId="0" borderId="0" xfId="0" applyFont="1" applyFill="1" applyAlignment="1">
      <alignment horizontal="center" vertical="center"/>
    </xf>
    <xf numFmtId="0" fontId="7" fillId="4" borderId="0" xfId="0" applyFont="1" applyFill="1" applyAlignment="1">
      <alignment horizontal="center" vertical="center"/>
    </xf>
    <xf numFmtId="0" fontId="11"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vertical="center" wrapText="1"/>
    </xf>
    <xf numFmtId="0" fontId="6" fillId="0"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176" fontId="6" fillId="6"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12" fillId="3" borderId="1" xfId="0" applyFont="1" applyFill="1" applyBorder="1" applyAlignment="1">
      <alignment vertical="center" wrapText="1"/>
    </xf>
    <xf numFmtId="0" fontId="12"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4" fillId="3" borderId="1" xfId="0" applyFont="1" applyFill="1" applyBorder="1" applyAlignment="1">
      <alignment vertical="center" wrapText="1"/>
    </xf>
    <xf numFmtId="0" fontId="5" fillId="0" borderId="1" xfId="0"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9" fontId="6" fillId="0" borderId="1" xfId="0" applyNumberFormat="1" applyFont="1" applyFill="1" applyBorder="1" applyAlignment="1">
      <alignment horizontal="center" vertical="center" wrapText="1"/>
    </xf>
    <xf numFmtId="0" fontId="7" fillId="7" borderId="0" xfId="0" applyFont="1" applyFill="1" applyAlignment="1">
      <alignment horizontal="center" vertical="center"/>
    </xf>
    <xf numFmtId="49" fontId="6" fillId="0" borderId="1" xfId="0" applyNumberFormat="1" applyFont="1" applyFill="1" applyBorder="1" applyAlignment="1">
      <alignment horizontal="center" vertical="center" wrapText="1"/>
    </xf>
    <xf numFmtId="0" fontId="6" fillId="0" borderId="1" xfId="32" applyFont="1" applyFill="1" applyBorder="1" applyAlignment="1">
      <alignment horizontal="center" vertical="center" wrapText="1"/>
    </xf>
    <xf numFmtId="49" fontId="14" fillId="0" borderId="1" xfId="0" applyNumberFormat="1" applyFont="1" applyFill="1" applyBorder="1" applyAlignment="1">
      <alignment horizontal="center" vertical="center" wrapText="1"/>
    </xf>
    <xf numFmtId="0" fontId="14" fillId="0" borderId="1" xfId="32" applyFont="1" applyFill="1" applyBorder="1" applyAlignment="1">
      <alignment horizontal="center" vertical="center" wrapText="1"/>
    </xf>
    <xf numFmtId="0" fontId="6" fillId="0" borderId="1" xfId="3"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0" fontId="6" fillId="5" borderId="1" xfId="32"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6" fillId="0" borderId="1" xfId="2" applyFont="1" applyFill="1" applyBorder="1" applyAlignment="1" applyProtection="1">
      <alignment horizontal="center" vertical="center" wrapText="1"/>
      <protection locked="0"/>
    </xf>
    <xf numFmtId="0" fontId="6" fillId="0" borderId="1" xfId="32" applyFont="1" applyFill="1" applyBorder="1" applyAlignment="1">
      <alignment horizontal="left" vertical="center" wrapText="1"/>
    </xf>
    <xf numFmtId="0" fontId="7" fillId="0" borderId="0" xfId="0" applyFont="1" applyFill="1" applyAlignment="1">
      <alignment vertical="center"/>
    </xf>
    <xf numFmtId="0" fontId="15" fillId="0" borderId="1" xfId="0" applyFont="1" applyFill="1" applyBorder="1" applyAlignment="1">
      <alignment horizontal="left" vertical="center"/>
    </xf>
    <xf numFmtId="0" fontId="6" fillId="3" borderId="1" xfId="32" applyNumberFormat="1" applyFont="1" applyFill="1" applyBorder="1" applyAlignment="1">
      <alignment horizontal="center" vertical="center" wrapText="1"/>
    </xf>
    <xf numFmtId="0" fontId="14" fillId="3" borderId="1" xfId="32" applyNumberFormat="1" applyFont="1" applyFill="1" applyBorder="1" applyAlignment="1">
      <alignment horizontal="center" vertical="center" wrapText="1"/>
    </xf>
    <xf numFmtId="0" fontId="15" fillId="0" borderId="0" xfId="0" applyFont="1" applyFill="1" applyAlignment="1">
      <alignment horizontal="left" vertical="center"/>
    </xf>
    <xf numFmtId="0" fontId="13" fillId="3" borderId="1" xfId="0" applyFont="1" applyFill="1" applyBorder="1" applyAlignment="1">
      <alignment vertical="center" wrapText="1"/>
    </xf>
    <xf numFmtId="0" fontId="6" fillId="0" borderId="1" xfId="32" applyFont="1" applyFill="1" applyBorder="1" applyAlignment="1" applyProtection="1">
      <alignment horizontal="center" vertical="center" wrapText="1"/>
      <protection locked="0"/>
    </xf>
    <xf numFmtId="43" fontId="6" fillId="0" borderId="1" xfId="35" applyNumberFormat="1" applyFont="1" applyFill="1" applyBorder="1" applyAlignment="1" applyProtection="1">
      <alignment horizontal="center" vertical="center" wrapText="1"/>
      <protection locked="0"/>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 xfId="0" applyFont="1" applyFill="1" applyBorder="1" applyAlignment="1">
      <alignment horizontal="center" vertical="center"/>
    </xf>
    <xf numFmtId="0" fontId="6" fillId="0" borderId="1" xfId="1" applyFont="1" applyFill="1" applyBorder="1" applyAlignment="1">
      <alignment horizontal="center" vertical="center" wrapText="1"/>
    </xf>
    <xf numFmtId="0" fontId="6" fillId="0" borderId="1" xfId="0" applyFont="1" applyFill="1" applyBorder="1" applyAlignment="1">
      <alignment vertical="center"/>
    </xf>
    <xf numFmtId="0" fontId="6" fillId="0" borderId="1" xfId="0" applyFont="1" applyFill="1" applyBorder="1" applyAlignment="1">
      <alignment horizontal="left" vertical="center"/>
    </xf>
    <xf numFmtId="0"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0" fontId="6" fillId="3" borderId="1" xfId="0" applyFont="1" applyFill="1" applyBorder="1" applyAlignment="1">
      <alignment vertical="center"/>
    </xf>
    <xf numFmtId="9" fontId="6" fillId="0" borderId="1" xfId="0" applyNumberFormat="1" applyFont="1" applyFill="1" applyBorder="1" applyAlignment="1">
      <alignment horizontal="center" vertical="center"/>
    </xf>
    <xf numFmtId="49" fontId="6" fillId="0" borderId="1" xfId="32" applyNumberFormat="1" applyFont="1" applyFill="1" applyBorder="1" applyAlignment="1">
      <alignment horizontal="center" vertical="center" wrapText="1"/>
    </xf>
    <xf numFmtId="0" fontId="6" fillId="0" borderId="1" xfId="47" applyFont="1" applyFill="1" applyBorder="1" applyAlignment="1">
      <alignment horizontal="center" vertical="center" wrapText="1"/>
    </xf>
    <xf numFmtId="0" fontId="6" fillId="0" borderId="1" xfId="32" applyNumberFormat="1" applyFont="1" applyFill="1" applyBorder="1" applyAlignment="1">
      <alignment horizontal="center" vertical="center" wrapText="1"/>
    </xf>
    <xf numFmtId="49" fontId="6" fillId="8" borderId="1" xfId="0" applyNumberFormat="1" applyFont="1" applyFill="1" applyBorder="1" applyAlignment="1">
      <alignment horizontal="center" vertical="center" wrapText="1"/>
    </xf>
    <xf numFmtId="0" fontId="6" fillId="8" borderId="1" xfId="32" applyFont="1" applyFill="1" applyBorder="1" applyAlignment="1">
      <alignment horizontal="center" vertical="center" wrapText="1"/>
    </xf>
    <xf numFmtId="0" fontId="6" fillId="8" borderId="1" xfId="32" applyNumberFormat="1" applyFont="1" applyFill="1" applyBorder="1" applyAlignment="1">
      <alignment horizontal="center" vertical="center" wrapText="1"/>
    </xf>
    <xf numFmtId="0" fontId="13" fillId="0" borderId="1" xfId="0" applyFont="1" applyFill="1" applyBorder="1" applyAlignment="1">
      <alignment horizontal="left" vertical="center" wrapText="1"/>
    </xf>
    <xf numFmtId="0" fontId="13" fillId="0" borderId="1" xfId="0" applyFont="1" applyFill="1" applyBorder="1" applyAlignment="1">
      <alignment horizontal="center" vertical="center" wrapText="1"/>
    </xf>
    <xf numFmtId="0" fontId="12" fillId="0" borderId="1" xfId="0" applyFont="1" applyFill="1" applyBorder="1" applyAlignment="1">
      <alignment horizontal="center" vertical="center" wrapText="1"/>
    </xf>
    <xf numFmtId="9" fontId="12" fillId="0" borderId="1" xfId="0" applyNumberFormat="1" applyFont="1" applyFill="1" applyBorder="1" applyAlignment="1">
      <alignment horizontal="center" vertical="center" wrapText="1"/>
    </xf>
    <xf numFmtId="9" fontId="13" fillId="0" borderId="1" xfId="0" applyNumberFormat="1" applyFont="1" applyFill="1" applyBorder="1" applyAlignment="1">
      <alignment horizontal="center" vertical="center" wrapText="1"/>
    </xf>
    <xf numFmtId="0" fontId="12" fillId="0" borderId="1" xfId="0" applyFont="1" applyFill="1" applyBorder="1" applyAlignment="1">
      <alignment horizontal="left" vertical="center" wrapText="1"/>
    </xf>
    <xf numFmtId="0" fontId="6" fillId="0" borderId="1" xfId="0" applyFont="1" applyFill="1" applyBorder="1" applyAlignment="1" applyProtection="1">
      <alignment horizontal="center" vertical="center" wrapText="1"/>
      <protection locked="0"/>
    </xf>
    <xf numFmtId="0" fontId="0" fillId="0" borderId="0" xfId="0" applyFont="1" applyFill="1" applyAlignment="1">
      <alignment horizontal="center" vertical="center"/>
    </xf>
    <xf numFmtId="176" fontId="0" fillId="0" borderId="0" xfId="0" applyNumberFormat="1" applyFont="1" applyFill="1" applyAlignment="1">
      <alignment horizontal="center" vertical="center"/>
    </xf>
    <xf numFmtId="0" fontId="6" fillId="0" borderId="4" xfId="0" applyFont="1" applyFill="1" applyBorder="1" applyAlignment="1">
      <alignment horizontal="center" vertical="center" wrapText="1"/>
    </xf>
    <xf numFmtId="0" fontId="6" fillId="3" borderId="1" xfId="0" applyFont="1" applyFill="1" applyBorder="1" applyAlignment="1">
      <alignment horizontal="center" vertical="center"/>
    </xf>
    <xf numFmtId="0" fontId="9" fillId="8" borderId="0" xfId="0" applyFont="1" applyFill="1" applyAlignment="1">
      <alignment vertical="center"/>
    </xf>
    <xf numFmtId="0" fontId="6" fillId="0" borderId="1" xfId="0" applyFont="1" applyFill="1" applyBorder="1" applyAlignment="1" quotePrefix="1">
      <alignment horizontal="center" vertical="center" wrapText="1"/>
    </xf>
    <xf numFmtId="0" fontId="6" fillId="3" borderId="1" xfId="0" applyFont="1" applyFill="1" applyBorder="1" applyAlignment="1" quotePrefix="1">
      <alignment horizontal="center" vertical="center" wrapText="1"/>
    </xf>
    <xf numFmtId="0" fontId="6" fillId="3" borderId="1" xfId="32" applyFont="1" applyFill="1" applyBorder="1" applyAlignment="1" quotePrefix="1">
      <alignment horizontal="center" vertical="center" wrapText="1"/>
    </xf>
  </cellXfs>
  <cellStyles count="54">
    <cellStyle name="常规" xfId="0" builtinId="0"/>
    <cellStyle name="常规 2" xfId="1"/>
    <cellStyle name="常规_汇总 (3)" xfId="2"/>
    <cellStyle name="常规_Sheet1" xfId="3"/>
    <cellStyle name="60% - 强调文字颜色 6" xfId="4" builtinId="52"/>
    <cellStyle name="20% - 强调文字颜色 4" xfId="5" builtinId="42"/>
    <cellStyle name="强调文字颜色 4" xfId="6" builtinId="41"/>
    <cellStyle name="输入" xfId="7" builtinId="20"/>
    <cellStyle name="40% - 强调文字颜色 3" xfId="8" builtinId="39"/>
    <cellStyle name="20% - 强调文字颜色 3" xfId="9" builtinId="38"/>
    <cellStyle name="货币" xfId="10" builtinId="4"/>
    <cellStyle name="强调文字颜色 3" xfId="11" builtinId="37"/>
    <cellStyle name="百分比" xfId="12" builtinId="5"/>
    <cellStyle name="60% - 强调文字颜色 2" xfId="13" builtinId="36"/>
    <cellStyle name="60% - 强调文字颜色 5" xfId="14" builtinId="48"/>
    <cellStyle name="强调文字颜色 2" xfId="15" builtinId="33"/>
    <cellStyle name="60% - 强调文字颜色 1" xfId="16" builtinId="32"/>
    <cellStyle name="60% - 强调文字颜色 4" xfId="17" builtinId="44"/>
    <cellStyle name="计算" xfId="18" builtinId="22"/>
    <cellStyle name="强调文字颜色 1" xfId="19" builtinId="29"/>
    <cellStyle name="适中" xfId="20" builtinId="28"/>
    <cellStyle name="20% - 强调文字颜色 5" xfId="21" builtinId="46"/>
    <cellStyle name="好" xfId="22" builtinId="26"/>
    <cellStyle name="20% - 强调文字颜色 1" xfId="23" builtinId="30"/>
    <cellStyle name="汇总" xfId="24" builtinId="25"/>
    <cellStyle name="差" xfId="25" builtinId="27"/>
    <cellStyle name="检查单元格" xfId="26" builtinId="23"/>
    <cellStyle name="输出" xfId="27" builtinId="21"/>
    <cellStyle name="标题 1" xfId="28" builtinId="16"/>
    <cellStyle name="解释性文本" xfId="29" builtinId="53"/>
    <cellStyle name="20% - 强调文字颜色 2" xfId="30" builtinId="34"/>
    <cellStyle name="标题 4" xfId="31" builtinId="19"/>
    <cellStyle name="常规 10" xfId="32"/>
    <cellStyle name="货币[0]" xfId="33" builtinId="7"/>
    <cellStyle name="40% - 强调文字颜色 4" xfId="34" builtinId="43"/>
    <cellStyle name="千位分隔" xfId="35" builtinId="3"/>
    <cellStyle name="已访问的超链接" xfId="36" builtinId="9"/>
    <cellStyle name="标题" xfId="37" builtinId="15"/>
    <cellStyle name="40% - 强调文字颜色 2" xfId="38" builtinId="35"/>
    <cellStyle name="警告文本" xfId="39" builtinId="11"/>
    <cellStyle name="60% - 强调文字颜色 3" xfId="40" builtinId="40"/>
    <cellStyle name="注释" xfId="41" builtinId="10"/>
    <cellStyle name="20% - 强调文字颜色 6" xfId="42" builtinId="50"/>
    <cellStyle name="强调文字颜色 5" xfId="43" builtinId="45"/>
    <cellStyle name="40% - 强调文字颜色 6" xfId="44" builtinId="51"/>
    <cellStyle name="超链接" xfId="45" builtinId="8"/>
    <cellStyle name="千位分隔[0]" xfId="46" builtinId="6"/>
    <cellStyle name="常规 2 10" xfId="47"/>
    <cellStyle name="标题 2" xfId="48" builtinId="17"/>
    <cellStyle name="40% - 强调文字颜色 5" xfId="49" builtinId="47"/>
    <cellStyle name="标题 3" xfId="50" builtinId="18"/>
    <cellStyle name="强调文字颜色 6" xfId="51" builtinId="49"/>
    <cellStyle name="40% - 强调文字颜色 1" xfId="52" builtinId="31"/>
    <cellStyle name="链接单元格" xfId="53" builtinId="24"/>
  </cellStyles>
  <dxfs count="1">
    <dxf>
      <fill>
        <patternFill patternType="solid">
          <bgColor rgb="FFFF9900"/>
        </patternFill>
      </fill>
    </dxf>
  </dxfs>
  <tableStyles count="0" defaultTableStyle="TableStyleMedium2" defaultPivotStyle="PivotStyleLight16"/>
  <colors>
    <mruColors>
      <color rgb="00FF0000"/>
      <color rgb="00E2EFDA"/>
      <color rgb="00FFCD35"/>
      <color rgb="00FFF2CC"/>
      <color rgb="00C0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29</xdr:col>
      <xdr:colOff>0</xdr:colOff>
      <xdr:row>2</xdr:row>
      <xdr:rowOff>0</xdr:rowOff>
    </xdr:from>
    <xdr:ext cx="309880" cy="285115"/>
    <xdr:sp>
      <xdr:nvSpPr>
        <xdr:cNvPr id="2" name="文本框 2"/>
        <xdr:cNvSpPr txBox="1"/>
      </xdr:nvSpPr>
      <xdr:spPr>
        <a:xfrm>
          <a:off x="22411690" y="14478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p/>
      </xdr:txBody>
    </xdr:sp>
    <xdr:clientData/>
  </xdr:oneCellAnchor>
  <xdr:oneCellAnchor>
    <xdr:from>
      <xdr:col>29</xdr:col>
      <xdr:colOff>0</xdr:colOff>
      <xdr:row>2</xdr:row>
      <xdr:rowOff>0</xdr:rowOff>
    </xdr:from>
    <xdr:ext cx="309880" cy="285115"/>
    <xdr:sp>
      <xdr:nvSpPr>
        <xdr:cNvPr id="3" name="文本框 2"/>
        <xdr:cNvSpPr txBox="1"/>
      </xdr:nvSpPr>
      <xdr:spPr>
        <a:xfrm>
          <a:off x="22411690" y="14478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28</xdr:col>
      <xdr:colOff>0</xdr:colOff>
      <xdr:row>2</xdr:row>
      <xdr:rowOff>0</xdr:rowOff>
    </xdr:from>
    <xdr:ext cx="309880" cy="285115"/>
    <xdr:sp>
      <xdr:nvSpPr>
        <xdr:cNvPr id="2" name="文本框 2"/>
        <xdr:cNvSpPr txBox="1"/>
      </xdr:nvSpPr>
      <xdr:spPr>
        <a:xfrm>
          <a:off x="21087715" y="14478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oneCellAnchor>
    <xdr:from>
      <xdr:col>28</xdr:col>
      <xdr:colOff>0</xdr:colOff>
      <xdr:row>2</xdr:row>
      <xdr:rowOff>0</xdr:rowOff>
    </xdr:from>
    <xdr:ext cx="309880" cy="285115"/>
    <xdr:sp>
      <xdr:nvSpPr>
        <xdr:cNvPr id="3" name="文本框 2"/>
        <xdr:cNvSpPr txBox="1"/>
      </xdr:nvSpPr>
      <xdr:spPr>
        <a:xfrm>
          <a:off x="21087715" y="1447800"/>
          <a:ext cx="309880" cy="28511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zh-CN" altLang="en-US"/>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458"/>
  <sheetViews>
    <sheetView topLeftCell="F1" workbookViewId="0">
      <pane ySplit="3" topLeftCell="A445" activePane="bottomLeft" state="frozen"/>
      <selection/>
      <selection pane="bottomLeft" activeCell="W448" sqref="W448"/>
    </sheetView>
  </sheetViews>
  <sheetFormatPr defaultColWidth="9" defaultRowHeight="33" customHeight="1"/>
  <cols>
    <col min="1" max="1" width="6.25" style="46" customWidth="1"/>
    <col min="2" max="2" width="15.125" style="47" customWidth="1"/>
    <col min="3" max="3" width="22.125" style="47" customWidth="1"/>
    <col min="4" max="4" width="5.375" style="47" customWidth="1"/>
    <col min="5" max="5" width="18.7416666666667" style="48" customWidth="1"/>
    <col min="6" max="6" width="29.25" style="48" customWidth="1"/>
    <col min="7" max="7" width="4.625" style="47" customWidth="1"/>
    <col min="8" max="8" width="22.375" style="48" customWidth="1"/>
    <col min="9" max="10" width="7.375" style="46" customWidth="1"/>
    <col min="11" max="16" width="8" style="46" customWidth="1"/>
    <col min="17" max="17" width="5.125" style="46" hidden="1" customWidth="1"/>
    <col min="18" max="18" width="8.5" style="46" hidden="1" customWidth="1"/>
    <col min="19" max="19" width="8.5" style="49" hidden="1" customWidth="1"/>
    <col min="20" max="20" width="8.5" style="49" customWidth="1"/>
    <col min="21" max="21" width="21" style="50" customWidth="1"/>
    <col min="22" max="23" width="17.375" style="46" customWidth="1"/>
    <col min="24" max="24" width="12.375" style="46" customWidth="1"/>
    <col min="25" max="25" width="25.625" style="44" customWidth="1"/>
    <col min="26" max="26" width="28.25" style="44" hidden="1" customWidth="1"/>
    <col min="27" max="27" width="19.625" style="44" hidden="1" customWidth="1"/>
    <col min="28" max="28" width="5.25" style="44" customWidth="1"/>
    <col min="29" max="29" width="20.875" style="44" hidden="1" customWidth="1"/>
    <col min="30" max="32" width="8.125" style="51" customWidth="1"/>
    <col min="33" max="33" width="15.875" style="44"/>
    <col min="34" max="35" width="13.125" style="44"/>
    <col min="36" max="50" width="9" style="44"/>
    <col min="51" max="16370" width="9" style="44" hidden="1" customWidth="1"/>
    <col min="16371" max="16384" width="9" style="44"/>
  </cols>
  <sheetData>
    <row r="1" ht="73" customHeight="1" spans="1:32">
      <c r="A1" s="52" t="s">
        <v>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row>
    <row r="2" s="42" customFormat="1" ht="41" customHeight="1" spans="1:51">
      <c r="A2" s="53" t="s">
        <v>1</v>
      </c>
      <c r="B2" s="53"/>
      <c r="C2" s="53"/>
      <c r="D2" s="53"/>
      <c r="E2" s="53"/>
      <c r="F2" s="53"/>
      <c r="G2" s="53"/>
      <c r="H2" s="53"/>
      <c r="I2" s="53"/>
      <c r="J2" s="53"/>
      <c r="K2" s="53"/>
      <c r="L2" s="53"/>
      <c r="M2" s="53"/>
      <c r="N2" s="53"/>
      <c r="O2" s="53"/>
      <c r="P2" s="53"/>
      <c r="Q2" s="53"/>
      <c r="R2" s="53"/>
      <c r="S2" s="53"/>
      <c r="T2" s="53"/>
      <c r="U2" s="53"/>
      <c r="V2" s="75" t="s">
        <v>2</v>
      </c>
      <c r="W2" s="75"/>
      <c r="X2" s="75"/>
      <c r="Y2" s="75"/>
      <c r="Z2" s="75"/>
      <c r="AA2" s="75"/>
      <c r="AB2" s="75"/>
      <c r="AC2" s="75"/>
      <c r="AD2" s="75"/>
      <c r="AE2" s="75"/>
      <c r="AF2" s="75"/>
      <c r="AG2" s="86"/>
      <c r="AY2" s="86"/>
    </row>
    <row r="3" s="43" customFormat="1" ht="41" customHeight="1" spans="1:51">
      <c r="A3" s="54" t="s">
        <v>3</v>
      </c>
      <c r="B3" s="54" t="s">
        <v>4</v>
      </c>
      <c r="C3" s="54" t="s">
        <v>5</v>
      </c>
      <c r="D3" s="54" t="s">
        <v>6</v>
      </c>
      <c r="E3" s="54" t="s">
        <v>7</v>
      </c>
      <c r="F3" s="54" t="s">
        <v>8</v>
      </c>
      <c r="G3" s="54" t="s">
        <v>9</v>
      </c>
      <c r="H3" s="54" t="s">
        <v>10</v>
      </c>
      <c r="I3" s="61" t="s">
        <v>11</v>
      </c>
      <c r="J3" s="61" t="s">
        <v>12</v>
      </c>
      <c r="K3" s="62" t="s">
        <v>13</v>
      </c>
      <c r="L3" s="62" t="s">
        <v>14</v>
      </c>
      <c r="M3" s="62" t="s">
        <v>15</v>
      </c>
      <c r="N3" s="65" t="s">
        <v>16</v>
      </c>
      <c r="O3" s="65" t="s">
        <v>17</v>
      </c>
      <c r="P3" s="65" t="s">
        <v>18</v>
      </c>
      <c r="Q3" s="72" t="s">
        <v>19</v>
      </c>
      <c r="R3" s="72" t="s">
        <v>20</v>
      </c>
      <c r="S3" s="73" t="s">
        <v>21</v>
      </c>
      <c r="T3" s="62" t="s">
        <v>22</v>
      </c>
      <c r="U3" s="72" t="s">
        <v>23</v>
      </c>
      <c r="V3" s="14" t="s">
        <v>24</v>
      </c>
      <c r="W3" s="14"/>
      <c r="X3" s="14" t="s">
        <v>25</v>
      </c>
      <c r="Y3" s="15" t="s">
        <v>5</v>
      </c>
      <c r="Z3" s="14" t="s">
        <v>26</v>
      </c>
      <c r="AA3" s="14" t="s">
        <v>27</v>
      </c>
      <c r="AB3" s="14" t="s">
        <v>9</v>
      </c>
      <c r="AC3" s="14" t="s">
        <v>28</v>
      </c>
      <c r="AD3" s="24" t="s">
        <v>29</v>
      </c>
      <c r="AE3" s="24" t="s">
        <v>30</v>
      </c>
      <c r="AF3" s="24" t="s">
        <v>31</v>
      </c>
      <c r="AG3" s="87" t="s">
        <v>32</v>
      </c>
      <c r="AY3" s="43" t="s">
        <v>33</v>
      </c>
    </row>
    <row r="4" s="44" customFormat="1" ht="24" customHeight="1" spans="1:32">
      <c r="A4" s="55">
        <v>1</v>
      </c>
      <c r="B4" s="55" t="s">
        <v>34</v>
      </c>
      <c r="C4" s="55" t="s">
        <v>35</v>
      </c>
      <c r="D4" s="55" t="s">
        <v>36</v>
      </c>
      <c r="E4" s="59" t="s">
        <v>37</v>
      </c>
      <c r="F4" s="59" t="s">
        <v>38</v>
      </c>
      <c r="G4" s="55" t="s">
        <v>39</v>
      </c>
      <c r="H4" s="59" t="s">
        <v>40</v>
      </c>
      <c r="I4" s="30">
        <v>10</v>
      </c>
      <c r="J4" s="30">
        <v>10</v>
      </c>
      <c r="K4" s="63">
        <v>9.19297333107713</v>
      </c>
      <c r="L4" s="63">
        <v>8.76258197508921</v>
      </c>
      <c r="M4" s="63">
        <v>7.46031790825772</v>
      </c>
      <c r="N4" s="35">
        <v>9.5</v>
      </c>
      <c r="O4" s="35">
        <v>9</v>
      </c>
      <c r="P4" s="35">
        <v>8</v>
      </c>
      <c r="Q4" s="55" t="s">
        <v>41</v>
      </c>
      <c r="R4" s="55" t="s">
        <v>40</v>
      </c>
      <c r="S4" s="74" t="s">
        <v>40</v>
      </c>
      <c r="T4" s="63" t="s">
        <v>42</v>
      </c>
      <c r="U4" s="59" t="s">
        <v>43</v>
      </c>
      <c r="V4" s="76" t="s">
        <v>44</v>
      </c>
      <c r="W4" s="83">
        <v>1</v>
      </c>
      <c r="X4" s="76">
        <v>310701022</v>
      </c>
      <c r="Y4" s="77" t="s">
        <v>45</v>
      </c>
      <c r="Z4" s="77" t="s">
        <v>46</v>
      </c>
      <c r="AA4" s="77"/>
      <c r="AB4" s="77" t="s">
        <v>39</v>
      </c>
      <c r="AC4" s="77" t="s">
        <v>40</v>
      </c>
      <c r="AD4" s="88">
        <v>4.5</v>
      </c>
      <c r="AE4" s="88">
        <v>4.1</v>
      </c>
      <c r="AF4" s="88">
        <v>3.4</v>
      </c>
    </row>
    <row r="5" s="44" customFormat="1" ht="24" customHeight="1" spans="1:32">
      <c r="A5" s="55"/>
      <c r="B5" s="55"/>
      <c r="C5" s="55"/>
      <c r="D5" s="55"/>
      <c r="E5" s="59"/>
      <c r="F5" s="59"/>
      <c r="G5" s="55"/>
      <c r="H5" s="59"/>
      <c r="I5" s="37"/>
      <c r="J5" s="37"/>
      <c r="K5" s="63"/>
      <c r="L5" s="63"/>
      <c r="M5" s="63"/>
      <c r="N5" s="35"/>
      <c r="O5" s="35"/>
      <c r="P5" s="35"/>
      <c r="Q5" s="55"/>
      <c r="R5" s="55"/>
      <c r="S5" s="74"/>
      <c r="T5" s="63"/>
      <c r="U5" s="59"/>
      <c r="V5" s="76" t="s">
        <v>47</v>
      </c>
      <c r="W5" s="83">
        <v>2</v>
      </c>
      <c r="X5" s="76">
        <v>310701027</v>
      </c>
      <c r="Y5" s="77" t="s">
        <v>48</v>
      </c>
      <c r="Z5" s="77"/>
      <c r="AA5" s="77"/>
      <c r="AB5" s="77" t="s">
        <v>39</v>
      </c>
      <c r="AC5" s="77" t="s">
        <v>40</v>
      </c>
      <c r="AD5" s="88">
        <v>4.5</v>
      </c>
      <c r="AE5" s="88">
        <v>4.1</v>
      </c>
      <c r="AF5" s="88">
        <v>3.4</v>
      </c>
    </row>
    <row r="6" s="44" customFormat="1" ht="24" customHeight="1" spans="1:32">
      <c r="A6" s="55"/>
      <c r="B6" s="55"/>
      <c r="C6" s="55"/>
      <c r="D6" s="55"/>
      <c r="E6" s="59"/>
      <c r="F6" s="59"/>
      <c r="G6" s="55"/>
      <c r="H6" s="59"/>
      <c r="I6" s="37"/>
      <c r="J6" s="37"/>
      <c r="K6" s="63"/>
      <c r="L6" s="63"/>
      <c r="M6" s="63"/>
      <c r="N6" s="35"/>
      <c r="O6" s="35"/>
      <c r="P6" s="35"/>
      <c r="Q6" s="55"/>
      <c r="R6" s="55"/>
      <c r="S6" s="74"/>
      <c r="T6" s="63"/>
      <c r="U6" s="59"/>
      <c r="V6" s="76" t="s">
        <v>49</v>
      </c>
      <c r="W6" s="83">
        <v>3</v>
      </c>
      <c r="X6" s="76">
        <v>310701028</v>
      </c>
      <c r="Y6" s="77" t="s">
        <v>50</v>
      </c>
      <c r="Z6" s="77"/>
      <c r="AA6" s="77"/>
      <c r="AB6" s="77" t="s">
        <v>39</v>
      </c>
      <c r="AC6" s="77" t="s">
        <v>40</v>
      </c>
      <c r="AD6" s="88">
        <v>4.5</v>
      </c>
      <c r="AE6" s="88">
        <v>4.1</v>
      </c>
      <c r="AF6" s="88">
        <v>3.4</v>
      </c>
    </row>
    <row r="7" s="44" customFormat="1" ht="24" customHeight="1" spans="1:32">
      <c r="A7" s="55"/>
      <c r="B7" s="55"/>
      <c r="C7" s="55"/>
      <c r="D7" s="55"/>
      <c r="E7" s="59"/>
      <c r="F7" s="59"/>
      <c r="G7" s="55"/>
      <c r="H7" s="59"/>
      <c r="I7" s="37"/>
      <c r="J7" s="37"/>
      <c r="K7" s="63"/>
      <c r="L7" s="63"/>
      <c r="M7" s="63"/>
      <c r="N7" s="35"/>
      <c r="O7" s="35"/>
      <c r="P7" s="35"/>
      <c r="Q7" s="55"/>
      <c r="R7" s="55"/>
      <c r="S7" s="74"/>
      <c r="T7" s="63"/>
      <c r="U7" s="59"/>
      <c r="V7" s="76" t="s">
        <v>51</v>
      </c>
      <c r="W7" s="83">
        <v>4</v>
      </c>
      <c r="X7" s="76">
        <v>310701033</v>
      </c>
      <c r="Y7" s="77" t="s">
        <v>52</v>
      </c>
      <c r="Z7" s="77" t="s">
        <v>53</v>
      </c>
      <c r="AA7" s="77"/>
      <c r="AB7" s="77" t="s">
        <v>54</v>
      </c>
      <c r="AC7" s="77" t="s">
        <v>40</v>
      </c>
      <c r="AD7" s="88">
        <v>70</v>
      </c>
      <c r="AE7" s="88">
        <v>70</v>
      </c>
      <c r="AF7" s="88">
        <v>59.5</v>
      </c>
    </row>
    <row r="8" s="44" customFormat="1" ht="27" customHeight="1" spans="1:32">
      <c r="A8" s="55" t="s">
        <v>55</v>
      </c>
      <c r="B8" s="55" t="s">
        <v>56</v>
      </c>
      <c r="C8" s="55" t="s">
        <v>57</v>
      </c>
      <c r="D8" s="55" t="s">
        <v>36</v>
      </c>
      <c r="E8" s="59" t="s">
        <v>40</v>
      </c>
      <c r="F8" s="59" t="s">
        <v>40</v>
      </c>
      <c r="G8" s="55" t="s">
        <v>39</v>
      </c>
      <c r="H8" s="59" t="s">
        <v>58</v>
      </c>
      <c r="I8" s="30">
        <v>10</v>
      </c>
      <c r="J8" s="30">
        <v>10</v>
      </c>
      <c r="K8" s="63">
        <v>8.82631578947368</v>
      </c>
      <c r="L8" s="63">
        <v>8.84615384615385</v>
      </c>
      <c r="M8" s="63">
        <v>6.95625</v>
      </c>
      <c r="N8" s="35">
        <v>9.5</v>
      </c>
      <c r="O8" s="35">
        <v>9</v>
      </c>
      <c r="P8" s="35">
        <v>8</v>
      </c>
      <c r="Q8" s="55" t="s">
        <v>41</v>
      </c>
      <c r="R8" s="55" t="s">
        <v>40</v>
      </c>
      <c r="S8" s="74" t="s">
        <v>40</v>
      </c>
      <c r="T8" s="63"/>
      <c r="U8" s="59" t="s">
        <v>59</v>
      </c>
      <c r="V8" s="76" t="s">
        <v>60</v>
      </c>
      <c r="W8" s="83">
        <v>5</v>
      </c>
      <c r="X8" s="76">
        <v>310701009</v>
      </c>
      <c r="Y8" s="77" t="s">
        <v>61</v>
      </c>
      <c r="Z8" s="77" t="s">
        <v>62</v>
      </c>
      <c r="AA8" s="77"/>
      <c r="AB8" s="77" t="s">
        <v>63</v>
      </c>
      <c r="AC8" s="77" t="s">
        <v>40</v>
      </c>
      <c r="AD8" s="88">
        <v>57.5</v>
      </c>
      <c r="AE8" s="88">
        <v>50</v>
      </c>
      <c r="AF8" s="88">
        <v>42.5</v>
      </c>
    </row>
    <row r="9" s="44" customFormat="1" ht="27" customHeight="1" spans="1:32">
      <c r="A9" s="55"/>
      <c r="B9" s="55"/>
      <c r="C9" s="55"/>
      <c r="D9" s="55"/>
      <c r="E9" s="59"/>
      <c r="F9" s="59"/>
      <c r="G9" s="55"/>
      <c r="H9" s="59"/>
      <c r="I9" s="37"/>
      <c r="J9" s="37"/>
      <c r="K9" s="63"/>
      <c r="L9" s="63"/>
      <c r="M9" s="63"/>
      <c r="N9" s="35"/>
      <c r="O9" s="35"/>
      <c r="P9" s="35"/>
      <c r="Q9" s="55"/>
      <c r="R9" s="55"/>
      <c r="S9" s="74"/>
      <c r="T9" s="63"/>
      <c r="U9" s="59"/>
      <c r="V9" s="76" t="s">
        <v>64</v>
      </c>
      <c r="W9" s="83">
        <v>6</v>
      </c>
      <c r="X9" s="76">
        <v>310701008</v>
      </c>
      <c r="Y9" s="77" t="s">
        <v>65</v>
      </c>
      <c r="Z9" s="77"/>
      <c r="AA9" s="77"/>
      <c r="AB9" s="77" t="s">
        <v>39</v>
      </c>
      <c r="AC9" s="77" t="s">
        <v>40</v>
      </c>
      <c r="AD9" s="88">
        <v>5.8</v>
      </c>
      <c r="AE9" s="88">
        <v>5</v>
      </c>
      <c r="AF9" s="88">
        <v>4.3</v>
      </c>
    </row>
    <row r="10" s="44" customFormat="1" ht="29" customHeight="1" spans="1:32">
      <c r="A10" s="55">
        <v>2</v>
      </c>
      <c r="B10" s="55" t="s">
        <v>66</v>
      </c>
      <c r="C10" s="55" t="s">
        <v>67</v>
      </c>
      <c r="D10" s="55" t="s">
        <v>36</v>
      </c>
      <c r="E10" s="59" t="s">
        <v>68</v>
      </c>
      <c r="F10" s="59" t="s">
        <v>69</v>
      </c>
      <c r="G10" s="55" t="s">
        <v>54</v>
      </c>
      <c r="H10" s="59" t="s">
        <v>70</v>
      </c>
      <c r="I10" s="30">
        <v>29</v>
      </c>
      <c r="J10" s="30">
        <v>26</v>
      </c>
      <c r="K10" s="63">
        <v>26.9635017145183</v>
      </c>
      <c r="L10" s="63">
        <v>25.2527666329534</v>
      </c>
      <c r="M10" s="63">
        <v>21.527537370955</v>
      </c>
      <c r="N10" s="68">
        <v>27</v>
      </c>
      <c r="O10" s="68">
        <v>25</v>
      </c>
      <c r="P10" s="68">
        <v>23</v>
      </c>
      <c r="Q10" s="55" t="s">
        <v>41</v>
      </c>
      <c r="R10" s="55" t="s">
        <v>40</v>
      </c>
      <c r="S10" s="74" t="s">
        <v>40</v>
      </c>
      <c r="T10" s="63" t="s">
        <v>42</v>
      </c>
      <c r="U10" s="59" t="s">
        <v>71</v>
      </c>
      <c r="V10" s="76" t="s">
        <v>72</v>
      </c>
      <c r="W10" s="83">
        <v>7</v>
      </c>
      <c r="X10" s="76">
        <v>310701001</v>
      </c>
      <c r="Y10" s="77" t="s">
        <v>73</v>
      </c>
      <c r="Z10" s="77" t="s">
        <v>74</v>
      </c>
      <c r="AA10" s="77"/>
      <c r="AB10" s="77" t="s">
        <v>54</v>
      </c>
      <c r="AC10" s="77" t="s">
        <v>75</v>
      </c>
      <c r="AD10" s="88">
        <v>11.5</v>
      </c>
      <c r="AE10" s="88">
        <v>10</v>
      </c>
      <c r="AF10" s="88">
        <v>8.5</v>
      </c>
    </row>
    <row r="11" s="44" customFormat="1" ht="29" customHeight="1" spans="1:32">
      <c r="A11" s="55"/>
      <c r="B11" s="55"/>
      <c r="C11" s="55"/>
      <c r="D11" s="55"/>
      <c r="E11" s="59"/>
      <c r="F11" s="59"/>
      <c r="G11" s="55"/>
      <c r="H11" s="59"/>
      <c r="I11" s="30"/>
      <c r="J11" s="30"/>
      <c r="K11" s="63"/>
      <c r="L11" s="63"/>
      <c r="M11" s="63"/>
      <c r="N11" s="68"/>
      <c r="O11" s="68"/>
      <c r="P11" s="68"/>
      <c r="Q11" s="55"/>
      <c r="R11" s="55"/>
      <c r="S11" s="74"/>
      <c r="T11" s="63"/>
      <c r="U11" s="59"/>
      <c r="V11" s="76" t="s">
        <v>76</v>
      </c>
      <c r="W11" s="83">
        <v>8</v>
      </c>
      <c r="X11" s="76">
        <v>31070100102</v>
      </c>
      <c r="Y11" s="77" t="s">
        <v>77</v>
      </c>
      <c r="Z11" s="77"/>
      <c r="AA11" s="77"/>
      <c r="AB11" s="77" t="s">
        <v>54</v>
      </c>
      <c r="AC11" s="77" t="s">
        <v>78</v>
      </c>
      <c r="AD11" s="88">
        <v>11.5</v>
      </c>
      <c r="AE11" s="88">
        <v>10</v>
      </c>
      <c r="AF11" s="88">
        <v>8.5</v>
      </c>
    </row>
    <row r="12" s="44" customFormat="1" ht="29" customHeight="1" spans="1:32">
      <c r="A12" s="55"/>
      <c r="B12" s="55"/>
      <c r="C12" s="55"/>
      <c r="D12" s="55"/>
      <c r="E12" s="59"/>
      <c r="F12" s="59"/>
      <c r="G12" s="55"/>
      <c r="H12" s="59"/>
      <c r="I12" s="37"/>
      <c r="J12" s="37"/>
      <c r="K12" s="63"/>
      <c r="L12" s="63"/>
      <c r="M12" s="63"/>
      <c r="N12" s="68"/>
      <c r="O12" s="68"/>
      <c r="P12" s="68"/>
      <c r="Q12" s="55"/>
      <c r="R12" s="55"/>
      <c r="S12" s="74"/>
      <c r="T12" s="63"/>
      <c r="U12" s="59"/>
      <c r="V12" s="76" t="s">
        <v>79</v>
      </c>
      <c r="W12" s="83">
        <v>9</v>
      </c>
      <c r="X12" s="76">
        <v>31070100103</v>
      </c>
      <c r="Y12" s="77" t="s">
        <v>80</v>
      </c>
      <c r="Z12" s="77"/>
      <c r="AA12" s="77"/>
      <c r="AB12" s="77" t="s">
        <v>54</v>
      </c>
      <c r="AC12" s="77" t="s">
        <v>81</v>
      </c>
      <c r="AD12" s="88">
        <v>23</v>
      </c>
      <c r="AE12" s="88">
        <v>20</v>
      </c>
      <c r="AF12" s="88">
        <v>17</v>
      </c>
    </row>
    <row r="13" s="44" customFormat="1" ht="29" customHeight="1" spans="1:32">
      <c r="A13" s="55"/>
      <c r="B13" s="55"/>
      <c r="C13" s="55"/>
      <c r="D13" s="55"/>
      <c r="E13" s="59"/>
      <c r="F13" s="59"/>
      <c r="G13" s="55"/>
      <c r="H13" s="59"/>
      <c r="I13" s="37"/>
      <c r="J13" s="37"/>
      <c r="K13" s="63"/>
      <c r="L13" s="63"/>
      <c r="M13" s="63"/>
      <c r="N13" s="68"/>
      <c r="O13" s="68"/>
      <c r="P13" s="68"/>
      <c r="Q13" s="55"/>
      <c r="R13" s="55"/>
      <c r="S13" s="74"/>
      <c r="T13" s="63"/>
      <c r="U13" s="59"/>
      <c r="V13" s="76" t="s">
        <v>82</v>
      </c>
      <c r="W13" s="83">
        <v>10</v>
      </c>
      <c r="X13" s="76">
        <v>310701005</v>
      </c>
      <c r="Y13" s="77" t="s">
        <v>83</v>
      </c>
      <c r="Z13" s="77" t="s">
        <v>84</v>
      </c>
      <c r="AA13" s="77"/>
      <c r="AB13" s="77" t="s">
        <v>54</v>
      </c>
      <c r="AC13" s="77" t="s">
        <v>40</v>
      </c>
      <c r="AD13" s="88"/>
      <c r="AE13" s="88"/>
      <c r="AF13" s="88"/>
    </row>
    <row r="14" s="44" customFormat="1" ht="29" customHeight="1" spans="1:32">
      <c r="A14" s="55"/>
      <c r="B14" s="55"/>
      <c r="C14" s="55"/>
      <c r="D14" s="55"/>
      <c r="E14" s="59"/>
      <c r="F14" s="59"/>
      <c r="G14" s="55"/>
      <c r="H14" s="59"/>
      <c r="I14" s="37"/>
      <c r="J14" s="37"/>
      <c r="K14" s="63"/>
      <c r="L14" s="63"/>
      <c r="M14" s="63"/>
      <c r="N14" s="68"/>
      <c r="O14" s="68"/>
      <c r="P14" s="68"/>
      <c r="Q14" s="55"/>
      <c r="R14" s="55"/>
      <c r="S14" s="74"/>
      <c r="T14" s="63"/>
      <c r="U14" s="59"/>
      <c r="V14" s="76" t="s">
        <v>85</v>
      </c>
      <c r="W14" s="83">
        <v>11</v>
      </c>
      <c r="X14" s="76">
        <v>310701006</v>
      </c>
      <c r="Y14" s="77" t="s">
        <v>86</v>
      </c>
      <c r="Z14" s="77"/>
      <c r="AA14" s="77"/>
      <c r="AB14" s="77" t="s">
        <v>54</v>
      </c>
      <c r="AC14" s="77" t="s">
        <v>40</v>
      </c>
      <c r="AD14" s="88"/>
      <c r="AE14" s="88"/>
      <c r="AF14" s="88"/>
    </row>
    <row r="15" s="44" customFormat="1" ht="29" customHeight="1" spans="1:32">
      <c r="A15" s="55"/>
      <c r="B15" s="55"/>
      <c r="C15" s="55"/>
      <c r="D15" s="55"/>
      <c r="E15" s="59"/>
      <c r="F15" s="59"/>
      <c r="G15" s="55"/>
      <c r="H15" s="59"/>
      <c r="I15" s="37"/>
      <c r="J15" s="37"/>
      <c r="K15" s="63"/>
      <c r="L15" s="63"/>
      <c r="M15" s="63"/>
      <c r="N15" s="68"/>
      <c r="O15" s="68"/>
      <c r="P15" s="68"/>
      <c r="Q15" s="55"/>
      <c r="R15" s="55"/>
      <c r="S15" s="74"/>
      <c r="T15" s="63"/>
      <c r="U15" s="59"/>
      <c r="V15" s="78" t="s">
        <v>87</v>
      </c>
      <c r="W15" s="83">
        <v>12</v>
      </c>
      <c r="X15" s="78">
        <v>310701002</v>
      </c>
      <c r="Y15" s="79" t="s">
        <v>88</v>
      </c>
      <c r="Z15" s="79"/>
      <c r="AA15" s="79" t="s">
        <v>89</v>
      </c>
      <c r="AB15" s="79" t="s">
        <v>54</v>
      </c>
      <c r="AC15" s="79" t="s">
        <v>40</v>
      </c>
      <c r="AD15" s="89">
        <v>57.5</v>
      </c>
      <c r="AE15" s="89">
        <v>50</v>
      </c>
      <c r="AF15" s="89">
        <v>42.5</v>
      </c>
    </row>
    <row r="16" s="44" customFormat="1" ht="55" customHeight="1" spans="1:32">
      <c r="A16" s="55" t="s">
        <v>55</v>
      </c>
      <c r="B16" s="55" t="s">
        <v>90</v>
      </c>
      <c r="C16" s="55" t="s">
        <v>91</v>
      </c>
      <c r="D16" s="55" t="s">
        <v>36</v>
      </c>
      <c r="E16" s="59" t="s">
        <v>40</v>
      </c>
      <c r="F16" s="59" t="s">
        <v>40</v>
      </c>
      <c r="G16" s="55" t="s">
        <v>54</v>
      </c>
      <c r="H16" s="59"/>
      <c r="I16" s="30">
        <v>2</v>
      </c>
      <c r="J16" s="30">
        <v>2</v>
      </c>
      <c r="K16" s="64">
        <v>2.3</v>
      </c>
      <c r="L16" s="64">
        <v>2</v>
      </c>
      <c r="M16" s="64">
        <v>1.7</v>
      </c>
      <c r="N16" s="68">
        <v>2</v>
      </c>
      <c r="O16" s="35">
        <v>1.9</v>
      </c>
      <c r="P16" s="68">
        <v>1.8</v>
      </c>
      <c r="Q16" s="55" t="s">
        <v>41</v>
      </c>
      <c r="R16" s="55" t="s">
        <v>40</v>
      </c>
      <c r="S16" s="74" t="s">
        <v>40</v>
      </c>
      <c r="T16" s="64"/>
      <c r="U16" s="59" t="s">
        <v>92</v>
      </c>
      <c r="V16" s="76" t="s">
        <v>93</v>
      </c>
      <c r="W16" s="83">
        <v>13</v>
      </c>
      <c r="X16" s="76">
        <v>31070100101</v>
      </c>
      <c r="Y16" s="77" t="s">
        <v>94</v>
      </c>
      <c r="Z16" s="77"/>
      <c r="AA16" s="77"/>
      <c r="AB16" s="77" t="s">
        <v>54</v>
      </c>
      <c r="AC16" s="77" t="s">
        <v>95</v>
      </c>
      <c r="AD16" s="88">
        <v>2.3</v>
      </c>
      <c r="AE16" s="88">
        <v>2</v>
      </c>
      <c r="AF16" s="88">
        <v>1.7</v>
      </c>
    </row>
    <row r="17" s="44" customFormat="1" ht="38" customHeight="1" spans="1:32">
      <c r="A17" s="55" t="s">
        <v>55</v>
      </c>
      <c r="B17" s="55" t="s">
        <v>96</v>
      </c>
      <c r="C17" s="55" t="s">
        <v>97</v>
      </c>
      <c r="D17" s="55" t="s">
        <v>36</v>
      </c>
      <c r="E17" s="59" t="s">
        <v>40</v>
      </c>
      <c r="F17" s="59" t="s">
        <v>40</v>
      </c>
      <c r="G17" s="55" t="s">
        <v>54</v>
      </c>
      <c r="H17" s="59"/>
      <c r="I17" s="30">
        <v>15</v>
      </c>
      <c r="J17" s="30">
        <v>14</v>
      </c>
      <c r="K17" s="64">
        <v>42</v>
      </c>
      <c r="L17" s="64">
        <v>35</v>
      </c>
      <c r="M17" s="64">
        <v>28</v>
      </c>
      <c r="N17" s="35">
        <v>15</v>
      </c>
      <c r="O17" s="35">
        <v>14</v>
      </c>
      <c r="P17" s="35">
        <v>13</v>
      </c>
      <c r="Q17" s="55" t="s">
        <v>41</v>
      </c>
      <c r="R17" s="55" t="s">
        <v>40</v>
      </c>
      <c r="S17" s="74" t="s">
        <v>40</v>
      </c>
      <c r="T17" s="64"/>
      <c r="U17" s="59" t="s">
        <v>98</v>
      </c>
      <c r="V17" s="76" t="s">
        <v>99</v>
      </c>
      <c r="W17" s="83">
        <v>14</v>
      </c>
      <c r="X17" s="76">
        <v>310701015</v>
      </c>
      <c r="Y17" s="77" t="s">
        <v>100</v>
      </c>
      <c r="Z17" s="77" t="s">
        <v>84</v>
      </c>
      <c r="AA17" s="77"/>
      <c r="AB17" s="77" t="s">
        <v>54</v>
      </c>
      <c r="AC17" s="77" t="s">
        <v>40</v>
      </c>
      <c r="AD17" s="88">
        <v>69</v>
      </c>
      <c r="AE17" s="88">
        <v>60</v>
      </c>
      <c r="AF17" s="88">
        <v>51</v>
      </c>
    </row>
    <row r="18" s="44" customFormat="1" ht="38" customHeight="1" spans="1:32">
      <c r="A18" s="55"/>
      <c r="B18" s="55"/>
      <c r="C18" s="55"/>
      <c r="D18" s="55"/>
      <c r="E18" s="59"/>
      <c r="F18" s="59"/>
      <c r="G18" s="55"/>
      <c r="H18" s="59"/>
      <c r="I18" s="37"/>
      <c r="J18" s="37"/>
      <c r="K18" s="64"/>
      <c r="L18" s="64"/>
      <c r="M18" s="64"/>
      <c r="N18" s="35"/>
      <c r="O18" s="35"/>
      <c r="P18" s="35"/>
      <c r="Q18" s="55"/>
      <c r="R18" s="55"/>
      <c r="S18" s="74"/>
      <c r="T18" s="64"/>
      <c r="U18" s="59"/>
      <c r="V18" s="76" t="s">
        <v>101</v>
      </c>
      <c r="W18" s="83">
        <v>15</v>
      </c>
      <c r="X18" s="76">
        <v>310701016</v>
      </c>
      <c r="Y18" s="77" t="s">
        <v>102</v>
      </c>
      <c r="Z18" s="77" t="s">
        <v>84</v>
      </c>
      <c r="AA18" s="77"/>
      <c r="AB18" s="77" t="s">
        <v>54</v>
      </c>
      <c r="AC18" s="77" t="s">
        <v>40</v>
      </c>
      <c r="AD18" s="88">
        <v>69</v>
      </c>
      <c r="AE18" s="88">
        <v>60</v>
      </c>
      <c r="AF18" s="88">
        <v>51</v>
      </c>
    </row>
    <row r="19" s="44" customFormat="1" ht="38" customHeight="1" spans="1:32">
      <c r="A19" s="55" t="s">
        <v>55</v>
      </c>
      <c r="B19" s="55" t="s">
        <v>103</v>
      </c>
      <c r="C19" s="55" t="s">
        <v>104</v>
      </c>
      <c r="D19" s="55" t="s">
        <v>36</v>
      </c>
      <c r="E19" s="59" t="s">
        <v>40</v>
      </c>
      <c r="F19" s="59" t="s">
        <v>40</v>
      </c>
      <c r="G19" s="55" t="s">
        <v>54</v>
      </c>
      <c r="H19" s="59"/>
      <c r="I19" s="30">
        <v>29</v>
      </c>
      <c r="J19" s="30">
        <v>26</v>
      </c>
      <c r="K19" s="64">
        <v>34.5</v>
      </c>
      <c r="L19" s="64">
        <v>30</v>
      </c>
      <c r="M19" s="64">
        <v>25.5</v>
      </c>
      <c r="N19" s="35">
        <v>27</v>
      </c>
      <c r="O19" s="35">
        <v>25</v>
      </c>
      <c r="P19" s="35">
        <v>23</v>
      </c>
      <c r="Q19" s="55" t="s">
        <v>41</v>
      </c>
      <c r="R19" s="55" t="s">
        <v>40</v>
      </c>
      <c r="S19" s="74" t="s">
        <v>40</v>
      </c>
      <c r="T19" s="64"/>
      <c r="U19" s="59" t="s">
        <v>105</v>
      </c>
      <c r="V19" s="76" t="s">
        <v>106</v>
      </c>
      <c r="W19" s="83">
        <v>16</v>
      </c>
      <c r="X19" s="76">
        <v>310701012</v>
      </c>
      <c r="Y19" s="77" t="s">
        <v>107</v>
      </c>
      <c r="Z19" s="77"/>
      <c r="AA19" s="77"/>
      <c r="AB19" s="77" t="s">
        <v>54</v>
      </c>
      <c r="AC19" s="77" t="s">
        <v>40</v>
      </c>
      <c r="AD19" s="88">
        <v>34.5</v>
      </c>
      <c r="AE19" s="88">
        <v>30</v>
      </c>
      <c r="AF19" s="88">
        <v>25.5</v>
      </c>
    </row>
    <row r="20" s="44" customFormat="1" ht="38" customHeight="1" spans="1:32">
      <c r="A20" s="55" t="s">
        <v>55</v>
      </c>
      <c r="B20" s="55" t="s">
        <v>108</v>
      </c>
      <c r="C20" s="55" t="s">
        <v>109</v>
      </c>
      <c r="D20" s="55" t="s">
        <v>36</v>
      </c>
      <c r="E20" s="59" t="s">
        <v>40</v>
      </c>
      <c r="F20" s="59" t="s">
        <v>40</v>
      </c>
      <c r="G20" s="55" t="s">
        <v>54</v>
      </c>
      <c r="H20" s="59" t="s">
        <v>40</v>
      </c>
      <c r="I20" s="30">
        <v>29</v>
      </c>
      <c r="J20" s="30">
        <v>26</v>
      </c>
      <c r="K20" s="64">
        <v>46</v>
      </c>
      <c r="L20" s="64">
        <v>40</v>
      </c>
      <c r="M20" s="64">
        <v>34</v>
      </c>
      <c r="N20" s="35">
        <v>27</v>
      </c>
      <c r="O20" s="35">
        <v>25</v>
      </c>
      <c r="P20" s="35">
        <v>23</v>
      </c>
      <c r="Q20" s="55" t="s">
        <v>41</v>
      </c>
      <c r="R20" s="55" t="s">
        <v>40</v>
      </c>
      <c r="S20" s="74" t="s">
        <v>40</v>
      </c>
      <c r="T20" s="64"/>
      <c r="U20" s="59" t="s">
        <v>105</v>
      </c>
      <c r="V20" s="76" t="s">
        <v>110</v>
      </c>
      <c r="W20" s="83">
        <v>17</v>
      </c>
      <c r="X20" s="76">
        <v>310701004</v>
      </c>
      <c r="Y20" s="77" t="s">
        <v>111</v>
      </c>
      <c r="Z20" s="77" t="s">
        <v>84</v>
      </c>
      <c r="AA20" s="77"/>
      <c r="AB20" s="77" t="s">
        <v>54</v>
      </c>
      <c r="AC20" s="77" t="s">
        <v>40</v>
      </c>
      <c r="AD20" s="88">
        <v>46</v>
      </c>
      <c r="AE20" s="88">
        <v>40</v>
      </c>
      <c r="AF20" s="88">
        <v>34</v>
      </c>
    </row>
    <row r="21" s="44" customFormat="1" ht="34" customHeight="1" spans="1:32">
      <c r="A21" s="55">
        <v>3</v>
      </c>
      <c r="B21" s="55" t="s">
        <v>112</v>
      </c>
      <c r="C21" s="55" t="s">
        <v>113</v>
      </c>
      <c r="D21" s="55" t="s">
        <v>36</v>
      </c>
      <c r="E21" s="59" t="s">
        <v>114</v>
      </c>
      <c r="F21" s="59" t="s">
        <v>69</v>
      </c>
      <c r="G21" s="55" t="s">
        <v>54</v>
      </c>
      <c r="H21" s="59"/>
      <c r="I21" s="30">
        <v>80</v>
      </c>
      <c r="J21" s="30">
        <v>72</v>
      </c>
      <c r="K21" s="63">
        <v>92.0028164886689</v>
      </c>
      <c r="L21" s="63">
        <v>80</v>
      </c>
      <c r="M21" s="63">
        <v>68.0650728222039</v>
      </c>
      <c r="N21" s="68">
        <v>80</v>
      </c>
      <c r="O21" s="68">
        <v>72</v>
      </c>
      <c r="P21" s="68">
        <v>65</v>
      </c>
      <c r="Q21" s="55" t="s">
        <v>41</v>
      </c>
      <c r="R21" s="55" t="s">
        <v>40</v>
      </c>
      <c r="S21" s="74" t="s">
        <v>40</v>
      </c>
      <c r="T21" s="63" t="s">
        <v>115</v>
      </c>
      <c r="U21" s="59" t="s">
        <v>116</v>
      </c>
      <c r="V21" s="76" t="s">
        <v>117</v>
      </c>
      <c r="W21" s="83">
        <v>18</v>
      </c>
      <c r="X21" s="76">
        <v>310701018</v>
      </c>
      <c r="Y21" s="77" t="s">
        <v>118</v>
      </c>
      <c r="Z21" s="77" t="s">
        <v>119</v>
      </c>
      <c r="AA21" s="77"/>
      <c r="AB21" s="77" t="s">
        <v>54</v>
      </c>
      <c r="AC21" s="77" t="s">
        <v>120</v>
      </c>
      <c r="AD21" s="88">
        <v>92</v>
      </c>
      <c r="AE21" s="88">
        <v>80</v>
      </c>
      <c r="AF21" s="88">
        <v>68</v>
      </c>
    </row>
    <row r="22" s="44" customFormat="1" ht="34" customHeight="1" spans="1:32">
      <c r="A22" s="55"/>
      <c r="B22" s="55"/>
      <c r="C22" s="55"/>
      <c r="D22" s="55"/>
      <c r="E22" s="59"/>
      <c r="F22" s="59"/>
      <c r="G22" s="55"/>
      <c r="H22" s="59"/>
      <c r="I22" s="37"/>
      <c r="J22" s="37"/>
      <c r="K22" s="63"/>
      <c r="L22" s="63"/>
      <c r="M22" s="63"/>
      <c r="N22" s="68"/>
      <c r="O22" s="68"/>
      <c r="P22" s="68"/>
      <c r="Q22" s="55"/>
      <c r="R22" s="55"/>
      <c r="S22" s="74"/>
      <c r="T22" s="63"/>
      <c r="U22" s="59"/>
      <c r="V22" s="76" t="s">
        <v>121</v>
      </c>
      <c r="W22" s="83">
        <v>19</v>
      </c>
      <c r="X22" s="76">
        <v>31070101801</v>
      </c>
      <c r="Y22" s="77" t="s">
        <v>122</v>
      </c>
      <c r="Z22" s="77"/>
      <c r="AA22" s="77"/>
      <c r="AB22" s="77" t="s">
        <v>54</v>
      </c>
      <c r="AC22" s="77" t="s">
        <v>123</v>
      </c>
      <c r="AD22" s="88">
        <v>17.3</v>
      </c>
      <c r="AE22" s="88">
        <v>15</v>
      </c>
      <c r="AF22" s="88">
        <v>12.8</v>
      </c>
    </row>
    <row r="23" s="44" customFormat="1" ht="38" customHeight="1" spans="1:32">
      <c r="A23" s="55">
        <v>4</v>
      </c>
      <c r="B23" s="55" t="s">
        <v>124</v>
      </c>
      <c r="C23" s="55" t="s">
        <v>125</v>
      </c>
      <c r="D23" s="55" t="s">
        <v>36</v>
      </c>
      <c r="E23" s="59" t="s">
        <v>126</v>
      </c>
      <c r="F23" s="59" t="s">
        <v>127</v>
      </c>
      <c r="G23" s="55" t="s">
        <v>54</v>
      </c>
      <c r="H23" s="59" t="s">
        <v>40</v>
      </c>
      <c r="I23" s="30">
        <v>107</v>
      </c>
      <c r="J23" s="30">
        <v>96</v>
      </c>
      <c r="K23" s="63">
        <v>114.160341555977</v>
      </c>
      <c r="L23" s="63">
        <v>91.1748633879781</v>
      </c>
      <c r="M23" s="64"/>
      <c r="N23" s="35">
        <v>105</v>
      </c>
      <c r="O23" s="35">
        <v>95</v>
      </c>
      <c r="P23" s="35">
        <v>80</v>
      </c>
      <c r="Q23" s="55" t="s">
        <v>41</v>
      </c>
      <c r="R23" s="55" t="s">
        <v>40</v>
      </c>
      <c r="S23" s="74" t="s">
        <v>40</v>
      </c>
      <c r="T23" s="64" t="s">
        <v>115</v>
      </c>
      <c r="U23" s="59" t="s">
        <v>128</v>
      </c>
      <c r="V23" s="76" t="s">
        <v>129</v>
      </c>
      <c r="W23" s="83">
        <v>20</v>
      </c>
      <c r="X23" s="76">
        <v>310701010</v>
      </c>
      <c r="Y23" s="77" t="s">
        <v>130</v>
      </c>
      <c r="Z23" s="77" t="s">
        <v>131</v>
      </c>
      <c r="AA23" s="77"/>
      <c r="AB23" s="77" t="s">
        <v>54</v>
      </c>
      <c r="AC23" s="77" t="s">
        <v>132</v>
      </c>
      <c r="AD23" s="88">
        <v>149.5</v>
      </c>
      <c r="AE23" s="88">
        <v>130</v>
      </c>
      <c r="AF23" s="88">
        <v>110.5</v>
      </c>
    </row>
    <row r="24" s="44" customFormat="1" ht="38" customHeight="1" spans="1:32">
      <c r="A24" s="55"/>
      <c r="B24" s="55"/>
      <c r="C24" s="55"/>
      <c r="D24" s="55"/>
      <c r="E24" s="59"/>
      <c r="F24" s="59"/>
      <c r="G24" s="55"/>
      <c r="H24" s="59"/>
      <c r="I24" s="37"/>
      <c r="J24" s="37"/>
      <c r="K24" s="63"/>
      <c r="L24" s="63"/>
      <c r="M24" s="64"/>
      <c r="N24" s="35"/>
      <c r="O24" s="35"/>
      <c r="P24" s="35"/>
      <c r="Q24" s="55"/>
      <c r="R24" s="55"/>
      <c r="S24" s="74"/>
      <c r="T24" s="64"/>
      <c r="U24" s="59"/>
      <c r="V24" s="76" t="s">
        <v>133</v>
      </c>
      <c r="W24" s="83">
        <v>21</v>
      </c>
      <c r="X24" s="76">
        <v>31070101001</v>
      </c>
      <c r="Y24" s="77" t="s">
        <v>134</v>
      </c>
      <c r="Z24" s="77"/>
      <c r="AA24" s="77"/>
      <c r="AB24" s="77" t="s">
        <v>54</v>
      </c>
      <c r="AC24" s="77" t="s">
        <v>135</v>
      </c>
      <c r="AD24" s="88">
        <v>34.5</v>
      </c>
      <c r="AE24" s="88">
        <v>30</v>
      </c>
      <c r="AF24" s="88">
        <v>25.5</v>
      </c>
    </row>
    <row r="25" s="44" customFormat="1" ht="38" customHeight="1" spans="1:32">
      <c r="A25" s="55"/>
      <c r="B25" s="55"/>
      <c r="C25" s="55"/>
      <c r="D25" s="55"/>
      <c r="E25" s="59"/>
      <c r="F25" s="59"/>
      <c r="G25" s="55"/>
      <c r="H25" s="59"/>
      <c r="I25" s="37"/>
      <c r="J25" s="37"/>
      <c r="K25" s="63"/>
      <c r="L25" s="63"/>
      <c r="M25" s="64"/>
      <c r="N25" s="35"/>
      <c r="O25" s="35"/>
      <c r="P25" s="35"/>
      <c r="Q25" s="55"/>
      <c r="R25" s="55"/>
      <c r="S25" s="74"/>
      <c r="T25" s="64"/>
      <c r="U25" s="59"/>
      <c r="V25" s="76" t="s">
        <v>136</v>
      </c>
      <c r="W25" s="83">
        <v>22</v>
      </c>
      <c r="X25" s="76">
        <v>310701011</v>
      </c>
      <c r="Y25" s="77" t="s">
        <v>137</v>
      </c>
      <c r="Z25" s="77" t="s">
        <v>84</v>
      </c>
      <c r="AA25" s="77"/>
      <c r="AB25" s="77" t="s">
        <v>54</v>
      </c>
      <c r="AC25" s="77" t="s">
        <v>40</v>
      </c>
      <c r="AD25" s="88">
        <v>51.8</v>
      </c>
      <c r="AE25" s="88">
        <v>45</v>
      </c>
      <c r="AF25" s="88">
        <v>38.3</v>
      </c>
    </row>
    <row r="26" s="44" customFormat="1" ht="38" customHeight="1" spans="1:32">
      <c r="A26" s="55">
        <v>5</v>
      </c>
      <c r="B26" s="55" t="s">
        <v>138</v>
      </c>
      <c r="C26" s="55" t="s">
        <v>139</v>
      </c>
      <c r="D26" s="55" t="s">
        <v>36</v>
      </c>
      <c r="E26" s="59" t="s">
        <v>140</v>
      </c>
      <c r="F26" s="59" t="s">
        <v>69</v>
      </c>
      <c r="G26" s="55" t="s">
        <v>63</v>
      </c>
      <c r="H26" s="59" t="s">
        <v>141</v>
      </c>
      <c r="I26" s="30">
        <v>150</v>
      </c>
      <c r="J26" s="30">
        <v>135</v>
      </c>
      <c r="K26" s="64">
        <v>172.5</v>
      </c>
      <c r="L26" s="63">
        <v>150.005387036098</v>
      </c>
      <c r="M26" s="64">
        <v>127.5</v>
      </c>
      <c r="N26" s="68">
        <v>150</v>
      </c>
      <c r="O26" s="68">
        <v>135</v>
      </c>
      <c r="P26" s="68">
        <v>120</v>
      </c>
      <c r="Q26" s="55" t="s">
        <v>41</v>
      </c>
      <c r="R26" s="55" t="s">
        <v>40</v>
      </c>
      <c r="S26" s="74" t="s">
        <v>40</v>
      </c>
      <c r="T26" s="64" t="s">
        <v>115</v>
      </c>
      <c r="U26" s="59" t="s">
        <v>142</v>
      </c>
      <c r="V26" s="76" t="s">
        <v>143</v>
      </c>
      <c r="W26" s="83">
        <v>23</v>
      </c>
      <c r="X26" s="76">
        <v>310701003</v>
      </c>
      <c r="Y26" s="77" t="s">
        <v>144</v>
      </c>
      <c r="Z26" s="77" t="s">
        <v>145</v>
      </c>
      <c r="AA26" s="77"/>
      <c r="AB26" s="77" t="s">
        <v>54</v>
      </c>
      <c r="AC26" s="77" t="s">
        <v>40</v>
      </c>
      <c r="AD26" s="88">
        <v>172.5</v>
      </c>
      <c r="AE26" s="88">
        <v>150</v>
      </c>
      <c r="AF26" s="88">
        <v>127.5</v>
      </c>
    </row>
    <row r="27" s="44" customFormat="1" ht="38" customHeight="1" spans="1:32">
      <c r="A27" s="55"/>
      <c r="B27" s="55"/>
      <c r="C27" s="55"/>
      <c r="D27" s="55"/>
      <c r="E27" s="59"/>
      <c r="F27" s="59"/>
      <c r="G27" s="55"/>
      <c r="H27" s="59"/>
      <c r="I27" s="37"/>
      <c r="J27" s="37"/>
      <c r="K27" s="64"/>
      <c r="L27" s="63"/>
      <c r="M27" s="64"/>
      <c r="N27" s="68"/>
      <c r="O27" s="68"/>
      <c r="P27" s="68"/>
      <c r="Q27" s="55"/>
      <c r="R27" s="55"/>
      <c r="S27" s="74"/>
      <c r="T27" s="64"/>
      <c r="U27" s="59"/>
      <c r="V27" s="76" t="s">
        <v>146</v>
      </c>
      <c r="W27" s="83">
        <v>24</v>
      </c>
      <c r="X27" s="76">
        <v>310701007</v>
      </c>
      <c r="Y27" s="77" t="s">
        <v>147</v>
      </c>
      <c r="Z27" s="77" t="s">
        <v>148</v>
      </c>
      <c r="AA27" s="77"/>
      <c r="AB27" s="77" t="s">
        <v>54</v>
      </c>
      <c r="AC27" s="77" t="s">
        <v>40</v>
      </c>
      <c r="AD27" s="88">
        <v>11.5</v>
      </c>
      <c r="AE27" s="88">
        <v>10</v>
      </c>
      <c r="AF27" s="88">
        <v>8.5</v>
      </c>
    </row>
    <row r="28" s="44" customFormat="1" ht="64" customHeight="1" spans="1:32">
      <c r="A28" s="55">
        <v>6</v>
      </c>
      <c r="B28" s="55" t="s">
        <v>149</v>
      </c>
      <c r="C28" s="55" t="s">
        <v>150</v>
      </c>
      <c r="D28" s="55" t="s">
        <v>151</v>
      </c>
      <c r="E28" s="59" t="s">
        <v>152</v>
      </c>
      <c r="F28" s="59" t="s">
        <v>153</v>
      </c>
      <c r="G28" s="55" t="s">
        <v>54</v>
      </c>
      <c r="H28" s="59"/>
      <c r="I28" s="30">
        <v>132</v>
      </c>
      <c r="J28" s="30">
        <v>119</v>
      </c>
      <c r="K28" s="64">
        <v>138</v>
      </c>
      <c r="L28" s="64">
        <v>120</v>
      </c>
      <c r="M28" s="64">
        <v>102</v>
      </c>
      <c r="N28" s="68">
        <v>132</v>
      </c>
      <c r="O28" s="68">
        <v>119</v>
      </c>
      <c r="P28" s="69">
        <v>102</v>
      </c>
      <c r="Q28" s="55" t="s">
        <v>41</v>
      </c>
      <c r="R28" s="55" t="s">
        <v>40</v>
      </c>
      <c r="S28" s="74" t="s">
        <v>40</v>
      </c>
      <c r="T28" s="64" t="s">
        <v>115</v>
      </c>
      <c r="U28" s="59" t="s">
        <v>116</v>
      </c>
      <c r="V28" s="76" t="s">
        <v>154</v>
      </c>
      <c r="W28" s="83">
        <v>25</v>
      </c>
      <c r="X28" s="76">
        <v>310702015</v>
      </c>
      <c r="Y28" s="77" t="s">
        <v>155</v>
      </c>
      <c r="Z28" s="77" t="s">
        <v>156</v>
      </c>
      <c r="AA28" s="77"/>
      <c r="AB28" s="77" t="s">
        <v>54</v>
      </c>
      <c r="AC28" s="77" t="s">
        <v>157</v>
      </c>
      <c r="AD28" s="88">
        <v>138</v>
      </c>
      <c r="AE28" s="88">
        <v>120</v>
      </c>
      <c r="AF28" s="88">
        <v>102</v>
      </c>
    </row>
    <row r="29" s="44" customFormat="1" ht="57" customHeight="1" spans="1:32">
      <c r="A29" s="55">
        <v>7</v>
      </c>
      <c r="B29" s="55" t="s">
        <v>158</v>
      </c>
      <c r="C29" s="55" t="s">
        <v>159</v>
      </c>
      <c r="D29" s="55" t="s">
        <v>151</v>
      </c>
      <c r="E29" s="59" t="s">
        <v>160</v>
      </c>
      <c r="F29" s="59" t="s">
        <v>161</v>
      </c>
      <c r="G29" s="55" t="s">
        <v>54</v>
      </c>
      <c r="H29" s="59" t="s">
        <v>40</v>
      </c>
      <c r="I29" s="30">
        <v>132</v>
      </c>
      <c r="J29" s="30">
        <v>119</v>
      </c>
      <c r="K29" s="64">
        <v>138</v>
      </c>
      <c r="L29" s="64">
        <v>120</v>
      </c>
      <c r="M29" s="64">
        <v>102</v>
      </c>
      <c r="N29" s="68">
        <v>132</v>
      </c>
      <c r="O29" s="68">
        <v>119</v>
      </c>
      <c r="P29" s="69">
        <v>102</v>
      </c>
      <c r="Q29" s="55" t="s">
        <v>41</v>
      </c>
      <c r="R29" s="55" t="s">
        <v>40</v>
      </c>
      <c r="S29" s="74" t="s">
        <v>40</v>
      </c>
      <c r="T29" s="64" t="s">
        <v>115</v>
      </c>
      <c r="U29" s="59" t="s">
        <v>162</v>
      </c>
      <c r="V29" s="76" t="s">
        <v>163</v>
      </c>
      <c r="W29" s="83">
        <v>26</v>
      </c>
      <c r="X29" s="76">
        <v>310702014</v>
      </c>
      <c r="Y29" s="77" t="s">
        <v>164</v>
      </c>
      <c r="Z29" s="77"/>
      <c r="AA29" s="77"/>
      <c r="AB29" s="77" t="s">
        <v>54</v>
      </c>
      <c r="AC29" s="77" t="s">
        <v>157</v>
      </c>
      <c r="AD29" s="88">
        <v>138</v>
      </c>
      <c r="AE29" s="88">
        <v>120</v>
      </c>
      <c r="AF29" s="88">
        <v>102</v>
      </c>
    </row>
    <row r="30" s="44" customFormat="1" ht="68" customHeight="1" spans="1:32">
      <c r="A30" s="55">
        <v>8</v>
      </c>
      <c r="B30" s="55" t="s">
        <v>165</v>
      </c>
      <c r="C30" s="55" t="s">
        <v>166</v>
      </c>
      <c r="D30" s="55" t="s">
        <v>36</v>
      </c>
      <c r="E30" s="59" t="s">
        <v>167</v>
      </c>
      <c r="F30" s="59" t="s">
        <v>168</v>
      </c>
      <c r="G30" s="55" t="s">
        <v>54</v>
      </c>
      <c r="H30" s="59"/>
      <c r="I30" s="30">
        <v>700</v>
      </c>
      <c r="J30" s="30">
        <v>630</v>
      </c>
      <c r="K30" s="64"/>
      <c r="L30" s="64"/>
      <c r="M30" s="64"/>
      <c r="N30" s="35">
        <v>665</v>
      </c>
      <c r="O30" s="35">
        <v>600</v>
      </c>
      <c r="P30" s="35">
        <v>510</v>
      </c>
      <c r="Q30" s="55" t="s">
        <v>169</v>
      </c>
      <c r="R30" s="55" t="s">
        <v>40</v>
      </c>
      <c r="S30" s="74" t="s">
        <v>40</v>
      </c>
      <c r="T30" s="64" t="s">
        <v>170</v>
      </c>
      <c r="U30" s="59" t="s">
        <v>171</v>
      </c>
      <c r="V30" s="76"/>
      <c r="W30" s="83">
        <v>27</v>
      </c>
      <c r="X30" s="76"/>
      <c r="Y30" s="77"/>
      <c r="Z30" s="77"/>
      <c r="AA30" s="77"/>
      <c r="AB30" s="77"/>
      <c r="AC30" s="77"/>
      <c r="AD30" s="88"/>
      <c r="AE30" s="88"/>
      <c r="AF30" s="88"/>
    </row>
    <row r="31" s="44" customFormat="1" ht="76" customHeight="1" spans="1:32">
      <c r="A31" s="55">
        <v>9</v>
      </c>
      <c r="B31" s="55" t="s">
        <v>172</v>
      </c>
      <c r="C31" s="55" t="s">
        <v>173</v>
      </c>
      <c r="D31" s="55" t="s">
        <v>36</v>
      </c>
      <c r="E31" s="59" t="s">
        <v>174</v>
      </c>
      <c r="F31" s="59" t="s">
        <v>175</v>
      </c>
      <c r="G31" s="55" t="s">
        <v>54</v>
      </c>
      <c r="H31" s="59" t="s">
        <v>176</v>
      </c>
      <c r="I31" s="30">
        <v>160</v>
      </c>
      <c r="J31" s="30">
        <v>144</v>
      </c>
      <c r="K31" s="64">
        <v>184</v>
      </c>
      <c r="L31" s="64">
        <v>160</v>
      </c>
      <c r="M31" s="64">
        <v>136</v>
      </c>
      <c r="N31" s="68">
        <v>160</v>
      </c>
      <c r="O31" s="68">
        <v>144</v>
      </c>
      <c r="P31" s="68">
        <v>125</v>
      </c>
      <c r="Q31" s="55" t="s">
        <v>41</v>
      </c>
      <c r="R31" s="55" t="s">
        <v>40</v>
      </c>
      <c r="S31" s="74" t="s">
        <v>40</v>
      </c>
      <c r="T31" s="64" t="s">
        <v>115</v>
      </c>
      <c r="U31" s="59" t="s">
        <v>116</v>
      </c>
      <c r="V31" s="76" t="s">
        <v>177</v>
      </c>
      <c r="W31" s="83">
        <v>28</v>
      </c>
      <c r="X31" s="76">
        <v>310701017</v>
      </c>
      <c r="Y31" s="77" t="s">
        <v>178</v>
      </c>
      <c r="Z31" s="77"/>
      <c r="AA31" s="77"/>
      <c r="AB31" s="77" t="s">
        <v>54</v>
      </c>
      <c r="AC31" s="77" t="s">
        <v>40</v>
      </c>
      <c r="AD31" s="88">
        <v>184</v>
      </c>
      <c r="AE31" s="88">
        <v>160</v>
      </c>
      <c r="AF31" s="88">
        <v>136</v>
      </c>
    </row>
    <row r="32" s="44" customFormat="1" ht="63" customHeight="1" spans="1:32">
      <c r="A32" s="55">
        <v>10</v>
      </c>
      <c r="B32" s="55" t="s">
        <v>179</v>
      </c>
      <c r="C32" s="55" t="s">
        <v>180</v>
      </c>
      <c r="D32" s="55" t="s">
        <v>36</v>
      </c>
      <c r="E32" s="59" t="s">
        <v>181</v>
      </c>
      <c r="F32" s="59" t="s">
        <v>182</v>
      </c>
      <c r="G32" s="55" t="s">
        <v>54</v>
      </c>
      <c r="H32" s="59" t="s">
        <v>176</v>
      </c>
      <c r="I32" s="30">
        <v>40</v>
      </c>
      <c r="J32" s="30">
        <v>36</v>
      </c>
      <c r="K32" s="64">
        <v>36</v>
      </c>
      <c r="L32" s="64">
        <v>32</v>
      </c>
      <c r="M32" s="64">
        <v>27</v>
      </c>
      <c r="N32" s="35">
        <v>36</v>
      </c>
      <c r="O32" s="35">
        <v>32</v>
      </c>
      <c r="P32" s="35">
        <v>27</v>
      </c>
      <c r="Q32" s="55" t="s">
        <v>169</v>
      </c>
      <c r="R32" s="55" t="s">
        <v>40</v>
      </c>
      <c r="S32" s="74" t="s">
        <v>40</v>
      </c>
      <c r="T32" s="64" t="s">
        <v>183</v>
      </c>
      <c r="U32" s="59" t="s">
        <v>183</v>
      </c>
      <c r="V32" s="76" t="s">
        <v>184</v>
      </c>
      <c r="W32" s="83">
        <v>29</v>
      </c>
      <c r="X32" s="76">
        <v>340200046</v>
      </c>
      <c r="Y32" s="80" t="s">
        <v>185</v>
      </c>
      <c r="Z32" s="84" t="s">
        <v>186</v>
      </c>
      <c r="AA32" s="77"/>
      <c r="AB32" s="77" t="s">
        <v>54</v>
      </c>
      <c r="AC32" s="77" t="s">
        <v>40</v>
      </c>
      <c r="AD32" s="88">
        <v>36</v>
      </c>
      <c r="AE32" s="88">
        <v>32</v>
      </c>
      <c r="AF32" s="88">
        <v>27</v>
      </c>
    </row>
    <row r="33" s="44" customFormat="1" ht="40" customHeight="1" spans="1:33">
      <c r="A33" s="57">
        <v>11</v>
      </c>
      <c r="B33" s="57" t="s">
        <v>187</v>
      </c>
      <c r="C33" s="57" t="s">
        <v>188</v>
      </c>
      <c r="D33" s="57" t="s">
        <v>36</v>
      </c>
      <c r="E33" s="60" t="s">
        <v>189</v>
      </c>
      <c r="F33" s="60" t="s">
        <v>190</v>
      </c>
      <c r="G33" s="57" t="s">
        <v>63</v>
      </c>
      <c r="H33" s="60" t="s">
        <v>40</v>
      </c>
      <c r="I33" s="30">
        <v>200</v>
      </c>
      <c r="J33" s="30">
        <v>180</v>
      </c>
      <c r="K33" s="63">
        <v>257.240940952834</v>
      </c>
      <c r="L33" s="63">
        <v>179.938851257307</v>
      </c>
      <c r="M33" s="63">
        <v>195.927846889952</v>
      </c>
      <c r="N33" s="35">
        <v>200</v>
      </c>
      <c r="O33" s="35">
        <v>180</v>
      </c>
      <c r="P33" s="35">
        <v>165</v>
      </c>
      <c r="Q33" s="55" t="s">
        <v>41</v>
      </c>
      <c r="R33" s="55" t="s">
        <v>40</v>
      </c>
      <c r="S33" s="74" t="s">
        <v>40</v>
      </c>
      <c r="T33" s="63" t="s">
        <v>115</v>
      </c>
      <c r="U33" s="59" t="s">
        <v>191</v>
      </c>
      <c r="V33" s="81" t="s">
        <v>192</v>
      </c>
      <c r="W33" s="83">
        <v>30</v>
      </c>
      <c r="X33" s="81">
        <v>310701021</v>
      </c>
      <c r="Y33" s="82" t="s">
        <v>193</v>
      </c>
      <c r="Z33" s="82" t="s">
        <v>194</v>
      </c>
      <c r="AA33" s="82"/>
      <c r="AB33" s="77" t="s">
        <v>39</v>
      </c>
      <c r="AC33" s="77" t="s">
        <v>40</v>
      </c>
      <c r="AD33" s="88">
        <v>11.5</v>
      </c>
      <c r="AE33" s="88">
        <v>10</v>
      </c>
      <c r="AF33" s="88">
        <v>8.5</v>
      </c>
      <c r="AG33" s="117"/>
    </row>
    <row r="34" s="44" customFormat="1" ht="40" customHeight="1" spans="1:33">
      <c r="A34" s="57"/>
      <c r="B34" s="57"/>
      <c r="C34" s="57"/>
      <c r="D34" s="57"/>
      <c r="E34" s="60"/>
      <c r="F34" s="60"/>
      <c r="G34" s="57"/>
      <c r="H34" s="60"/>
      <c r="I34" s="37"/>
      <c r="J34" s="37"/>
      <c r="K34" s="63"/>
      <c r="L34" s="63"/>
      <c r="M34" s="63"/>
      <c r="N34" s="35"/>
      <c r="O34" s="35"/>
      <c r="P34" s="35"/>
      <c r="Q34" s="55"/>
      <c r="R34" s="55"/>
      <c r="S34" s="74"/>
      <c r="T34" s="63"/>
      <c r="U34" s="59"/>
      <c r="V34" s="81" t="s">
        <v>195</v>
      </c>
      <c r="W34" s="83">
        <v>31</v>
      </c>
      <c r="X34" s="81">
        <v>31070102101</v>
      </c>
      <c r="Y34" s="82" t="s">
        <v>196</v>
      </c>
      <c r="Z34" s="82"/>
      <c r="AA34" s="82"/>
      <c r="AB34" s="77" t="s">
        <v>39</v>
      </c>
      <c r="AC34" s="77" t="s">
        <v>197</v>
      </c>
      <c r="AD34" s="88">
        <v>11.5</v>
      </c>
      <c r="AE34" s="88">
        <v>10</v>
      </c>
      <c r="AF34" s="88">
        <v>8.5</v>
      </c>
      <c r="AG34" s="117"/>
    </row>
    <row r="35" s="44" customFormat="1" ht="38" customHeight="1" spans="1:33">
      <c r="A35" s="55">
        <v>12</v>
      </c>
      <c r="B35" s="55" t="s">
        <v>198</v>
      </c>
      <c r="C35" s="55" t="s">
        <v>199</v>
      </c>
      <c r="D35" s="55" t="s">
        <v>36</v>
      </c>
      <c r="E35" s="59" t="s">
        <v>200</v>
      </c>
      <c r="F35" s="59" t="s">
        <v>201</v>
      </c>
      <c r="G35" s="55" t="s">
        <v>54</v>
      </c>
      <c r="H35" s="59" t="s">
        <v>40</v>
      </c>
      <c r="I35" s="30">
        <v>47</v>
      </c>
      <c r="J35" s="30">
        <v>42</v>
      </c>
      <c r="K35" s="63">
        <v>46.9547309647212</v>
      </c>
      <c r="L35" s="63" t="e">
        <v>#DIV/0!</v>
      </c>
      <c r="M35" s="63">
        <v>37.6507385524372</v>
      </c>
      <c r="N35" s="68">
        <v>47</v>
      </c>
      <c r="O35" s="68">
        <v>42</v>
      </c>
      <c r="P35" s="68">
        <v>37</v>
      </c>
      <c r="Q35" s="55" t="s">
        <v>41</v>
      </c>
      <c r="R35" s="55" t="s">
        <v>40</v>
      </c>
      <c r="S35" s="74" t="s">
        <v>40</v>
      </c>
      <c r="T35" s="63" t="s">
        <v>42</v>
      </c>
      <c r="U35" s="59" t="s">
        <v>42</v>
      </c>
      <c r="V35" s="76" t="s">
        <v>202</v>
      </c>
      <c r="W35" s="83">
        <v>32</v>
      </c>
      <c r="X35" s="76">
        <v>310701029</v>
      </c>
      <c r="Y35" s="77" t="s">
        <v>203</v>
      </c>
      <c r="Z35" s="77" t="s">
        <v>204</v>
      </c>
      <c r="AA35" s="77"/>
      <c r="AB35" s="77" t="s">
        <v>54</v>
      </c>
      <c r="AC35" s="77" t="s">
        <v>40</v>
      </c>
      <c r="AD35" s="88">
        <v>50</v>
      </c>
      <c r="AE35" s="88">
        <v>50</v>
      </c>
      <c r="AF35" s="88">
        <v>42.5</v>
      </c>
      <c r="AG35" s="117"/>
    </row>
    <row r="36" s="44" customFormat="1" ht="38" customHeight="1" spans="1:33">
      <c r="A36" s="55"/>
      <c r="B36" s="55"/>
      <c r="C36" s="55"/>
      <c r="D36" s="55"/>
      <c r="E36" s="59"/>
      <c r="F36" s="59"/>
      <c r="G36" s="55"/>
      <c r="H36" s="59"/>
      <c r="I36" s="37"/>
      <c r="J36" s="37"/>
      <c r="K36" s="63"/>
      <c r="L36" s="63"/>
      <c r="M36" s="63"/>
      <c r="N36" s="68"/>
      <c r="O36" s="68"/>
      <c r="P36" s="68"/>
      <c r="Q36" s="55"/>
      <c r="R36" s="55"/>
      <c r="S36" s="74"/>
      <c r="T36" s="63"/>
      <c r="U36" s="59"/>
      <c r="V36" s="76" t="s">
        <v>205</v>
      </c>
      <c r="W36" s="83">
        <v>33</v>
      </c>
      <c r="X36" s="76">
        <v>310701030</v>
      </c>
      <c r="Y36" s="77" t="s">
        <v>206</v>
      </c>
      <c r="Z36" s="77" t="s">
        <v>207</v>
      </c>
      <c r="AA36" s="77"/>
      <c r="AB36" s="77" t="s">
        <v>54</v>
      </c>
      <c r="AC36" s="77" t="s">
        <v>40</v>
      </c>
      <c r="AD36" s="88">
        <v>35</v>
      </c>
      <c r="AE36" s="88">
        <v>35</v>
      </c>
      <c r="AF36" s="88">
        <v>29.8</v>
      </c>
      <c r="AG36" s="117"/>
    </row>
    <row r="37" s="44" customFormat="1" ht="38" customHeight="1" spans="1:33">
      <c r="A37" s="55">
        <v>13</v>
      </c>
      <c r="B37" s="55" t="s">
        <v>208</v>
      </c>
      <c r="C37" s="55" t="s">
        <v>209</v>
      </c>
      <c r="D37" s="55" t="s">
        <v>151</v>
      </c>
      <c r="E37" s="59" t="s">
        <v>210</v>
      </c>
      <c r="F37" s="59" t="s">
        <v>211</v>
      </c>
      <c r="G37" s="55" t="s">
        <v>54</v>
      </c>
      <c r="H37" s="59" t="s">
        <v>40</v>
      </c>
      <c r="I37" s="30">
        <v>59</v>
      </c>
      <c r="J37" s="30">
        <v>53</v>
      </c>
      <c r="K37" s="63">
        <v>60.3326105810928</v>
      </c>
      <c r="L37" s="63">
        <v>51.0606060606061</v>
      </c>
      <c r="M37" s="63">
        <v>42.5</v>
      </c>
      <c r="N37" s="35">
        <v>57</v>
      </c>
      <c r="O37" s="35">
        <v>51</v>
      </c>
      <c r="P37" s="35">
        <v>43</v>
      </c>
      <c r="Q37" s="55" t="s">
        <v>41</v>
      </c>
      <c r="R37" s="55" t="s">
        <v>40</v>
      </c>
      <c r="S37" s="74" t="s">
        <v>40</v>
      </c>
      <c r="T37" s="63" t="s">
        <v>115</v>
      </c>
      <c r="U37" s="59" t="s">
        <v>212</v>
      </c>
      <c r="V37" s="76" t="s">
        <v>213</v>
      </c>
      <c r="W37" s="83">
        <v>34</v>
      </c>
      <c r="X37" s="76">
        <v>310702013</v>
      </c>
      <c r="Y37" s="77" t="s">
        <v>214</v>
      </c>
      <c r="Z37" s="77"/>
      <c r="AA37" s="77"/>
      <c r="AB37" s="77" t="s">
        <v>54</v>
      </c>
      <c r="AC37" s="77" t="s">
        <v>157</v>
      </c>
      <c r="AD37" s="88">
        <v>51.8</v>
      </c>
      <c r="AE37" s="88">
        <v>45</v>
      </c>
      <c r="AF37" s="88">
        <v>38.3</v>
      </c>
      <c r="AG37" s="118"/>
    </row>
    <row r="38" s="44" customFormat="1" ht="38" customHeight="1" spans="1:33">
      <c r="A38" s="55"/>
      <c r="B38" s="55"/>
      <c r="C38" s="55"/>
      <c r="D38" s="55"/>
      <c r="E38" s="59"/>
      <c r="F38" s="59"/>
      <c r="G38" s="55"/>
      <c r="H38" s="59"/>
      <c r="I38" s="37"/>
      <c r="J38" s="37"/>
      <c r="K38" s="63"/>
      <c r="L38" s="63"/>
      <c r="M38" s="63"/>
      <c r="N38" s="35"/>
      <c r="O38" s="35"/>
      <c r="P38" s="35"/>
      <c r="Q38" s="55"/>
      <c r="R38" s="55"/>
      <c r="S38" s="74"/>
      <c r="T38" s="63"/>
      <c r="U38" s="59"/>
      <c r="V38" s="76" t="s">
        <v>215</v>
      </c>
      <c r="W38" s="83">
        <v>35</v>
      </c>
      <c r="X38" s="76">
        <v>310702016</v>
      </c>
      <c r="Y38" s="77" t="s">
        <v>216</v>
      </c>
      <c r="Z38" s="77"/>
      <c r="AA38" s="77"/>
      <c r="AB38" s="77" t="s">
        <v>54</v>
      </c>
      <c r="AC38" s="77" t="s">
        <v>157</v>
      </c>
      <c r="AD38" s="88">
        <v>69</v>
      </c>
      <c r="AE38" s="88">
        <v>60</v>
      </c>
      <c r="AF38" s="88">
        <v>51</v>
      </c>
      <c r="AG38" s="118"/>
    </row>
    <row r="39" s="44" customFormat="1" ht="38" customHeight="1" spans="1:33">
      <c r="A39" s="55"/>
      <c r="B39" s="55"/>
      <c r="C39" s="55"/>
      <c r="D39" s="55"/>
      <c r="E39" s="59"/>
      <c r="F39" s="59"/>
      <c r="G39" s="55"/>
      <c r="H39" s="59"/>
      <c r="I39" s="37"/>
      <c r="J39" s="37"/>
      <c r="K39" s="63"/>
      <c r="L39" s="63"/>
      <c r="M39" s="63"/>
      <c r="N39" s="35"/>
      <c r="O39" s="35"/>
      <c r="P39" s="35"/>
      <c r="Q39" s="55"/>
      <c r="R39" s="55"/>
      <c r="S39" s="74"/>
      <c r="T39" s="63"/>
      <c r="U39" s="59"/>
      <c r="V39" s="76" t="s">
        <v>217</v>
      </c>
      <c r="W39" s="83">
        <v>36</v>
      </c>
      <c r="X39" s="76">
        <v>310702017</v>
      </c>
      <c r="Y39" s="77" t="s">
        <v>218</v>
      </c>
      <c r="Z39" s="77"/>
      <c r="AA39" s="77"/>
      <c r="AB39" s="77" t="s">
        <v>54</v>
      </c>
      <c r="AC39" s="77" t="s">
        <v>157</v>
      </c>
      <c r="AD39" s="88">
        <v>57.5</v>
      </c>
      <c r="AE39" s="88">
        <v>50</v>
      </c>
      <c r="AF39" s="88">
        <v>42.5</v>
      </c>
      <c r="AG39" s="118"/>
    </row>
    <row r="40" s="44" customFormat="1" ht="38" customHeight="1" spans="1:33">
      <c r="A40" s="55"/>
      <c r="B40" s="55"/>
      <c r="C40" s="55"/>
      <c r="D40" s="55"/>
      <c r="E40" s="59"/>
      <c r="F40" s="59"/>
      <c r="G40" s="55"/>
      <c r="H40" s="59"/>
      <c r="I40" s="37"/>
      <c r="J40" s="37"/>
      <c r="K40" s="63"/>
      <c r="L40" s="63"/>
      <c r="M40" s="63"/>
      <c r="N40" s="35"/>
      <c r="O40" s="35"/>
      <c r="P40" s="35"/>
      <c r="Q40" s="55"/>
      <c r="R40" s="55"/>
      <c r="S40" s="74"/>
      <c r="T40" s="63"/>
      <c r="U40" s="59"/>
      <c r="V40" s="76" t="s">
        <v>219</v>
      </c>
      <c r="W40" s="83">
        <v>37</v>
      </c>
      <c r="X40" s="76">
        <v>310702018</v>
      </c>
      <c r="Y40" s="77" t="s">
        <v>220</v>
      </c>
      <c r="Z40" s="77" t="s">
        <v>221</v>
      </c>
      <c r="AA40" s="77" t="s">
        <v>222</v>
      </c>
      <c r="AB40" s="77" t="s">
        <v>54</v>
      </c>
      <c r="AC40" s="77" t="s">
        <v>157</v>
      </c>
      <c r="AD40" s="88">
        <v>57.5</v>
      </c>
      <c r="AE40" s="88">
        <v>50</v>
      </c>
      <c r="AF40" s="88">
        <v>42.5</v>
      </c>
      <c r="AG40" s="117"/>
    </row>
    <row r="41" s="44" customFormat="1" ht="27" customHeight="1" spans="1:33">
      <c r="A41" s="55">
        <v>14</v>
      </c>
      <c r="B41" s="57" t="s">
        <v>223</v>
      </c>
      <c r="C41" s="57" t="s">
        <v>224</v>
      </c>
      <c r="D41" s="57" t="s">
        <v>36</v>
      </c>
      <c r="E41" s="60" t="s">
        <v>225</v>
      </c>
      <c r="F41" s="60" t="s">
        <v>226</v>
      </c>
      <c r="G41" s="57" t="s">
        <v>39</v>
      </c>
      <c r="H41" s="60" t="s">
        <v>40</v>
      </c>
      <c r="I41" s="30">
        <v>15</v>
      </c>
      <c r="J41" s="30">
        <v>14</v>
      </c>
      <c r="K41" s="63">
        <v>19.3466573891666</v>
      </c>
      <c r="L41" s="63">
        <v>17.5045779325974</v>
      </c>
      <c r="M41" s="63">
        <v>12.8</v>
      </c>
      <c r="N41" s="68">
        <v>15</v>
      </c>
      <c r="O41" s="68">
        <v>14</v>
      </c>
      <c r="P41" s="68">
        <v>13</v>
      </c>
      <c r="Q41" s="55" t="s">
        <v>41</v>
      </c>
      <c r="R41" s="55" t="s">
        <v>40</v>
      </c>
      <c r="S41" s="74" t="s">
        <v>40</v>
      </c>
      <c r="T41" s="63" t="s">
        <v>115</v>
      </c>
      <c r="U41" s="59" t="s">
        <v>227</v>
      </c>
      <c r="V41" s="76" t="s">
        <v>228</v>
      </c>
      <c r="W41" s="83">
        <v>38</v>
      </c>
      <c r="X41" s="83">
        <v>310702001</v>
      </c>
      <c r="Y41" s="77" t="s">
        <v>229</v>
      </c>
      <c r="Z41" s="77" t="s">
        <v>230</v>
      </c>
      <c r="AA41" s="77" t="s">
        <v>231</v>
      </c>
      <c r="AB41" s="77" t="s">
        <v>54</v>
      </c>
      <c r="AC41" s="77" t="s">
        <v>232</v>
      </c>
      <c r="AD41" s="88">
        <v>115</v>
      </c>
      <c r="AE41" s="88">
        <v>100</v>
      </c>
      <c r="AF41" s="88">
        <v>85</v>
      </c>
      <c r="AG41" s="117"/>
    </row>
    <row r="42" s="44" customFormat="1" ht="27" customHeight="1" spans="1:33">
      <c r="A42" s="55"/>
      <c r="B42" s="57"/>
      <c r="C42" s="57"/>
      <c r="D42" s="57"/>
      <c r="E42" s="60"/>
      <c r="F42" s="60"/>
      <c r="G42" s="57"/>
      <c r="H42" s="60"/>
      <c r="I42" s="37"/>
      <c r="J42" s="37"/>
      <c r="K42" s="63"/>
      <c r="L42" s="63"/>
      <c r="M42" s="63"/>
      <c r="N42" s="68"/>
      <c r="O42" s="68"/>
      <c r="P42" s="68"/>
      <c r="Q42" s="55"/>
      <c r="R42" s="55"/>
      <c r="S42" s="74"/>
      <c r="T42" s="63"/>
      <c r="U42" s="59"/>
      <c r="V42" s="81" t="s">
        <v>233</v>
      </c>
      <c r="W42" s="83">
        <v>39</v>
      </c>
      <c r="X42" s="81">
        <v>31070200102</v>
      </c>
      <c r="Y42" s="82" t="s">
        <v>234</v>
      </c>
      <c r="Z42" s="82"/>
      <c r="AA42" s="82"/>
      <c r="AB42" s="82" t="s">
        <v>39</v>
      </c>
      <c r="AC42" s="82" t="s">
        <v>235</v>
      </c>
      <c r="AD42" s="88">
        <v>40.3</v>
      </c>
      <c r="AE42" s="88">
        <v>35</v>
      </c>
      <c r="AF42" s="88">
        <v>30</v>
      </c>
      <c r="AG42" s="117"/>
    </row>
    <row r="43" s="44" customFormat="1" ht="27" customHeight="1" spans="1:33">
      <c r="A43" s="55"/>
      <c r="B43" s="57"/>
      <c r="C43" s="57"/>
      <c r="D43" s="57"/>
      <c r="E43" s="60"/>
      <c r="F43" s="60"/>
      <c r="G43" s="57"/>
      <c r="H43" s="60"/>
      <c r="I43" s="37"/>
      <c r="J43" s="37"/>
      <c r="K43" s="63"/>
      <c r="L43" s="63"/>
      <c r="M43" s="63"/>
      <c r="N43" s="68"/>
      <c r="O43" s="68"/>
      <c r="P43" s="68"/>
      <c r="Q43" s="55"/>
      <c r="R43" s="55"/>
      <c r="S43" s="74"/>
      <c r="T43" s="63"/>
      <c r="U43" s="59"/>
      <c r="V43" s="81" t="s">
        <v>236</v>
      </c>
      <c r="W43" s="83">
        <v>40</v>
      </c>
      <c r="X43" s="81">
        <v>310702002</v>
      </c>
      <c r="Y43" s="82" t="s">
        <v>237</v>
      </c>
      <c r="Z43" s="82" t="s">
        <v>238</v>
      </c>
      <c r="AA43" s="82" t="s">
        <v>239</v>
      </c>
      <c r="AB43" s="82" t="s">
        <v>39</v>
      </c>
      <c r="AC43" s="82" t="s">
        <v>157</v>
      </c>
      <c r="AD43" s="88">
        <v>23</v>
      </c>
      <c r="AE43" s="88">
        <v>20</v>
      </c>
      <c r="AF43" s="88">
        <v>17</v>
      </c>
      <c r="AG43" s="117"/>
    </row>
    <row r="44" s="44" customFormat="1" ht="27" customHeight="1" spans="1:33">
      <c r="A44" s="55"/>
      <c r="B44" s="57"/>
      <c r="C44" s="57"/>
      <c r="D44" s="57"/>
      <c r="E44" s="60"/>
      <c r="F44" s="60"/>
      <c r="G44" s="57"/>
      <c r="H44" s="60"/>
      <c r="I44" s="37"/>
      <c r="J44" s="37"/>
      <c r="K44" s="63"/>
      <c r="L44" s="63"/>
      <c r="M44" s="63"/>
      <c r="N44" s="68"/>
      <c r="O44" s="68"/>
      <c r="P44" s="68"/>
      <c r="Q44" s="55"/>
      <c r="R44" s="55"/>
      <c r="S44" s="74"/>
      <c r="T44" s="63"/>
      <c r="U44" s="59"/>
      <c r="V44" s="81" t="s">
        <v>240</v>
      </c>
      <c r="W44" s="83">
        <v>41</v>
      </c>
      <c r="X44" s="81">
        <v>310701025</v>
      </c>
      <c r="Y44" s="82" t="s">
        <v>241</v>
      </c>
      <c r="Z44" s="82"/>
      <c r="AA44" s="82" t="s">
        <v>242</v>
      </c>
      <c r="AB44" s="82" t="s">
        <v>39</v>
      </c>
      <c r="AC44" s="82" t="s">
        <v>40</v>
      </c>
      <c r="AD44" s="88">
        <v>17.3</v>
      </c>
      <c r="AE44" s="88">
        <v>15</v>
      </c>
      <c r="AF44" s="88">
        <v>12.8</v>
      </c>
      <c r="AG44" s="117"/>
    </row>
    <row r="45" s="44" customFormat="1" ht="27" customHeight="1" spans="1:33">
      <c r="A45" s="55"/>
      <c r="B45" s="57"/>
      <c r="C45" s="57"/>
      <c r="D45" s="57"/>
      <c r="E45" s="60"/>
      <c r="F45" s="60"/>
      <c r="G45" s="57"/>
      <c r="H45" s="60"/>
      <c r="I45" s="37"/>
      <c r="J45" s="37"/>
      <c r="K45" s="63"/>
      <c r="L45" s="63"/>
      <c r="M45" s="63"/>
      <c r="N45" s="68"/>
      <c r="O45" s="68"/>
      <c r="P45" s="68"/>
      <c r="Q45" s="55"/>
      <c r="R45" s="55"/>
      <c r="S45" s="74"/>
      <c r="T45" s="63"/>
      <c r="U45" s="59"/>
      <c r="V45" s="76" t="s">
        <v>243</v>
      </c>
      <c r="W45" s="83">
        <v>42</v>
      </c>
      <c r="X45" s="76">
        <v>310701023</v>
      </c>
      <c r="Y45" s="77" t="s">
        <v>244</v>
      </c>
      <c r="Z45" s="77"/>
      <c r="AA45" s="77" t="s">
        <v>245</v>
      </c>
      <c r="AB45" s="77" t="s">
        <v>54</v>
      </c>
      <c r="AC45" s="77" t="s">
        <v>40</v>
      </c>
      <c r="AD45" s="88">
        <v>115</v>
      </c>
      <c r="AE45" s="88">
        <v>100</v>
      </c>
      <c r="AF45" s="88">
        <v>85</v>
      </c>
      <c r="AG45" s="117"/>
    </row>
    <row r="46" s="44" customFormat="1" ht="25" customHeight="1" spans="1:33">
      <c r="A46" s="55">
        <v>15</v>
      </c>
      <c r="B46" s="55" t="s">
        <v>246</v>
      </c>
      <c r="C46" s="55" t="s">
        <v>247</v>
      </c>
      <c r="D46" s="55" t="s">
        <v>36</v>
      </c>
      <c r="E46" s="59" t="s">
        <v>248</v>
      </c>
      <c r="F46" s="59" t="s">
        <v>226</v>
      </c>
      <c r="G46" s="55" t="s">
        <v>249</v>
      </c>
      <c r="H46" s="59" t="s">
        <v>250</v>
      </c>
      <c r="I46" s="30">
        <v>8</v>
      </c>
      <c r="J46" s="30">
        <v>7</v>
      </c>
      <c r="K46" s="63">
        <v>9.14826276393699</v>
      </c>
      <c r="L46" s="63">
        <v>8.80091217649555</v>
      </c>
      <c r="M46" s="63">
        <v>17</v>
      </c>
      <c r="N46" s="68">
        <v>8</v>
      </c>
      <c r="O46" s="68">
        <v>7</v>
      </c>
      <c r="P46" s="68">
        <v>6</v>
      </c>
      <c r="Q46" s="55" t="s">
        <v>41</v>
      </c>
      <c r="R46" s="55" t="s">
        <v>40</v>
      </c>
      <c r="S46" s="74" t="s">
        <v>40</v>
      </c>
      <c r="T46" s="63" t="s">
        <v>115</v>
      </c>
      <c r="U46" s="59" t="s">
        <v>251</v>
      </c>
      <c r="V46" s="76" t="s">
        <v>252</v>
      </c>
      <c r="W46" s="83">
        <v>43</v>
      </c>
      <c r="X46" s="76">
        <v>310701013</v>
      </c>
      <c r="Y46" s="77" t="s">
        <v>253</v>
      </c>
      <c r="Z46" s="77"/>
      <c r="AA46" s="77"/>
      <c r="AB46" s="77" t="s">
        <v>54</v>
      </c>
      <c r="AC46" s="77" t="s">
        <v>40</v>
      </c>
      <c r="AD46" s="88">
        <v>23</v>
      </c>
      <c r="AE46" s="88">
        <v>20</v>
      </c>
      <c r="AF46" s="88">
        <v>17</v>
      </c>
      <c r="AG46" s="117"/>
    </row>
    <row r="47" s="44" customFormat="1" ht="25" customHeight="1" spans="1:32">
      <c r="A47" s="55"/>
      <c r="B47" s="55"/>
      <c r="C47" s="55"/>
      <c r="D47" s="55"/>
      <c r="E47" s="59"/>
      <c r="F47" s="59"/>
      <c r="G47" s="55"/>
      <c r="H47" s="59"/>
      <c r="I47" s="37"/>
      <c r="J47" s="37"/>
      <c r="K47" s="63"/>
      <c r="L47" s="63"/>
      <c r="M47" s="63"/>
      <c r="N47" s="68"/>
      <c r="O47" s="68"/>
      <c r="P47" s="68"/>
      <c r="Q47" s="55"/>
      <c r="R47" s="55"/>
      <c r="S47" s="74"/>
      <c r="T47" s="63"/>
      <c r="U47" s="59"/>
      <c r="V47" s="76" t="s">
        <v>254</v>
      </c>
      <c r="W47" s="83">
        <v>44</v>
      </c>
      <c r="X47" s="76">
        <v>310701014</v>
      </c>
      <c r="Y47" s="77" t="s">
        <v>255</v>
      </c>
      <c r="Z47" s="77"/>
      <c r="AA47" s="77"/>
      <c r="AB47" s="77" t="s">
        <v>54</v>
      </c>
      <c r="AC47" s="85" t="s">
        <v>256</v>
      </c>
      <c r="AD47" s="88">
        <v>17.3</v>
      </c>
      <c r="AE47" s="88">
        <v>15</v>
      </c>
      <c r="AF47" s="88">
        <v>12.8</v>
      </c>
    </row>
    <row r="48" s="44" customFormat="1" ht="25" customHeight="1" spans="1:32">
      <c r="A48" s="55"/>
      <c r="B48" s="55"/>
      <c r="C48" s="55"/>
      <c r="D48" s="55"/>
      <c r="E48" s="59"/>
      <c r="F48" s="59"/>
      <c r="G48" s="55"/>
      <c r="H48" s="59"/>
      <c r="I48" s="37"/>
      <c r="J48" s="37"/>
      <c r="K48" s="63"/>
      <c r="L48" s="63"/>
      <c r="M48" s="63"/>
      <c r="N48" s="68"/>
      <c r="O48" s="68"/>
      <c r="P48" s="68"/>
      <c r="Q48" s="55"/>
      <c r="R48" s="55"/>
      <c r="S48" s="74"/>
      <c r="T48" s="63"/>
      <c r="U48" s="59"/>
      <c r="V48" s="76" t="s">
        <v>257</v>
      </c>
      <c r="W48" s="83">
        <v>45</v>
      </c>
      <c r="X48" s="76">
        <v>31070101401</v>
      </c>
      <c r="Y48" s="77" t="s">
        <v>258</v>
      </c>
      <c r="Z48" s="77"/>
      <c r="AA48" s="77"/>
      <c r="AB48" s="77" t="s">
        <v>54</v>
      </c>
      <c r="AC48" s="77" t="s">
        <v>40</v>
      </c>
      <c r="AD48" s="88">
        <v>115</v>
      </c>
      <c r="AE48" s="88">
        <v>100</v>
      </c>
      <c r="AF48" s="88">
        <v>85</v>
      </c>
    </row>
    <row r="49" s="44" customFormat="1" ht="25" customHeight="1" spans="1:32">
      <c r="A49" s="55"/>
      <c r="B49" s="55"/>
      <c r="C49" s="55"/>
      <c r="D49" s="55"/>
      <c r="E49" s="59"/>
      <c r="F49" s="59"/>
      <c r="G49" s="55"/>
      <c r="H49" s="59"/>
      <c r="I49" s="37"/>
      <c r="J49" s="37"/>
      <c r="K49" s="63"/>
      <c r="L49" s="63"/>
      <c r="M49" s="63"/>
      <c r="N49" s="68"/>
      <c r="O49" s="68"/>
      <c r="P49" s="68"/>
      <c r="Q49" s="55"/>
      <c r="R49" s="55"/>
      <c r="S49" s="74"/>
      <c r="T49" s="63"/>
      <c r="U49" s="59"/>
      <c r="V49" s="76" t="s">
        <v>259</v>
      </c>
      <c r="W49" s="83">
        <v>46</v>
      </c>
      <c r="X49" s="76">
        <v>310701019</v>
      </c>
      <c r="Y49" s="77" t="s">
        <v>260</v>
      </c>
      <c r="Z49" s="77"/>
      <c r="AA49" s="77"/>
      <c r="AB49" s="77" t="s">
        <v>54</v>
      </c>
      <c r="AC49" s="77" t="s">
        <v>40</v>
      </c>
      <c r="AD49" s="88"/>
      <c r="AE49" s="88"/>
      <c r="AF49" s="88"/>
    </row>
    <row r="50" s="44" customFormat="1" ht="25" customHeight="1" spans="1:32">
      <c r="A50" s="55"/>
      <c r="B50" s="55"/>
      <c r="C50" s="55"/>
      <c r="D50" s="55"/>
      <c r="E50" s="59"/>
      <c r="F50" s="59"/>
      <c r="G50" s="55"/>
      <c r="H50" s="59"/>
      <c r="I50" s="37"/>
      <c r="J50" s="37"/>
      <c r="K50" s="63"/>
      <c r="L50" s="63"/>
      <c r="M50" s="63"/>
      <c r="N50" s="68"/>
      <c r="O50" s="68"/>
      <c r="P50" s="68"/>
      <c r="Q50" s="55"/>
      <c r="R50" s="55"/>
      <c r="S50" s="74"/>
      <c r="T50" s="63"/>
      <c r="U50" s="59"/>
      <c r="V50" s="76" t="s">
        <v>261</v>
      </c>
      <c r="W50" s="83">
        <v>47</v>
      </c>
      <c r="X50" s="76">
        <v>310701020</v>
      </c>
      <c r="Y50" s="77" t="s">
        <v>262</v>
      </c>
      <c r="Z50" s="77" t="s">
        <v>263</v>
      </c>
      <c r="AA50" s="77"/>
      <c r="AB50" s="77" t="s">
        <v>264</v>
      </c>
      <c r="AC50" s="77" t="s">
        <v>40</v>
      </c>
      <c r="AD50" s="88">
        <v>5.8</v>
      </c>
      <c r="AE50" s="88">
        <v>5</v>
      </c>
      <c r="AF50" s="88">
        <v>4.3</v>
      </c>
    </row>
    <row r="51" s="44" customFormat="1" ht="25" customHeight="1" spans="1:32">
      <c r="A51" s="55"/>
      <c r="B51" s="55"/>
      <c r="C51" s="55"/>
      <c r="D51" s="55"/>
      <c r="E51" s="59"/>
      <c r="F51" s="59"/>
      <c r="G51" s="55"/>
      <c r="H51" s="59"/>
      <c r="I51" s="37"/>
      <c r="J51" s="37"/>
      <c r="K51" s="63"/>
      <c r="L51" s="63"/>
      <c r="M51" s="63"/>
      <c r="N51" s="68"/>
      <c r="O51" s="68"/>
      <c r="P51" s="68"/>
      <c r="Q51" s="55"/>
      <c r="R51" s="55"/>
      <c r="S51" s="74"/>
      <c r="T51" s="63"/>
      <c r="U51" s="59"/>
      <c r="V51" s="76" t="s">
        <v>265</v>
      </c>
      <c r="W51" s="83">
        <v>48</v>
      </c>
      <c r="X51" s="76">
        <v>31070102001</v>
      </c>
      <c r="Y51" s="77" t="s">
        <v>266</v>
      </c>
      <c r="Z51" s="77"/>
      <c r="AA51" s="77"/>
      <c r="AB51" s="77" t="s">
        <v>264</v>
      </c>
      <c r="AC51" s="77" t="s">
        <v>267</v>
      </c>
      <c r="AD51" s="88">
        <v>5.8</v>
      </c>
      <c r="AE51" s="88">
        <v>5</v>
      </c>
      <c r="AF51" s="88">
        <v>4.3</v>
      </c>
    </row>
    <row r="52" s="44" customFormat="1" ht="25" customHeight="1" spans="1:32">
      <c r="A52" s="55"/>
      <c r="B52" s="55"/>
      <c r="C52" s="55"/>
      <c r="D52" s="55"/>
      <c r="E52" s="59"/>
      <c r="F52" s="59"/>
      <c r="G52" s="55"/>
      <c r="H52" s="59"/>
      <c r="I52" s="37"/>
      <c r="J52" s="37"/>
      <c r="K52" s="63"/>
      <c r="L52" s="63"/>
      <c r="M52" s="63"/>
      <c r="N52" s="68"/>
      <c r="O52" s="68"/>
      <c r="P52" s="68"/>
      <c r="Q52" s="55"/>
      <c r="R52" s="55"/>
      <c r="S52" s="74"/>
      <c r="T52" s="63"/>
      <c r="U52" s="59"/>
      <c r="V52" s="76" t="s">
        <v>268</v>
      </c>
      <c r="W52" s="83">
        <v>49</v>
      </c>
      <c r="X52" s="76">
        <v>31070102002</v>
      </c>
      <c r="Y52" s="77" t="s">
        <v>269</v>
      </c>
      <c r="Z52" s="77"/>
      <c r="AA52" s="77"/>
      <c r="AB52" s="77" t="s">
        <v>264</v>
      </c>
      <c r="AC52" s="77" t="s">
        <v>270</v>
      </c>
      <c r="AD52" s="88">
        <v>5.8</v>
      </c>
      <c r="AE52" s="88">
        <v>5</v>
      </c>
      <c r="AF52" s="88">
        <v>4.3</v>
      </c>
    </row>
    <row r="53" s="44" customFormat="1" ht="62" customHeight="1" spans="1:32">
      <c r="A53" s="55">
        <v>16</v>
      </c>
      <c r="B53" s="55" t="s">
        <v>271</v>
      </c>
      <c r="C53" s="55" t="s">
        <v>272</v>
      </c>
      <c r="D53" s="55" t="s">
        <v>151</v>
      </c>
      <c r="E53" s="59" t="s">
        <v>273</v>
      </c>
      <c r="F53" s="59" t="s">
        <v>274</v>
      </c>
      <c r="G53" s="55" t="s">
        <v>54</v>
      </c>
      <c r="H53" s="59" t="s">
        <v>40</v>
      </c>
      <c r="I53" s="30">
        <v>66</v>
      </c>
      <c r="J53" s="30">
        <v>59</v>
      </c>
      <c r="K53" s="64">
        <v>69</v>
      </c>
      <c r="L53" s="64">
        <v>60</v>
      </c>
      <c r="M53" s="64">
        <v>51</v>
      </c>
      <c r="N53" s="70">
        <v>65</v>
      </c>
      <c r="O53" s="70">
        <v>58</v>
      </c>
      <c r="P53" s="70">
        <v>50</v>
      </c>
      <c r="Q53" s="55" t="s">
        <v>41</v>
      </c>
      <c r="R53" s="55" t="s">
        <v>40</v>
      </c>
      <c r="S53" s="74" t="s">
        <v>40</v>
      </c>
      <c r="T53" s="64" t="s">
        <v>115</v>
      </c>
      <c r="U53" s="59" t="s">
        <v>275</v>
      </c>
      <c r="V53" s="76" t="s">
        <v>276</v>
      </c>
      <c r="W53" s="83">
        <v>50</v>
      </c>
      <c r="X53" s="76">
        <v>310702019</v>
      </c>
      <c r="Y53" s="77" t="s">
        <v>277</v>
      </c>
      <c r="Z53" s="77"/>
      <c r="AA53" s="77"/>
      <c r="AB53" s="77" t="s">
        <v>54</v>
      </c>
      <c r="AC53" s="77" t="s">
        <v>157</v>
      </c>
      <c r="AD53" s="88">
        <v>69</v>
      </c>
      <c r="AE53" s="88">
        <v>60</v>
      </c>
      <c r="AF53" s="88">
        <v>51</v>
      </c>
    </row>
    <row r="54" s="44" customFormat="1" ht="38" customHeight="1" spans="1:32">
      <c r="A54" s="55">
        <v>17</v>
      </c>
      <c r="B54" s="55" t="s">
        <v>278</v>
      </c>
      <c r="C54" s="55" t="s">
        <v>279</v>
      </c>
      <c r="D54" s="55" t="s">
        <v>36</v>
      </c>
      <c r="E54" s="59" t="s">
        <v>280</v>
      </c>
      <c r="F54" s="59" t="s">
        <v>281</v>
      </c>
      <c r="G54" s="55" t="s">
        <v>54</v>
      </c>
      <c r="H54" s="59" t="s">
        <v>282</v>
      </c>
      <c r="I54" s="30">
        <v>45</v>
      </c>
      <c r="J54" s="30">
        <v>41</v>
      </c>
      <c r="K54" s="64">
        <v>51.8</v>
      </c>
      <c r="L54" s="64">
        <v>45</v>
      </c>
      <c r="M54" s="64">
        <v>38.3</v>
      </c>
      <c r="N54" s="70">
        <v>45</v>
      </c>
      <c r="O54" s="70">
        <v>41</v>
      </c>
      <c r="P54" s="70">
        <v>35</v>
      </c>
      <c r="Q54" s="55" t="s">
        <v>41</v>
      </c>
      <c r="R54" s="55" t="s">
        <v>40</v>
      </c>
      <c r="S54" s="74" t="s">
        <v>40</v>
      </c>
      <c r="T54" s="64" t="s">
        <v>115</v>
      </c>
      <c r="U54" s="59" t="s">
        <v>116</v>
      </c>
      <c r="V54" s="76" t="s">
        <v>283</v>
      </c>
      <c r="W54" s="83">
        <v>51</v>
      </c>
      <c r="X54" s="76">
        <v>310702010</v>
      </c>
      <c r="Y54" s="77" t="s">
        <v>284</v>
      </c>
      <c r="Z54" s="77"/>
      <c r="AA54" s="77"/>
      <c r="AB54" s="77" t="s">
        <v>54</v>
      </c>
      <c r="AC54" s="77" t="s">
        <v>157</v>
      </c>
      <c r="AD54" s="88">
        <v>51.8</v>
      </c>
      <c r="AE54" s="88">
        <v>45</v>
      </c>
      <c r="AF54" s="88">
        <v>38.3</v>
      </c>
    </row>
    <row r="55" s="44" customFormat="1" ht="38" customHeight="1" spans="1:32">
      <c r="A55" s="55"/>
      <c r="B55" s="55"/>
      <c r="C55" s="55"/>
      <c r="D55" s="55"/>
      <c r="E55" s="59"/>
      <c r="F55" s="59"/>
      <c r="G55" s="55"/>
      <c r="H55" s="59"/>
      <c r="I55" s="37"/>
      <c r="J55" s="37"/>
      <c r="K55" s="64"/>
      <c r="L55" s="64"/>
      <c r="M55" s="64"/>
      <c r="N55" s="70"/>
      <c r="O55" s="70"/>
      <c r="P55" s="70"/>
      <c r="Q55" s="55"/>
      <c r="R55" s="55"/>
      <c r="S55" s="74"/>
      <c r="T55" s="64"/>
      <c r="U55" s="59"/>
      <c r="V55" s="76" t="s">
        <v>285</v>
      </c>
      <c r="W55" s="83">
        <v>52</v>
      </c>
      <c r="X55" s="76">
        <v>310702011</v>
      </c>
      <c r="Y55" s="77" t="s">
        <v>286</v>
      </c>
      <c r="Z55" s="77" t="s">
        <v>287</v>
      </c>
      <c r="AA55" s="77"/>
      <c r="AB55" s="77" t="s">
        <v>54</v>
      </c>
      <c r="AC55" s="77" t="s">
        <v>157</v>
      </c>
      <c r="AD55" s="88">
        <v>51.8</v>
      </c>
      <c r="AE55" s="88">
        <v>45</v>
      </c>
      <c r="AF55" s="88">
        <v>38.3</v>
      </c>
    </row>
    <row r="56" s="44" customFormat="1" ht="38" customHeight="1" spans="1:32">
      <c r="A56" s="55"/>
      <c r="B56" s="55"/>
      <c r="C56" s="55"/>
      <c r="D56" s="55"/>
      <c r="E56" s="59"/>
      <c r="F56" s="59"/>
      <c r="G56" s="55"/>
      <c r="H56" s="59"/>
      <c r="I56" s="37"/>
      <c r="J56" s="37"/>
      <c r="K56" s="64"/>
      <c r="L56" s="64"/>
      <c r="M56" s="64"/>
      <c r="N56" s="70"/>
      <c r="O56" s="70"/>
      <c r="P56" s="70"/>
      <c r="Q56" s="55"/>
      <c r="R56" s="55"/>
      <c r="S56" s="74"/>
      <c r="T56" s="64"/>
      <c r="U56" s="59"/>
      <c r="V56" s="76" t="s">
        <v>288</v>
      </c>
      <c r="W56" s="83">
        <v>53</v>
      </c>
      <c r="X56" s="76">
        <v>310702012</v>
      </c>
      <c r="Y56" s="77" t="s">
        <v>289</v>
      </c>
      <c r="Z56" s="77"/>
      <c r="AA56" s="77"/>
      <c r="AB56" s="77" t="s">
        <v>54</v>
      </c>
      <c r="AC56" s="77" t="s">
        <v>157</v>
      </c>
      <c r="AD56" s="88">
        <v>51.8</v>
      </c>
      <c r="AE56" s="88">
        <v>45</v>
      </c>
      <c r="AF56" s="88">
        <v>38.3</v>
      </c>
    </row>
    <row r="57" s="44" customFormat="1" ht="38" customHeight="1" spans="1:32">
      <c r="A57" s="55" t="s">
        <v>55</v>
      </c>
      <c r="B57" s="55" t="s">
        <v>290</v>
      </c>
      <c r="C57" s="55" t="s">
        <v>291</v>
      </c>
      <c r="D57" s="55" t="s">
        <v>36</v>
      </c>
      <c r="E57" s="59" t="s">
        <v>40</v>
      </c>
      <c r="F57" s="59" t="s">
        <v>40</v>
      </c>
      <c r="G57" s="55" t="s">
        <v>54</v>
      </c>
      <c r="H57" s="59" t="s">
        <v>40</v>
      </c>
      <c r="I57" s="30">
        <v>45</v>
      </c>
      <c r="J57" s="30">
        <v>41</v>
      </c>
      <c r="K57" s="64"/>
      <c r="L57" s="64"/>
      <c r="M57" s="64"/>
      <c r="N57" s="35">
        <v>45</v>
      </c>
      <c r="O57" s="35">
        <v>41</v>
      </c>
      <c r="P57" s="35">
        <v>35</v>
      </c>
      <c r="Q57" s="55" t="s">
        <v>41</v>
      </c>
      <c r="R57" s="55" t="s">
        <v>40</v>
      </c>
      <c r="S57" s="74" t="s">
        <v>40</v>
      </c>
      <c r="T57" s="64"/>
      <c r="U57" s="59"/>
      <c r="V57" s="76"/>
      <c r="W57" s="83">
        <v>54</v>
      </c>
      <c r="X57" s="76"/>
      <c r="Y57" s="77"/>
      <c r="Z57" s="77"/>
      <c r="AA57" s="77"/>
      <c r="AB57" s="77"/>
      <c r="AC57" s="77"/>
      <c r="AD57" s="88"/>
      <c r="AE57" s="88"/>
      <c r="AF57" s="88"/>
    </row>
    <row r="58" s="44" customFormat="1" ht="38" customHeight="1" spans="1:32">
      <c r="A58" s="55">
        <v>18</v>
      </c>
      <c r="B58" s="55" t="s">
        <v>292</v>
      </c>
      <c r="C58" s="55" t="s">
        <v>293</v>
      </c>
      <c r="D58" s="55" t="s">
        <v>36</v>
      </c>
      <c r="E58" s="59" t="s">
        <v>294</v>
      </c>
      <c r="F58" s="59" t="s">
        <v>295</v>
      </c>
      <c r="G58" s="55" t="s">
        <v>54</v>
      </c>
      <c r="H58" s="59" t="s">
        <v>40</v>
      </c>
      <c r="I58" s="30">
        <v>3000</v>
      </c>
      <c r="J58" s="30">
        <v>2700</v>
      </c>
      <c r="K58" s="64">
        <v>3100</v>
      </c>
      <c r="L58" s="64">
        <v>2950</v>
      </c>
      <c r="M58" s="64">
        <v>2500</v>
      </c>
      <c r="N58" s="68">
        <v>2900</v>
      </c>
      <c r="O58" s="68">
        <v>2700</v>
      </c>
      <c r="P58" s="68">
        <v>2300</v>
      </c>
      <c r="Q58" s="55" t="s">
        <v>41</v>
      </c>
      <c r="R58" s="55" t="s">
        <v>40</v>
      </c>
      <c r="S58" s="74">
        <v>0.2</v>
      </c>
      <c r="T58" s="64" t="s">
        <v>296</v>
      </c>
      <c r="U58" s="59" t="s">
        <v>297</v>
      </c>
      <c r="V58" s="76" t="s">
        <v>298</v>
      </c>
      <c r="W58" s="83">
        <v>55</v>
      </c>
      <c r="X58" s="76">
        <v>320500001</v>
      </c>
      <c r="Y58" s="77" t="s">
        <v>299</v>
      </c>
      <c r="Z58" s="77"/>
      <c r="AA58" s="77"/>
      <c r="AB58" s="77" t="s">
        <v>54</v>
      </c>
      <c r="AC58" s="77" t="s">
        <v>300</v>
      </c>
      <c r="AD58" s="88">
        <v>3100</v>
      </c>
      <c r="AE58" s="88">
        <v>2950</v>
      </c>
      <c r="AF58" s="88">
        <v>2500</v>
      </c>
    </row>
    <row r="59" s="44" customFormat="1" ht="38" customHeight="1" spans="1:32">
      <c r="A59" s="55"/>
      <c r="B59" s="55"/>
      <c r="C59" s="55"/>
      <c r="D59" s="55"/>
      <c r="E59" s="59"/>
      <c r="F59" s="59"/>
      <c r="G59" s="55"/>
      <c r="H59" s="59"/>
      <c r="I59" s="37"/>
      <c r="J59" s="37"/>
      <c r="K59" s="64"/>
      <c r="L59" s="64"/>
      <c r="M59" s="64"/>
      <c r="N59" s="68"/>
      <c r="O59" s="68"/>
      <c r="P59" s="68"/>
      <c r="Q59" s="55"/>
      <c r="R59" s="55"/>
      <c r="S59" s="74"/>
      <c r="T59" s="64"/>
      <c r="U59" s="59"/>
      <c r="V59" s="76" t="s">
        <v>301</v>
      </c>
      <c r="W59" s="83">
        <v>56</v>
      </c>
      <c r="X59" s="76">
        <v>320500010</v>
      </c>
      <c r="Y59" s="77" t="s">
        <v>302</v>
      </c>
      <c r="Z59" s="77"/>
      <c r="AA59" s="77"/>
      <c r="AB59" s="77" t="s">
        <v>54</v>
      </c>
      <c r="AC59" s="77" t="s">
        <v>40</v>
      </c>
      <c r="AD59" s="88"/>
      <c r="AE59" s="88"/>
      <c r="AF59" s="88"/>
    </row>
    <row r="60" s="44" customFormat="1" ht="38" customHeight="1" spans="1:32">
      <c r="A60" s="55" t="s">
        <v>55</v>
      </c>
      <c r="B60" s="55" t="s">
        <v>303</v>
      </c>
      <c r="C60" s="55" t="s">
        <v>304</v>
      </c>
      <c r="D60" s="55" t="s">
        <v>36</v>
      </c>
      <c r="E60" s="59" t="s">
        <v>40</v>
      </c>
      <c r="F60" s="59" t="s">
        <v>40</v>
      </c>
      <c r="G60" s="55" t="s">
        <v>54</v>
      </c>
      <c r="H60" s="59" t="s">
        <v>40</v>
      </c>
      <c r="I60" s="30">
        <v>900</v>
      </c>
      <c r="J60" s="30">
        <v>810</v>
      </c>
      <c r="K60" s="64">
        <v>930</v>
      </c>
      <c r="L60" s="64">
        <v>885</v>
      </c>
      <c r="M60" s="64">
        <v>750</v>
      </c>
      <c r="N60" s="68">
        <v>870</v>
      </c>
      <c r="O60" s="68">
        <v>810</v>
      </c>
      <c r="P60" s="68">
        <v>690</v>
      </c>
      <c r="Q60" s="55" t="s">
        <v>41</v>
      </c>
      <c r="R60" s="55" t="s">
        <v>40</v>
      </c>
      <c r="S60" s="74" t="s">
        <v>40</v>
      </c>
      <c r="T60" s="64"/>
      <c r="U60" s="59" t="s">
        <v>305</v>
      </c>
      <c r="V60" s="76" t="s">
        <v>306</v>
      </c>
      <c r="W60" s="83">
        <v>57</v>
      </c>
      <c r="X60" s="76">
        <v>32050000102</v>
      </c>
      <c r="Y60" s="77" t="s">
        <v>307</v>
      </c>
      <c r="Z60" s="77"/>
      <c r="AA60" s="77"/>
      <c r="AB60" s="77" t="s">
        <v>54</v>
      </c>
      <c r="AC60" s="77" t="s">
        <v>40</v>
      </c>
      <c r="AD60" s="88">
        <v>4030</v>
      </c>
      <c r="AE60" s="88">
        <v>3835</v>
      </c>
      <c r="AF60" s="88">
        <v>3250</v>
      </c>
    </row>
    <row r="61" s="44" customFormat="1" ht="30" customHeight="1" spans="1:32">
      <c r="A61" s="55" t="s">
        <v>55</v>
      </c>
      <c r="B61" s="55" t="s">
        <v>308</v>
      </c>
      <c r="C61" s="55" t="s">
        <v>309</v>
      </c>
      <c r="D61" s="55" t="s">
        <v>36</v>
      </c>
      <c r="E61" s="59" t="s">
        <v>40</v>
      </c>
      <c r="F61" s="59" t="s">
        <v>40</v>
      </c>
      <c r="G61" s="55" t="s">
        <v>54</v>
      </c>
      <c r="H61" s="59" t="s">
        <v>40</v>
      </c>
      <c r="I61" s="30">
        <v>540</v>
      </c>
      <c r="J61" s="30">
        <v>486</v>
      </c>
      <c r="K61" s="64">
        <v>685</v>
      </c>
      <c r="L61" s="64">
        <v>685</v>
      </c>
      <c r="M61" s="64">
        <v>570</v>
      </c>
      <c r="N61" s="68">
        <v>520</v>
      </c>
      <c r="O61" s="68">
        <v>485</v>
      </c>
      <c r="P61" s="68">
        <v>415</v>
      </c>
      <c r="Q61" s="55" t="s">
        <v>41</v>
      </c>
      <c r="R61" s="55" t="s">
        <v>40</v>
      </c>
      <c r="S61" s="74">
        <v>0.2</v>
      </c>
      <c r="T61" s="64" t="s">
        <v>296</v>
      </c>
      <c r="U61" s="59" t="s">
        <v>297</v>
      </c>
      <c r="V61" s="76" t="s">
        <v>310</v>
      </c>
      <c r="W61" s="83">
        <v>58</v>
      </c>
      <c r="X61" s="76">
        <v>31070202101</v>
      </c>
      <c r="Y61" s="77" t="s">
        <v>311</v>
      </c>
      <c r="Z61" s="77"/>
      <c r="AA61" s="77"/>
      <c r="AB61" s="77" t="s">
        <v>54</v>
      </c>
      <c r="AC61" s="77" t="s">
        <v>312</v>
      </c>
      <c r="AD61" s="88">
        <v>1150</v>
      </c>
      <c r="AE61" s="88">
        <v>1000</v>
      </c>
      <c r="AF61" s="88">
        <v>850</v>
      </c>
    </row>
    <row r="62" s="44" customFormat="1" ht="30" customHeight="1" spans="1:32">
      <c r="A62" s="55"/>
      <c r="B62" s="55"/>
      <c r="C62" s="55"/>
      <c r="D62" s="55"/>
      <c r="E62" s="59"/>
      <c r="F62" s="59"/>
      <c r="G62" s="55"/>
      <c r="H62" s="59"/>
      <c r="I62" s="37"/>
      <c r="J62" s="37"/>
      <c r="K62" s="64"/>
      <c r="L62" s="64"/>
      <c r="M62" s="64"/>
      <c r="N62" s="68"/>
      <c r="O62" s="68"/>
      <c r="P62" s="68"/>
      <c r="Q62" s="55"/>
      <c r="R62" s="55"/>
      <c r="S62" s="74"/>
      <c r="T62" s="64"/>
      <c r="U62" s="59"/>
      <c r="V62" s="76" t="s">
        <v>313</v>
      </c>
      <c r="W62" s="83">
        <v>59</v>
      </c>
      <c r="X62" s="76">
        <v>32050000101</v>
      </c>
      <c r="Y62" s="77" t="s">
        <v>314</v>
      </c>
      <c r="Z62" s="77"/>
      <c r="AA62" s="77"/>
      <c r="AB62" s="77" t="s">
        <v>54</v>
      </c>
      <c r="AC62" s="77"/>
      <c r="AD62" s="88">
        <v>3585</v>
      </c>
      <c r="AE62" s="88">
        <v>3385</v>
      </c>
      <c r="AF62" s="88">
        <v>2870</v>
      </c>
    </row>
    <row r="63" s="44" customFormat="1" ht="30" customHeight="1" spans="1:32">
      <c r="A63" s="55"/>
      <c r="B63" s="55"/>
      <c r="C63" s="55"/>
      <c r="D63" s="55"/>
      <c r="E63" s="59"/>
      <c r="F63" s="59"/>
      <c r="G63" s="55"/>
      <c r="H63" s="59"/>
      <c r="I63" s="37"/>
      <c r="J63" s="37"/>
      <c r="K63" s="64"/>
      <c r="L63" s="64"/>
      <c r="M63" s="64"/>
      <c r="N63" s="68"/>
      <c r="O63" s="68"/>
      <c r="P63" s="68"/>
      <c r="Q63" s="55"/>
      <c r="R63" s="55"/>
      <c r="S63" s="74"/>
      <c r="T63" s="64"/>
      <c r="U63" s="59"/>
      <c r="V63" s="76" t="s">
        <v>315</v>
      </c>
      <c r="W63" s="83">
        <v>60</v>
      </c>
      <c r="X63" s="76">
        <v>32050000103</v>
      </c>
      <c r="Y63" s="77" t="s">
        <v>316</v>
      </c>
      <c r="Z63" s="77"/>
      <c r="AA63" s="77"/>
      <c r="AB63" s="77" t="s">
        <v>54</v>
      </c>
      <c r="AC63" s="77" t="s">
        <v>40</v>
      </c>
      <c r="AD63" s="88">
        <v>4515</v>
      </c>
      <c r="AE63" s="88">
        <v>4270</v>
      </c>
      <c r="AF63" s="88">
        <v>3620</v>
      </c>
    </row>
    <row r="64" s="44" customFormat="1" ht="25" customHeight="1" spans="1:32">
      <c r="A64" s="55">
        <v>19</v>
      </c>
      <c r="B64" s="55" t="s">
        <v>317</v>
      </c>
      <c r="C64" s="55" t="s">
        <v>318</v>
      </c>
      <c r="D64" s="55" t="s">
        <v>36</v>
      </c>
      <c r="E64" s="59" t="s">
        <v>319</v>
      </c>
      <c r="F64" s="59" t="s">
        <v>320</v>
      </c>
      <c r="G64" s="55" t="s">
        <v>54</v>
      </c>
      <c r="H64" s="59" t="s">
        <v>321</v>
      </c>
      <c r="I64" s="30">
        <v>1200</v>
      </c>
      <c r="J64" s="30">
        <v>1080</v>
      </c>
      <c r="K64" s="63">
        <v>1153.30163043478</v>
      </c>
      <c r="L64" s="63">
        <v>1034.23076923077</v>
      </c>
      <c r="M64" s="63" t="e">
        <v>#DIV/0!</v>
      </c>
      <c r="N64" s="35">
        <v>1155</v>
      </c>
      <c r="O64" s="35">
        <v>1035</v>
      </c>
      <c r="P64" s="35">
        <v>880</v>
      </c>
      <c r="Q64" s="55" t="s">
        <v>41</v>
      </c>
      <c r="R64" s="55" t="s">
        <v>40</v>
      </c>
      <c r="S64" s="74">
        <v>0.2</v>
      </c>
      <c r="T64" s="63" t="s">
        <v>42</v>
      </c>
      <c r="U64" s="59" t="s">
        <v>322</v>
      </c>
      <c r="V64" s="76" t="s">
        <v>323</v>
      </c>
      <c r="W64" s="83">
        <v>61</v>
      </c>
      <c r="X64" s="76">
        <v>320500007</v>
      </c>
      <c r="Y64" s="77" t="s">
        <v>324</v>
      </c>
      <c r="Z64" s="77" t="s">
        <v>325</v>
      </c>
      <c r="AA64" s="77"/>
      <c r="AB64" s="77" t="s">
        <v>54</v>
      </c>
      <c r="AC64" s="77" t="s">
        <v>326</v>
      </c>
      <c r="AD64" s="88">
        <v>4050</v>
      </c>
      <c r="AE64" s="88">
        <v>3650</v>
      </c>
      <c r="AF64" s="88">
        <v>3100</v>
      </c>
    </row>
    <row r="65" s="44" customFormat="1" ht="25" customHeight="1" spans="1:32">
      <c r="A65" s="55"/>
      <c r="B65" s="55"/>
      <c r="C65" s="55"/>
      <c r="D65" s="55"/>
      <c r="E65" s="59"/>
      <c r="F65" s="59"/>
      <c r="G65" s="55"/>
      <c r="H65" s="59"/>
      <c r="I65" s="37"/>
      <c r="J65" s="37"/>
      <c r="K65" s="63"/>
      <c r="L65" s="63"/>
      <c r="M65" s="63"/>
      <c r="N65" s="35"/>
      <c r="O65" s="35"/>
      <c r="P65" s="35"/>
      <c r="Q65" s="55"/>
      <c r="R65" s="55"/>
      <c r="S65" s="74"/>
      <c r="T65" s="63"/>
      <c r="U65" s="59"/>
      <c r="V65" s="76" t="s">
        <v>327</v>
      </c>
      <c r="W65" s="83">
        <v>62</v>
      </c>
      <c r="X65" s="76">
        <v>32050000701</v>
      </c>
      <c r="Y65" s="77" t="s">
        <v>328</v>
      </c>
      <c r="Z65" s="77"/>
      <c r="AA65" s="77"/>
      <c r="AB65" s="77" t="s">
        <v>54</v>
      </c>
      <c r="AC65" s="77" t="s">
        <v>329</v>
      </c>
      <c r="AD65" s="88">
        <v>4860</v>
      </c>
      <c r="AE65" s="88">
        <v>4380</v>
      </c>
      <c r="AF65" s="88">
        <v>3720</v>
      </c>
    </row>
    <row r="66" s="44" customFormat="1" ht="25" customHeight="1" spans="1:32">
      <c r="A66" s="55"/>
      <c r="B66" s="55"/>
      <c r="C66" s="55"/>
      <c r="D66" s="55"/>
      <c r="E66" s="59"/>
      <c r="F66" s="59"/>
      <c r="G66" s="55"/>
      <c r="H66" s="59"/>
      <c r="I66" s="37"/>
      <c r="J66" s="37"/>
      <c r="K66" s="63"/>
      <c r="L66" s="63"/>
      <c r="M66" s="63"/>
      <c r="N66" s="35"/>
      <c r="O66" s="35"/>
      <c r="P66" s="35"/>
      <c r="Q66" s="55"/>
      <c r="R66" s="55"/>
      <c r="S66" s="74"/>
      <c r="T66" s="63"/>
      <c r="U66" s="59"/>
      <c r="V66" s="76" t="s">
        <v>330</v>
      </c>
      <c r="W66" s="83">
        <v>63</v>
      </c>
      <c r="X66" s="76">
        <v>32050000702</v>
      </c>
      <c r="Y66" s="77" t="s">
        <v>331</v>
      </c>
      <c r="Z66" s="77"/>
      <c r="AA66" s="77"/>
      <c r="AB66" s="77" t="s">
        <v>54</v>
      </c>
      <c r="AC66" s="77" t="s">
        <v>40</v>
      </c>
      <c r="AD66" s="88">
        <v>5265</v>
      </c>
      <c r="AE66" s="88">
        <v>4745</v>
      </c>
      <c r="AF66" s="88">
        <v>4030</v>
      </c>
    </row>
    <row r="67" s="44" customFormat="1" ht="25" customHeight="1" spans="1:32">
      <c r="A67" s="55"/>
      <c r="B67" s="55"/>
      <c r="C67" s="55"/>
      <c r="D67" s="55"/>
      <c r="E67" s="59"/>
      <c r="F67" s="59"/>
      <c r="G67" s="55"/>
      <c r="H67" s="59"/>
      <c r="I67" s="37"/>
      <c r="J67" s="37"/>
      <c r="K67" s="63"/>
      <c r="L67" s="63"/>
      <c r="M67" s="63"/>
      <c r="N67" s="35"/>
      <c r="O67" s="35"/>
      <c r="P67" s="35"/>
      <c r="Q67" s="55"/>
      <c r="R67" s="55"/>
      <c r="S67" s="74"/>
      <c r="T67" s="63"/>
      <c r="U67" s="59"/>
      <c r="V67" s="76" t="s">
        <v>332</v>
      </c>
      <c r="W67" s="83">
        <v>64</v>
      </c>
      <c r="X67" s="76">
        <v>32050000703</v>
      </c>
      <c r="Y67" s="77" t="s">
        <v>333</v>
      </c>
      <c r="Z67" s="77"/>
      <c r="AA67" s="77"/>
      <c r="AB67" s="77" t="s">
        <v>54</v>
      </c>
      <c r="AC67" s="77" t="s">
        <v>329</v>
      </c>
      <c r="AD67" s="88">
        <v>6320</v>
      </c>
      <c r="AE67" s="88">
        <v>5695</v>
      </c>
      <c r="AF67" s="88">
        <v>4835</v>
      </c>
    </row>
    <row r="68" s="44" customFormat="1" ht="25" customHeight="1" spans="1:32">
      <c r="A68" s="55"/>
      <c r="B68" s="55"/>
      <c r="C68" s="55"/>
      <c r="D68" s="55"/>
      <c r="E68" s="59"/>
      <c r="F68" s="59"/>
      <c r="G68" s="55"/>
      <c r="H68" s="59"/>
      <c r="I68" s="37"/>
      <c r="J68" s="37"/>
      <c r="K68" s="63"/>
      <c r="L68" s="63"/>
      <c r="M68" s="63"/>
      <c r="N68" s="35"/>
      <c r="O68" s="35"/>
      <c r="P68" s="35"/>
      <c r="Q68" s="55"/>
      <c r="R68" s="55"/>
      <c r="S68" s="74"/>
      <c r="T68" s="63"/>
      <c r="U68" s="59"/>
      <c r="V68" s="76" t="s">
        <v>334</v>
      </c>
      <c r="W68" s="83">
        <v>65</v>
      </c>
      <c r="X68" s="76">
        <v>320500008</v>
      </c>
      <c r="Y68" s="77" t="s">
        <v>335</v>
      </c>
      <c r="Z68" s="77" t="s">
        <v>325</v>
      </c>
      <c r="AA68" s="77"/>
      <c r="AB68" s="77" t="s">
        <v>54</v>
      </c>
      <c r="AC68" s="77" t="s">
        <v>40</v>
      </c>
      <c r="AD68" s="88">
        <v>3890</v>
      </c>
      <c r="AE68" s="88">
        <v>3500</v>
      </c>
      <c r="AF68" s="88">
        <v>2980</v>
      </c>
    </row>
    <row r="69" s="44" customFormat="1" ht="25" customHeight="1" spans="1:32">
      <c r="A69" s="55"/>
      <c r="B69" s="55"/>
      <c r="C69" s="55"/>
      <c r="D69" s="55"/>
      <c r="E69" s="59"/>
      <c r="F69" s="59"/>
      <c r="G69" s="55"/>
      <c r="H69" s="59"/>
      <c r="I69" s="37"/>
      <c r="J69" s="37"/>
      <c r="K69" s="63"/>
      <c r="L69" s="63"/>
      <c r="M69" s="63"/>
      <c r="N69" s="35"/>
      <c r="O69" s="35"/>
      <c r="P69" s="35"/>
      <c r="Q69" s="55"/>
      <c r="R69" s="55"/>
      <c r="S69" s="74"/>
      <c r="T69" s="63"/>
      <c r="U69" s="59"/>
      <c r="V69" s="76" t="s">
        <v>336</v>
      </c>
      <c r="W69" s="83">
        <v>66</v>
      </c>
      <c r="X69" s="76">
        <v>32050000801</v>
      </c>
      <c r="Y69" s="77" t="s">
        <v>337</v>
      </c>
      <c r="Z69" s="77"/>
      <c r="AA69" s="77"/>
      <c r="AB69" s="77" t="s">
        <v>54</v>
      </c>
      <c r="AC69" s="77" t="s">
        <v>40</v>
      </c>
      <c r="AD69" s="88">
        <v>5055</v>
      </c>
      <c r="AE69" s="88">
        <v>4550</v>
      </c>
      <c r="AF69" s="88">
        <v>3870</v>
      </c>
    </row>
    <row r="70" s="44" customFormat="1" ht="55" customHeight="1" spans="1:32">
      <c r="A70" s="55">
        <v>20</v>
      </c>
      <c r="B70" s="55" t="s">
        <v>338</v>
      </c>
      <c r="C70" s="55" t="s">
        <v>339</v>
      </c>
      <c r="D70" s="55" t="s">
        <v>36</v>
      </c>
      <c r="E70" s="59" t="s">
        <v>340</v>
      </c>
      <c r="F70" s="59" t="s">
        <v>341</v>
      </c>
      <c r="G70" s="55" t="s">
        <v>54</v>
      </c>
      <c r="H70" s="59" t="s">
        <v>342</v>
      </c>
      <c r="I70" s="30">
        <v>1000</v>
      </c>
      <c r="J70" s="30">
        <v>900</v>
      </c>
      <c r="K70" s="64">
        <v>900</v>
      </c>
      <c r="L70" s="64">
        <v>810</v>
      </c>
      <c r="M70" s="64">
        <v>690</v>
      </c>
      <c r="N70" s="35">
        <v>900</v>
      </c>
      <c r="O70" s="35">
        <v>810</v>
      </c>
      <c r="P70" s="35">
        <v>690</v>
      </c>
      <c r="Q70" s="55" t="s">
        <v>41</v>
      </c>
      <c r="R70" s="55" t="s">
        <v>40</v>
      </c>
      <c r="S70" s="74">
        <v>0.2</v>
      </c>
      <c r="T70" s="64" t="s">
        <v>183</v>
      </c>
      <c r="U70" s="59" t="s">
        <v>183</v>
      </c>
      <c r="V70" s="76" t="s">
        <v>343</v>
      </c>
      <c r="W70" s="83">
        <v>67</v>
      </c>
      <c r="X70" s="76">
        <v>32050000104</v>
      </c>
      <c r="Y70" s="77" t="s">
        <v>344</v>
      </c>
      <c r="Z70" s="77" t="s">
        <v>345</v>
      </c>
      <c r="AA70" s="77"/>
      <c r="AB70" s="77" t="s">
        <v>54</v>
      </c>
      <c r="AC70" s="77" t="s">
        <v>40</v>
      </c>
      <c r="AD70" s="88">
        <v>900</v>
      </c>
      <c r="AE70" s="88">
        <v>810</v>
      </c>
      <c r="AF70" s="88">
        <v>690</v>
      </c>
    </row>
    <row r="71" s="44" customFormat="1" ht="55" customHeight="1" spans="1:32">
      <c r="A71" s="55"/>
      <c r="B71" s="55"/>
      <c r="C71" s="55"/>
      <c r="D71" s="55"/>
      <c r="E71" s="59"/>
      <c r="F71" s="59"/>
      <c r="G71" s="55"/>
      <c r="H71" s="59"/>
      <c r="I71" s="37"/>
      <c r="J71" s="37"/>
      <c r="K71" s="64"/>
      <c r="L71" s="64"/>
      <c r="M71" s="64"/>
      <c r="N71" s="35"/>
      <c r="O71" s="35"/>
      <c r="P71" s="35"/>
      <c r="Q71" s="55"/>
      <c r="R71" s="55"/>
      <c r="S71" s="74"/>
      <c r="T71" s="64"/>
      <c r="U71" s="59"/>
      <c r="V71" s="76" t="s">
        <v>346</v>
      </c>
      <c r="W71" s="83">
        <v>68</v>
      </c>
      <c r="X71" s="76">
        <v>32050000105</v>
      </c>
      <c r="Y71" s="77" t="s">
        <v>347</v>
      </c>
      <c r="Z71" s="77" t="s">
        <v>345</v>
      </c>
      <c r="AA71" s="77"/>
      <c r="AB71" s="77" t="s">
        <v>54</v>
      </c>
      <c r="AC71" s="77" t="s">
        <v>40</v>
      </c>
      <c r="AD71" s="88">
        <v>1170</v>
      </c>
      <c r="AE71" s="88">
        <v>1055</v>
      </c>
      <c r="AF71" s="88">
        <v>895</v>
      </c>
    </row>
    <row r="72" s="44" customFormat="1" ht="27" customHeight="1" spans="1:32">
      <c r="A72" s="55">
        <v>21</v>
      </c>
      <c r="B72" s="55" t="s">
        <v>348</v>
      </c>
      <c r="C72" s="55" t="s">
        <v>349</v>
      </c>
      <c r="D72" s="55" t="s">
        <v>350</v>
      </c>
      <c r="E72" s="59" t="s">
        <v>351</v>
      </c>
      <c r="F72" s="59" t="s">
        <v>352</v>
      </c>
      <c r="G72" s="55" t="s">
        <v>353</v>
      </c>
      <c r="H72" s="59" t="s">
        <v>354</v>
      </c>
      <c r="I72" s="30">
        <v>4500</v>
      </c>
      <c r="J72" s="30">
        <v>4050</v>
      </c>
      <c r="K72" s="63">
        <v>4380.03069528868</v>
      </c>
      <c r="L72" s="63">
        <v>4148.17099724198</v>
      </c>
      <c r="M72" s="63"/>
      <c r="N72" s="35">
        <v>4380</v>
      </c>
      <c r="O72" s="35">
        <v>4050</v>
      </c>
      <c r="P72" s="35">
        <v>3450</v>
      </c>
      <c r="Q72" s="55" t="s">
        <v>41</v>
      </c>
      <c r="R72" s="55" t="s">
        <v>40</v>
      </c>
      <c r="S72" s="74">
        <v>0.2</v>
      </c>
      <c r="T72" s="63" t="s">
        <v>355</v>
      </c>
      <c r="U72" s="59" t="s">
        <v>356</v>
      </c>
      <c r="V72" s="76" t="s">
        <v>357</v>
      </c>
      <c r="W72" s="83">
        <v>69</v>
      </c>
      <c r="X72" s="76">
        <v>320500003</v>
      </c>
      <c r="Y72" s="77" t="s">
        <v>358</v>
      </c>
      <c r="Z72" s="77" t="s">
        <v>359</v>
      </c>
      <c r="AA72" s="77"/>
      <c r="AB72" s="77" t="s">
        <v>54</v>
      </c>
      <c r="AC72" s="77" t="s">
        <v>360</v>
      </c>
      <c r="AD72" s="88">
        <v>4300</v>
      </c>
      <c r="AE72" s="88">
        <v>4100</v>
      </c>
      <c r="AF72" s="88">
        <v>3700</v>
      </c>
    </row>
    <row r="73" s="44" customFormat="1" ht="27" customHeight="1" spans="1:32">
      <c r="A73" s="55"/>
      <c r="B73" s="55"/>
      <c r="C73" s="55"/>
      <c r="D73" s="55"/>
      <c r="E73" s="59"/>
      <c r="F73" s="59"/>
      <c r="G73" s="55"/>
      <c r="H73" s="59"/>
      <c r="I73" s="37"/>
      <c r="J73" s="37"/>
      <c r="K73" s="63"/>
      <c r="L73" s="63"/>
      <c r="M73" s="63"/>
      <c r="N73" s="35"/>
      <c r="O73" s="35"/>
      <c r="P73" s="35"/>
      <c r="Q73" s="55"/>
      <c r="R73" s="55"/>
      <c r="S73" s="74"/>
      <c r="T73" s="63"/>
      <c r="U73" s="59"/>
      <c r="V73" s="76" t="s">
        <v>361</v>
      </c>
      <c r="W73" s="83">
        <v>70</v>
      </c>
      <c r="X73" s="76">
        <v>32050000301</v>
      </c>
      <c r="Y73" s="77" t="s">
        <v>362</v>
      </c>
      <c r="Z73" s="77"/>
      <c r="AA73" s="77"/>
      <c r="AB73" s="77" t="s">
        <v>54</v>
      </c>
      <c r="AC73" s="77" t="s">
        <v>363</v>
      </c>
      <c r="AD73" s="88">
        <v>645</v>
      </c>
      <c r="AE73" s="88">
        <v>615</v>
      </c>
      <c r="AF73" s="88">
        <v>555</v>
      </c>
    </row>
    <row r="74" s="44" customFormat="1" ht="27" customHeight="1" spans="1:32">
      <c r="A74" s="55"/>
      <c r="B74" s="55"/>
      <c r="C74" s="55"/>
      <c r="D74" s="55"/>
      <c r="E74" s="59"/>
      <c r="F74" s="59"/>
      <c r="G74" s="55"/>
      <c r="H74" s="59"/>
      <c r="I74" s="37"/>
      <c r="J74" s="37"/>
      <c r="K74" s="63"/>
      <c r="L74" s="63"/>
      <c r="M74" s="63"/>
      <c r="N74" s="35"/>
      <c r="O74" s="35"/>
      <c r="P74" s="35"/>
      <c r="Q74" s="55"/>
      <c r="R74" s="55"/>
      <c r="S74" s="74"/>
      <c r="T74" s="63"/>
      <c r="U74" s="59"/>
      <c r="V74" s="76" t="s">
        <v>364</v>
      </c>
      <c r="W74" s="83">
        <v>71</v>
      </c>
      <c r="X74" s="76">
        <v>32050000302</v>
      </c>
      <c r="Y74" s="77" t="s">
        <v>365</v>
      </c>
      <c r="Z74" s="77"/>
      <c r="AA74" s="77"/>
      <c r="AB74" s="77" t="s">
        <v>54</v>
      </c>
      <c r="AC74" s="77" t="s">
        <v>366</v>
      </c>
      <c r="AD74" s="88">
        <v>345</v>
      </c>
      <c r="AE74" s="88">
        <v>330</v>
      </c>
      <c r="AF74" s="88">
        <v>295</v>
      </c>
    </row>
    <row r="75" s="44" customFormat="1" ht="27" customHeight="1" spans="1:32">
      <c r="A75" s="55"/>
      <c r="B75" s="55"/>
      <c r="C75" s="55"/>
      <c r="D75" s="55"/>
      <c r="E75" s="59"/>
      <c r="F75" s="59"/>
      <c r="G75" s="55"/>
      <c r="H75" s="59"/>
      <c r="I75" s="37"/>
      <c r="J75" s="37"/>
      <c r="K75" s="63"/>
      <c r="L75" s="63"/>
      <c r="M75" s="63"/>
      <c r="N75" s="35"/>
      <c r="O75" s="35"/>
      <c r="P75" s="35"/>
      <c r="Q75" s="55"/>
      <c r="R75" s="55"/>
      <c r="S75" s="74"/>
      <c r="T75" s="63"/>
      <c r="U75" s="59"/>
      <c r="V75" s="76" t="s">
        <v>367</v>
      </c>
      <c r="W75" s="83">
        <v>72</v>
      </c>
      <c r="X75" s="76">
        <v>32050000303</v>
      </c>
      <c r="Y75" s="77" t="s">
        <v>368</v>
      </c>
      <c r="Z75" s="77"/>
      <c r="AA75" s="77"/>
      <c r="AB75" s="77" t="s">
        <v>54</v>
      </c>
      <c r="AC75" s="77" t="s">
        <v>369</v>
      </c>
      <c r="AD75" s="88">
        <v>515</v>
      </c>
      <c r="AE75" s="88">
        <v>490</v>
      </c>
      <c r="AF75" s="88">
        <v>445</v>
      </c>
    </row>
    <row r="76" s="44" customFormat="1" ht="27" customHeight="1" spans="1:32">
      <c r="A76" s="55"/>
      <c r="B76" s="55"/>
      <c r="C76" s="55"/>
      <c r="D76" s="55"/>
      <c r="E76" s="59"/>
      <c r="F76" s="59"/>
      <c r="G76" s="55"/>
      <c r="H76" s="59"/>
      <c r="I76" s="37"/>
      <c r="J76" s="37"/>
      <c r="K76" s="63"/>
      <c r="L76" s="63"/>
      <c r="M76" s="63"/>
      <c r="N76" s="35"/>
      <c r="O76" s="35"/>
      <c r="P76" s="35"/>
      <c r="Q76" s="55"/>
      <c r="R76" s="55"/>
      <c r="S76" s="74"/>
      <c r="T76" s="63"/>
      <c r="U76" s="59"/>
      <c r="V76" s="76" t="s">
        <v>370</v>
      </c>
      <c r="W76" s="83">
        <v>73</v>
      </c>
      <c r="X76" s="76">
        <v>320500015</v>
      </c>
      <c r="Y76" s="77" t="s">
        <v>371</v>
      </c>
      <c r="Z76" s="77" t="s">
        <v>372</v>
      </c>
      <c r="AA76" s="77"/>
      <c r="AB76" s="77" t="s">
        <v>54</v>
      </c>
      <c r="AC76" s="77" t="s">
        <v>40</v>
      </c>
      <c r="AD76" s="88">
        <v>5130</v>
      </c>
      <c r="AE76" s="88">
        <v>4620</v>
      </c>
      <c r="AF76" s="88">
        <v>3695</v>
      </c>
    </row>
    <row r="77" s="44" customFormat="1" ht="28" customHeight="1" spans="1:32">
      <c r="A77" s="55" t="s">
        <v>55</v>
      </c>
      <c r="B77" s="55" t="s">
        <v>373</v>
      </c>
      <c r="C77" s="55" t="s">
        <v>374</v>
      </c>
      <c r="D77" s="55" t="s">
        <v>350</v>
      </c>
      <c r="E77" s="59" t="s">
        <v>40</v>
      </c>
      <c r="F77" s="59" t="s">
        <v>40</v>
      </c>
      <c r="G77" s="55" t="s">
        <v>353</v>
      </c>
      <c r="H77" s="59" t="s">
        <v>40</v>
      </c>
      <c r="I77" s="30">
        <v>1350</v>
      </c>
      <c r="J77" s="30">
        <v>1215</v>
      </c>
      <c r="K77" s="64"/>
      <c r="L77" s="64"/>
      <c r="M77" s="64"/>
      <c r="N77" s="35">
        <v>1315</v>
      </c>
      <c r="O77" s="35">
        <v>1215</v>
      </c>
      <c r="P77" s="35">
        <v>1065</v>
      </c>
      <c r="Q77" s="55" t="s">
        <v>41</v>
      </c>
      <c r="R77" s="55" t="s">
        <v>40</v>
      </c>
      <c r="S77" s="74">
        <v>0.2</v>
      </c>
      <c r="T77" s="64"/>
      <c r="U77" s="59" t="s">
        <v>305</v>
      </c>
      <c r="V77" s="76" t="s">
        <v>375</v>
      </c>
      <c r="W77" s="83">
        <v>74</v>
      </c>
      <c r="X77" s="76">
        <v>32050000304</v>
      </c>
      <c r="Y77" s="77" t="s">
        <v>376</v>
      </c>
      <c r="Z77" s="77"/>
      <c r="AA77" s="77"/>
      <c r="AB77" s="77" t="s">
        <v>54</v>
      </c>
      <c r="AC77" s="77" t="s">
        <v>40</v>
      </c>
      <c r="AD77" s="88">
        <v>5590</v>
      </c>
      <c r="AE77" s="88">
        <v>5330</v>
      </c>
      <c r="AF77" s="88">
        <v>4810</v>
      </c>
    </row>
    <row r="78" s="44" customFormat="1" ht="28" customHeight="1" spans="1:32">
      <c r="A78" s="55"/>
      <c r="B78" s="55"/>
      <c r="C78" s="55"/>
      <c r="D78" s="55"/>
      <c r="E78" s="59"/>
      <c r="F78" s="59"/>
      <c r="G78" s="55"/>
      <c r="H78" s="59"/>
      <c r="I78" s="37"/>
      <c r="J78" s="37"/>
      <c r="K78" s="64"/>
      <c r="L78" s="64"/>
      <c r="M78" s="64"/>
      <c r="N78" s="35"/>
      <c r="O78" s="35"/>
      <c r="P78" s="35"/>
      <c r="Q78" s="55"/>
      <c r="R78" s="55"/>
      <c r="S78" s="74"/>
      <c r="T78" s="64"/>
      <c r="U78" s="59"/>
      <c r="V78" s="76" t="s">
        <v>377</v>
      </c>
      <c r="W78" s="83">
        <v>75</v>
      </c>
      <c r="X78" s="76">
        <v>32050000305</v>
      </c>
      <c r="Y78" s="77" t="s">
        <v>378</v>
      </c>
      <c r="Z78" s="77"/>
      <c r="AA78" s="77"/>
      <c r="AB78" s="77" t="s">
        <v>54</v>
      </c>
      <c r="AC78" s="77" t="s">
        <v>363</v>
      </c>
      <c r="AD78" s="88">
        <v>835</v>
      </c>
      <c r="AE78" s="88">
        <v>795</v>
      </c>
      <c r="AF78" s="88">
        <v>720</v>
      </c>
    </row>
    <row r="79" s="44" customFormat="1" ht="28" customHeight="1" spans="1:32">
      <c r="A79" s="55"/>
      <c r="B79" s="55"/>
      <c r="C79" s="55"/>
      <c r="D79" s="55"/>
      <c r="E79" s="59"/>
      <c r="F79" s="59"/>
      <c r="G79" s="55"/>
      <c r="H79" s="59"/>
      <c r="I79" s="37"/>
      <c r="J79" s="37"/>
      <c r="K79" s="64"/>
      <c r="L79" s="64"/>
      <c r="M79" s="64"/>
      <c r="N79" s="35"/>
      <c r="O79" s="35"/>
      <c r="P79" s="35"/>
      <c r="Q79" s="55"/>
      <c r="R79" s="55"/>
      <c r="S79" s="74"/>
      <c r="T79" s="64"/>
      <c r="U79" s="59"/>
      <c r="V79" s="76" t="s">
        <v>379</v>
      </c>
      <c r="W79" s="83">
        <v>76</v>
      </c>
      <c r="X79" s="76">
        <v>32050001501</v>
      </c>
      <c r="Y79" s="77" t="s">
        <v>380</v>
      </c>
      <c r="Z79" s="77"/>
      <c r="AA79" s="77"/>
      <c r="AB79" s="77" t="s">
        <v>54</v>
      </c>
      <c r="AC79" s="77" t="s">
        <v>40</v>
      </c>
      <c r="AD79" s="88">
        <v>6670</v>
      </c>
      <c r="AE79" s="88">
        <v>6005</v>
      </c>
      <c r="AF79" s="88">
        <v>4805</v>
      </c>
    </row>
    <row r="80" s="44" customFormat="1" ht="40" customHeight="1" spans="1:32">
      <c r="A80" s="55">
        <v>22</v>
      </c>
      <c r="B80" s="55" t="s">
        <v>381</v>
      </c>
      <c r="C80" s="55" t="s">
        <v>382</v>
      </c>
      <c r="D80" s="55" t="s">
        <v>350</v>
      </c>
      <c r="E80" s="59" t="s">
        <v>383</v>
      </c>
      <c r="F80" s="59" t="s">
        <v>384</v>
      </c>
      <c r="G80" s="55" t="s">
        <v>353</v>
      </c>
      <c r="H80" s="59" t="s">
        <v>385</v>
      </c>
      <c r="I80" s="30">
        <v>3600</v>
      </c>
      <c r="J80" s="30">
        <v>3240</v>
      </c>
      <c r="K80" s="63">
        <v>3282.04601479047</v>
      </c>
      <c r="L80" s="63">
        <v>2975.27790643817</v>
      </c>
      <c r="M80" s="63" t="e">
        <v>#DIV/0!</v>
      </c>
      <c r="N80" s="35">
        <v>3285</v>
      </c>
      <c r="O80" s="35">
        <v>2975</v>
      </c>
      <c r="P80" s="35">
        <v>2530</v>
      </c>
      <c r="Q80" s="55" t="s">
        <v>41</v>
      </c>
      <c r="R80" s="55" t="s">
        <v>40</v>
      </c>
      <c r="S80" s="74">
        <v>0.2</v>
      </c>
      <c r="T80" s="63" t="s">
        <v>42</v>
      </c>
      <c r="U80" s="59" t="s">
        <v>42</v>
      </c>
      <c r="V80" s="76" t="s">
        <v>386</v>
      </c>
      <c r="W80" s="83">
        <v>77</v>
      </c>
      <c r="X80" s="76">
        <v>320500002</v>
      </c>
      <c r="Y80" s="77" t="s">
        <v>387</v>
      </c>
      <c r="Z80" s="77" t="s">
        <v>388</v>
      </c>
      <c r="AA80" s="77"/>
      <c r="AB80" s="77" t="s">
        <v>54</v>
      </c>
      <c r="AC80" s="77" t="s">
        <v>389</v>
      </c>
      <c r="AD80" s="88">
        <v>3250</v>
      </c>
      <c r="AE80" s="88">
        <v>2950</v>
      </c>
      <c r="AF80" s="88">
        <v>2500</v>
      </c>
    </row>
    <row r="81" s="44" customFormat="1" ht="40" customHeight="1" spans="1:32">
      <c r="A81" s="55"/>
      <c r="B81" s="55"/>
      <c r="C81" s="55"/>
      <c r="D81" s="55"/>
      <c r="E81" s="59"/>
      <c r="F81" s="59"/>
      <c r="G81" s="55"/>
      <c r="H81" s="59"/>
      <c r="I81" s="37"/>
      <c r="J81" s="37"/>
      <c r="K81" s="63"/>
      <c r="L81" s="63"/>
      <c r="M81" s="63"/>
      <c r="N81" s="35"/>
      <c r="O81" s="35"/>
      <c r="P81" s="35"/>
      <c r="Q81" s="55"/>
      <c r="R81" s="55"/>
      <c r="S81" s="74"/>
      <c r="T81" s="63"/>
      <c r="U81" s="59"/>
      <c r="V81" s="76" t="s">
        <v>390</v>
      </c>
      <c r="W81" s="83">
        <v>78</v>
      </c>
      <c r="X81" s="76">
        <v>32050000201</v>
      </c>
      <c r="Y81" s="77" t="s">
        <v>391</v>
      </c>
      <c r="Z81" s="77"/>
      <c r="AA81" s="77"/>
      <c r="AB81" s="77" t="s">
        <v>54</v>
      </c>
      <c r="AC81" s="77" t="s">
        <v>363</v>
      </c>
      <c r="AD81" s="88">
        <v>650</v>
      </c>
      <c r="AE81" s="88">
        <v>590</v>
      </c>
      <c r="AF81" s="88">
        <v>500</v>
      </c>
    </row>
    <row r="82" s="44" customFormat="1" ht="42" customHeight="1" spans="1:32">
      <c r="A82" s="55" t="s">
        <v>55</v>
      </c>
      <c r="B82" s="55" t="s">
        <v>392</v>
      </c>
      <c r="C82" s="55" t="s">
        <v>393</v>
      </c>
      <c r="D82" s="55" t="s">
        <v>350</v>
      </c>
      <c r="E82" s="59" t="s">
        <v>40</v>
      </c>
      <c r="F82" s="59" t="s">
        <v>40</v>
      </c>
      <c r="G82" s="55" t="s">
        <v>353</v>
      </c>
      <c r="H82" s="59" t="s">
        <v>40</v>
      </c>
      <c r="I82" s="30">
        <v>1080</v>
      </c>
      <c r="J82" s="30">
        <v>972</v>
      </c>
      <c r="K82" s="64"/>
      <c r="L82" s="64"/>
      <c r="M82" s="64"/>
      <c r="N82" s="35">
        <v>985</v>
      </c>
      <c r="O82" s="35">
        <v>895</v>
      </c>
      <c r="P82" s="35">
        <v>760</v>
      </c>
      <c r="Q82" s="55" t="s">
        <v>41</v>
      </c>
      <c r="R82" s="55" t="s">
        <v>40</v>
      </c>
      <c r="S82" s="74">
        <v>0.2</v>
      </c>
      <c r="T82" s="64"/>
      <c r="U82" s="59" t="s">
        <v>305</v>
      </c>
      <c r="V82" s="76" t="s">
        <v>394</v>
      </c>
      <c r="W82" s="83">
        <v>79</v>
      </c>
      <c r="X82" s="76">
        <v>32050000202</v>
      </c>
      <c r="Y82" s="77" t="s">
        <v>395</v>
      </c>
      <c r="Z82" s="77"/>
      <c r="AA82" s="77"/>
      <c r="AB82" s="77" t="s">
        <v>54</v>
      </c>
      <c r="AC82" s="77" t="s">
        <v>40</v>
      </c>
      <c r="AD82" s="88">
        <v>4210</v>
      </c>
      <c r="AE82" s="88">
        <v>3795</v>
      </c>
      <c r="AF82" s="88">
        <v>3225</v>
      </c>
    </row>
    <row r="83" s="44" customFormat="1" ht="42" customHeight="1" spans="1:32">
      <c r="A83" s="55"/>
      <c r="B83" s="55"/>
      <c r="C83" s="55"/>
      <c r="D83" s="55"/>
      <c r="E83" s="59"/>
      <c r="F83" s="59"/>
      <c r="G83" s="55"/>
      <c r="H83" s="59"/>
      <c r="I83" s="37"/>
      <c r="J83" s="37"/>
      <c r="K83" s="64"/>
      <c r="L83" s="64"/>
      <c r="M83" s="64"/>
      <c r="N83" s="35"/>
      <c r="O83" s="35"/>
      <c r="P83" s="35"/>
      <c r="Q83" s="55"/>
      <c r="R83" s="55"/>
      <c r="S83" s="74"/>
      <c r="T83" s="64"/>
      <c r="U83" s="59"/>
      <c r="V83" s="76" t="s">
        <v>396</v>
      </c>
      <c r="W83" s="83">
        <v>80</v>
      </c>
      <c r="X83" s="76">
        <v>32050000203</v>
      </c>
      <c r="Y83" s="77" t="s">
        <v>397</v>
      </c>
      <c r="Z83" s="77"/>
      <c r="AA83" s="77"/>
      <c r="AB83" s="77" t="s">
        <v>54</v>
      </c>
      <c r="AC83" s="77" t="s">
        <v>398</v>
      </c>
      <c r="AD83" s="88">
        <v>845</v>
      </c>
      <c r="AE83" s="88">
        <v>767</v>
      </c>
      <c r="AF83" s="88">
        <v>650</v>
      </c>
    </row>
    <row r="84" s="44" customFormat="1" ht="81" customHeight="1" spans="1:32">
      <c r="A84" s="55">
        <v>23</v>
      </c>
      <c r="B84" s="122" t="s">
        <v>399</v>
      </c>
      <c r="C84" s="55" t="s">
        <v>400</v>
      </c>
      <c r="D84" s="55" t="s">
        <v>350</v>
      </c>
      <c r="E84" s="59" t="s">
        <v>401</v>
      </c>
      <c r="F84" s="59" t="s">
        <v>402</v>
      </c>
      <c r="G84" s="55" t="s">
        <v>353</v>
      </c>
      <c r="H84" s="59" t="s">
        <v>403</v>
      </c>
      <c r="I84" s="30">
        <v>4200</v>
      </c>
      <c r="J84" s="30">
        <v>3780</v>
      </c>
      <c r="K84" s="64"/>
      <c r="L84" s="64"/>
      <c r="M84" s="64"/>
      <c r="N84" s="35">
        <v>3800</v>
      </c>
      <c r="O84" s="35">
        <v>3450</v>
      </c>
      <c r="P84" s="35">
        <v>2930</v>
      </c>
      <c r="Q84" s="55" t="s">
        <v>169</v>
      </c>
      <c r="R84" s="55" t="s">
        <v>40</v>
      </c>
      <c r="S84" s="74" t="s">
        <v>40</v>
      </c>
      <c r="T84" s="64" t="s">
        <v>170</v>
      </c>
      <c r="U84" s="59" t="s">
        <v>404</v>
      </c>
      <c r="V84" s="76"/>
      <c r="W84" s="83">
        <v>81</v>
      </c>
      <c r="X84" s="76"/>
      <c r="Y84" s="55"/>
      <c r="Z84" s="55"/>
      <c r="AA84" s="55"/>
      <c r="AB84" s="55"/>
      <c r="AC84" s="77"/>
      <c r="AD84" s="88"/>
      <c r="AE84" s="88"/>
      <c r="AF84" s="88"/>
    </row>
    <row r="85" s="44" customFormat="1" ht="81" customHeight="1" spans="1:32">
      <c r="A85" s="55" t="s">
        <v>55</v>
      </c>
      <c r="B85" s="55" t="s">
        <v>399</v>
      </c>
      <c r="C85" s="55" t="s">
        <v>400</v>
      </c>
      <c r="D85" s="55" t="s">
        <v>350</v>
      </c>
      <c r="E85" s="59" t="s">
        <v>401</v>
      </c>
      <c r="F85" s="59" t="s">
        <v>402</v>
      </c>
      <c r="G85" s="55" t="s">
        <v>353</v>
      </c>
      <c r="H85" s="59" t="s">
        <v>403</v>
      </c>
      <c r="I85" s="30">
        <v>4200</v>
      </c>
      <c r="J85" s="30">
        <v>3780</v>
      </c>
      <c r="K85" s="64"/>
      <c r="L85" s="64"/>
      <c r="M85" s="64"/>
      <c r="N85" s="35">
        <v>3800</v>
      </c>
      <c r="O85" s="35">
        <v>3450</v>
      </c>
      <c r="P85" s="35">
        <v>2930</v>
      </c>
      <c r="Q85" s="55" t="s">
        <v>169</v>
      </c>
      <c r="R85" s="55" t="s">
        <v>40</v>
      </c>
      <c r="S85" s="74" t="s">
        <v>40</v>
      </c>
      <c r="T85" s="64"/>
      <c r="U85" s="59" t="s">
        <v>404</v>
      </c>
      <c r="V85" s="76"/>
      <c r="W85" s="83">
        <v>82</v>
      </c>
      <c r="X85" s="76"/>
      <c r="Y85" s="55"/>
      <c r="Z85" s="55"/>
      <c r="AA85" s="55"/>
      <c r="AB85" s="55"/>
      <c r="AC85" s="77"/>
      <c r="AD85" s="88"/>
      <c r="AE85" s="88"/>
      <c r="AF85" s="88"/>
    </row>
    <row r="86" s="44" customFormat="1" ht="81" customHeight="1" spans="1:32">
      <c r="A86" s="55" t="s">
        <v>55</v>
      </c>
      <c r="B86" s="55" t="s">
        <v>399</v>
      </c>
      <c r="C86" s="55" t="s">
        <v>400</v>
      </c>
      <c r="D86" s="55" t="s">
        <v>350</v>
      </c>
      <c r="E86" s="59" t="s">
        <v>401</v>
      </c>
      <c r="F86" s="59" t="s">
        <v>402</v>
      </c>
      <c r="G86" s="55" t="s">
        <v>353</v>
      </c>
      <c r="H86" s="59" t="s">
        <v>403</v>
      </c>
      <c r="I86" s="30">
        <v>4200</v>
      </c>
      <c r="J86" s="30">
        <v>3780</v>
      </c>
      <c r="K86" s="64"/>
      <c r="L86" s="64"/>
      <c r="M86" s="64"/>
      <c r="N86" s="35">
        <v>3800</v>
      </c>
      <c r="O86" s="35">
        <v>3450</v>
      </c>
      <c r="P86" s="35">
        <v>2930</v>
      </c>
      <c r="Q86" s="55" t="s">
        <v>169</v>
      </c>
      <c r="R86" s="55" t="s">
        <v>40</v>
      </c>
      <c r="S86" s="74" t="s">
        <v>40</v>
      </c>
      <c r="T86" s="64"/>
      <c r="U86" s="59" t="s">
        <v>404</v>
      </c>
      <c r="V86" s="76"/>
      <c r="W86" s="83">
        <v>83</v>
      </c>
      <c r="X86" s="76"/>
      <c r="Y86" s="55"/>
      <c r="Z86" s="55"/>
      <c r="AA86" s="55"/>
      <c r="AB86" s="55"/>
      <c r="AC86" s="77"/>
      <c r="AD86" s="88"/>
      <c r="AE86" s="88"/>
      <c r="AF86" s="88"/>
    </row>
    <row r="87" s="44" customFormat="1" ht="47" customHeight="1" spans="1:32">
      <c r="A87" s="55" t="s">
        <v>55</v>
      </c>
      <c r="B87" s="55" t="s">
        <v>405</v>
      </c>
      <c r="C87" s="55" t="s">
        <v>406</v>
      </c>
      <c r="D87" s="55" t="s">
        <v>350</v>
      </c>
      <c r="E87" s="59" t="s">
        <v>40</v>
      </c>
      <c r="F87" s="59" t="s">
        <v>40</v>
      </c>
      <c r="G87" s="55" t="s">
        <v>353</v>
      </c>
      <c r="H87" s="59" t="s">
        <v>40</v>
      </c>
      <c r="I87" s="30">
        <v>1260</v>
      </c>
      <c r="J87" s="30">
        <v>1134</v>
      </c>
      <c r="K87" s="64"/>
      <c r="L87" s="64"/>
      <c r="M87" s="64"/>
      <c r="N87" s="35">
        <v>1140</v>
      </c>
      <c r="O87" s="35">
        <v>1035</v>
      </c>
      <c r="P87" s="35">
        <v>880</v>
      </c>
      <c r="Q87" s="55" t="s">
        <v>169</v>
      </c>
      <c r="R87" s="55" t="s">
        <v>40</v>
      </c>
      <c r="S87" s="74" t="s">
        <v>40</v>
      </c>
      <c r="T87" s="64"/>
      <c r="U87" s="59"/>
      <c r="V87" s="76"/>
      <c r="W87" s="83">
        <v>84</v>
      </c>
      <c r="X87" s="76"/>
      <c r="Y87" s="55"/>
      <c r="Z87" s="55"/>
      <c r="AA87" s="55"/>
      <c r="AB87" s="55"/>
      <c r="AC87" s="77"/>
      <c r="AD87" s="88"/>
      <c r="AE87" s="88"/>
      <c r="AF87" s="88"/>
    </row>
    <row r="88" s="44" customFormat="1" ht="27" customHeight="1" spans="1:32">
      <c r="A88" s="55">
        <v>24</v>
      </c>
      <c r="B88" s="55" t="s">
        <v>407</v>
      </c>
      <c r="C88" s="55" t="s">
        <v>408</v>
      </c>
      <c r="D88" s="55" t="s">
        <v>350</v>
      </c>
      <c r="E88" s="59" t="s">
        <v>409</v>
      </c>
      <c r="F88" s="59" t="s">
        <v>410</v>
      </c>
      <c r="G88" s="55" t="s">
        <v>353</v>
      </c>
      <c r="H88" s="59" t="s">
        <v>411</v>
      </c>
      <c r="I88" s="30">
        <v>4500</v>
      </c>
      <c r="J88" s="30">
        <v>4050</v>
      </c>
      <c r="K88" s="63">
        <v>4369.10714285714</v>
      </c>
      <c r="L88" s="63">
        <v>4100</v>
      </c>
      <c r="M88" s="63" t="e">
        <v>#DIV/0!</v>
      </c>
      <c r="N88" s="69">
        <v>4370</v>
      </c>
      <c r="O88" s="35">
        <v>4050</v>
      </c>
      <c r="P88" s="35">
        <v>3450</v>
      </c>
      <c r="Q88" s="55" t="s">
        <v>41</v>
      </c>
      <c r="R88" s="55" t="s">
        <v>40</v>
      </c>
      <c r="S88" s="74">
        <v>0.2</v>
      </c>
      <c r="T88" s="63" t="s">
        <v>355</v>
      </c>
      <c r="U88" s="59" t="s">
        <v>356</v>
      </c>
      <c r="V88" s="76" t="s">
        <v>412</v>
      </c>
      <c r="W88" s="83">
        <v>85</v>
      </c>
      <c r="X88" s="76">
        <v>320500004</v>
      </c>
      <c r="Y88" s="77" t="s">
        <v>413</v>
      </c>
      <c r="Z88" s="77" t="s">
        <v>414</v>
      </c>
      <c r="AA88" s="77"/>
      <c r="AB88" s="77" t="s">
        <v>54</v>
      </c>
      <c r="AC88" s="77" t="s">
        <v>415</v>
      </c>
      <c r="AD88" s="88"/>
      <c r="AE88" s="88"/>
      <c r="AF88" s="88"/>
    </row>
    <row r="89" s="44" customFormat="1" ht="27" customHeight="1" spans="1:32">
      <c r="A89" s="55"/>
      <c r="B89" s="55"/>
      <c r="C89" s="55"/>
      <c r="D89" s="55"/>
      <c r="E89" s="59"/>
      <c r="F89" s="59"/>
      <c r="G89" s="55"/>
      <c r="H89" s="59"/>
      <c r="I89" s="37"/>
      <c r="J89" s="37"/>
      <c r="K89" s="63"/>
      <c r="L89" s="63"/>
      <c r="M89" s="63"/>
      <c r="N89" s="69"/>
      <c r="O89" s="35"/>
      <c r="P89" s="35"/>
      <c r="Q89" s="55"/>
      <c r="R89" s="55"/>
      <c r="S89" s="74"/>
      <c r="T89" s="63"/>
      <c r="U89" s="59"/>
      <c r="V89" s="76" t="s">
        <v>416</v>
      </c>
      <c r="W89" s="83">
        <v>86</v>
      </c>
      <c r="X89" s="76">
        <v>320500005</v>
      </c>
      <c r="Y89" s="77" t="s">
        <v>417</v>
      </c>
      <c r="Z89" s="77" t="s">
        <v>418</v>
      </c>
      <c r="AA89" s="77"/>
      <c r="AB89" s="77" t="s">
        <v>54</v>
      </c>
      <c r="AC89" s="77" t="s">
        <v>419</v>
      </c>
      <c r="AD89" s="88">
        <v>4300</v>
      </c>
      <c r="AE89" s="88">
        <v>4100</v>
      </c>
      <c r="AF89" s="88">
        <v>3700</v>
      </c>
    </row>
    <row r="90" s="44" customFormat="1" ht="27" customHeight="1" spans="1:32">
      <c r="A90" s="55"/>
      <c r="B90" s="55"/>
      <c r="C90" s="55"/>
      <c r="D90" s="55"/>
      <c r="E90" s="59"/>
      <c r="F90" s="59"/>
      <c r="G90" s="55"/>
      <c r="H90" s="59"/>
      <c r="I90" s="37"/>
      <c r="J90" s="37"/>
      <c r="K90" s="63"/>
      <c r="L90" s="63"/>
      <c r="M90" s="63"/>
      <c r="N90" s="69"/>
      <c r="O90" s="35"/>
      <c r="P90" s="35"/>
      <c r="Q90" s="55"/>
      <c r="R90" s="55"/>
      <c r="S90" s="74"/>
      <c r="T90" s="63"/>
      <c r="U90" s="59"/>
      <c r="V90" s="76" t="s">
        <v>420</v>
      </c>
      <c r="W90" s="83">
        <v>87</v>
      </c>
      <c r="X90" s="76">
        <v>32050000501</v>
      </c>
      <c r="Y90" s="77" t="s">
        <v>421</v>
      </c>
      <c r="Z90" s="77"/>
      <c r="AA90" s="77"/>
      <c r="AB90" s="77" t="s">
        <v>54</v>
      </c>
      <c r="AC90" s="77" t="s">
        <v>422</v>
      </c>
      <c r="AD90" s="88">
        <v>4945</v>
      </c>
      <c r="AE90" s="88">
        <v>4715</v>
      </c>
      <c r="AF90" s="88">
        <v>4255</v>
      </c>
    </row>
    <row r="91" s="44" customFormat="1" ht="27" customHeight="1" spans="1:32">
      <c r="A91" s="55"/>
      <c r="B91" s="55"/>
      <c r="C91" s="55"/>
      <c r="D91" s="55"/>
      <c r="E91" s="59"/>
      <c r="F91" s="59"/>
      <c r="G91" s="55"/>
      <c r="H91" s="59"/>
      <c r="I91" s="37"/>
      <c r="J91" s="37"/>
      <c r="K91" s="63"/>
      <c r="L91" s="63"/>
      <c r="M91" s="63"/>
      <c r="N91" s="69"/>
      <c r="O91" s="35"/>
      <c r="P91" s="35"/>
      <c r="Q91" s="55"/>
      <c r="R91" s="55"/>
      <c r="S91" s="74"/>
      <c r="T91" s="63"/>
      <c r="U91" s="59"/>
      <c r="V91" s="92" t="s">
        <v>423</v>
      </c>
      <c r="W91" s="83">
        <v>88</v>
      </c>
      <c r="X91" s="92">
        <v>330802008</v>
      </c>
      <c r="Y91" s="93" t="s">
        <v>424</v>
      </c>
      <c r="Z91" s="92"/>
      <c r="AA91" s="92"/>
      <c r="AB91" s="92" t="s">
        <v>54</v>
      </c>
      <c r="AC91" s="77" t="s">
        <v>40</v>
      </c>
      <c r="AD91" s="88">
        <v>3380</v>
      </c>
      <c r="AE91" s="88">
        <v>3040</v>
      </c>
      <c r="AF91" s="88">
        <v>2580</v>
      </c>
    </row>
    <row r="92" s="44" customFormat="1" ht="27" customHeight="1" spans="1:32">
      <c r="A92" s="55"/>
      <c r="B92" s="55"/>
      <c r="C92" s="55"/>
      <c r="D92" s="55"/>
      <c r="E92" s="59"/>
      <c r="F92" s="59"/>
      <c r="G92" s="55"/>
      <c r="H92" s="59"/>
      <c r="I92" s="37"/>
      <c r="J92" s="37"/>
      <c r="K92" s="63"/>
      <c r="L92" s="63"/>
      <c r="M92" s="63"/>
      <c r="N92" s="69"/>
      <c r="O92" s="35"/>
      <c r="P92" s="35"/>
      <c r="Q92" s="55"/>
      <c r="R92" s="55"/>
      <c r="S92" s="74"/>
      <c r="T92" s="63"/>
      <c r="U92" s="59"/>
      <c r="V92" s="76" t="s">
        <v>425</v>
      </c>
      <c r="W92" s="83">
        <v>89</v>
      </c>
      <c r="X92" s="76">
        <v>320500006</v>
      </c>
      <c r="Y92" s="77" t="s">
        <v>426</v>
      </c>
      <c r="Z92" s="77" t="s">
        <v>325</v>
      </c>
      <c r="AA92" s="77"/>
      <c r="AB92" s="77" t="s">
        <v>54</v>
      </c>
      <c r="AC92" s="77" t="s">
        <v>427</v>
      </c>
      <c r="AD92" s="88">
        <v>4860</v>
      </c>
      <c r="AE92" s="88">
        <v>4370</v>
      </c>
      <c r="AF92" s="88">
        <v>3710</v>
      </c>
    </row>
    <row r="93" s="44" customFormat="1" ht="27" customHeight="1" spans="1:32">
      <c r="A93" s="55"/>
      <c r="B93" s="55"/>
      <c r="C93" s="55"/>
      <c r="D93" s="55"/>
      <c r="E93" s="59"/>
      <c r="F93" s="59"/>
      <c r="G93" s="55"/>
      <c r="H93" s="59"/>
      <c r="I93" s="37"/>
      <c r="J93" s="37"/>
      <c r="K93" s="63"/>
      <c r="L93" s="63"/>
      <c r="M93" s="63"/>
      <c r="N93" s="69"/>
      <c r="O93" s="35"/>
      <c r="P93" s="35"/>
      <c r="Q93" s="55"/>
      <c r="R93" s="55"/>
      <c r="S93" s="74"/>
      <c r="T93" s="63"/>
      <c r="U93" s="59"/>
      <c r="V93" s="76" t="s">
        <v>428</v>
      </c>
      <c r="W93" s="83">
        <v>90</v>
      </c>
      <c r="X93" s="76">
        <v>32050000601</v>
      </c>
      <c r="Y93" s="77" t="s">
        <v>429</v>
      </c>
      <c r="Z93" s="77"/>
      <c r="AA93" s="77"/>
      <c r="AB93" s="77" t="s">
        <v>54</v>
      </c>
      <c r="AC93" s="77" t="s">
        <v>430</v>
      </c>
      <c r="AD93" s="88">
        <v>5465</v>
      </c>
      <c r="AE93" s="88">
        <v>4915</v>
      </c>
      <c r="AF93" s="88">
        <v>4175</v>
      </c>
    </row>
    <row r="94" s="44" customFormat="1" ht="27" customHeight="1" spans="1:32">
      <c r="A94" s="55" t="s">
        <v>55</v>
      </c>
      <c r="B94" s="55" t="s">
        <v>431</v>
      </c>
      <c r="C94" s="55" t="s">
        <v>432</v>
      </c>
      <c r="D94" s="55" t="s">
        <v>350</v>
      </c>
      <c r="E94" s="59" t="s">
        <v>40</v>
      </c>
      <c r="F94" s="59" t="s">
        <v>40</v>
      </c>
      <c r="G94" s="55" t="s">
        <v>353</v>
      </c>
      <c r="H94" s="59" t="s">
        <v>40</v>
      </c>
      <c r="I94" s="30">
        <v>1350</v>
      </c>
      <c r="J94" s="30">
        <v>1215</v>
      </c>
      <c r="K94" s="64"/>
      <c r="L94" s="64"/>
      <c r="M94" s="64"/>
      <c r="N94" s="35">
        <v>1310</v>
      </c>
      <c r="O94" s="35">
        <v>1215</v>
      </c>
      <c r="P94" s="35">
        <v>1035</v>
      </c>
      <c r="Q94" s="55" t="s">
        <v>41</v>
      </c>
      <c r="R94" s="55" t="s">
        <v>40</v>
      </c>
      <c r="S94" s="74">
        <v>0.2</v>
      </c>
      <c r="T94" s="64"/>
      <c r="U94" s="59"/>
      <c r="V94" s="76" t="s">
        <v>433</v>
      </c>
      <c r="W94" s="83">
        <v>91</v>
      </c>
      <c r="X94" s="76">
        <v>32050000502</v>
      </c>
      <c r="Y94" s="77" t="s">
        <v>434</v>
      </c>
      <c r="Z94" s="77"/>
      <c r="AA94" s="77"/>
      <c r="AB94" s="77" t="s">
        <v>54</v>
      </c>
      <c r="AC94" s="77" t="s">
        <v>40</v>
      </c>
      <c r="AD94" s="88">
        <v>5590</v>
      </c>
      <c r="AE94" s="88">
        <v>5330</v>
      </c>
      <c r="AF94" s="88">
        <v>4810</v>
      </c>
    </row>
    <row r="95" s="44" customFormat="1" ht="27" customHeight="1" spans="1:32">
      <c r="A95" s="55"/>
      <c r="B95" s="55"/>
      <c r="C95" s="55"/>
      <c r="D95" s="55"/>
      <c r="E95" s="59"/>
      <c r="F95" s="59"/>
      <c r="G95" s="55"/>
      <c r="H95" s="59"/>
      <c r="I95" s="37"/>
      <c r="J95" s="37"/>
      <c r="K95" s="64"/>
      <c r="L95" s="64"/>
      <c r="M95" s="64"/>
      <c r="N95" s="35"/>
      <c r="O95" s="35"/>
      <c r="P95" s="35"/>
      <c r="Q95" s="55"/>
      <c r="R95" s="55"/>
      <c r="S95" s="74"/>
      <c r="T95" s="64"/>
      <c r="U95" s="59"/>
      <c r="V95" s="76" t="s">
        <v>435</v>
      </c>
      <c r="W95" s="83">
        <v>92</v>
      </c>
      <c r="X95" s="76">
        <v>32050000503</v>
      </c>
      <c r="Y95" s="77" t="s">
        <v>436</v>
      </c>
      <c r="Z95" s="77"/>
      <c r="AA95" s="77"/>
      <c r="AB95" s="77" t="s">
        <v>54</v>
      </c>
      <c r="AC95" s="77" t="s">
        <v>437</v>
      </c>
      <c r="AD95" s="88">
        <v>6425</v>
      </c>
      <c r="AE95" s="88">
        <v>6125</v>
      </c>
      <c r="AF95" s="88">
        <v>5530</v>
      </c>
    </row>
    <row r="96" s="44" customFormat="1" ht="27" customHeight="1" spans="1:32">
      <c r="A96" s="55"/>
      <c r="B96" s="55"/>
      <c r="C96" s="55"/>
      <c r="D96" s="55"/>
      <c r="E96" s="59"/>
      <c r="F96" s="59"/>
      <c r="G96" s="55"/>
      <c r="H96" s="59"/>
      <c r="I96" s="37"/>
      <c r="J96" s="37"/>
      <c r="K96" s="64"/>
      <c r="L96" s="64"/>
      <c r="M96" s="64"/>
      <c r="N96" s="35"/>
      <c r="O96" s="35"/>
      <c r="P96" s="35"/>
      <c r="Q96" s="55"/>
      <c r="R96" s="55"/>
      <c r="S96" s="74"/>
      <c r="T96" s="64"/>
      <c r="U96" s="59"/>
      <c r="V96" s="76" t="s">
        <v>438</v>
      </c>
      <c r="W96" s="83">
        <v>93</v>
      </c>
      <c r="X96" s="76">
        <v>32050000602</v>
      </c>
      <c r="Y96" s="77" t="s">
        <v>439</v>
      </c>
      <c r="Z96" s="77"/>
      <c r="AA96" s="77"/>
      <c r="AB96" s="77" t="s">
        <v>54</v>
      </c>
      <c r="AC96" s="77" t="s">
        <v>40</v>
      </c>
      <c r="AD96" s="88">
        <v>6320</v>
      </c>
      <c r="AE96" s="88">
        <v>5680</v>
      </c>
      <c r="AF96" s="88">
        <v>4830</v>
      </c>
    </row>
    <row r="97" s="44" customFormat="1" ht="27" customHeight="1" spans="1:32">
      <c r="A97" s="55"/>
      <c r="B97" s="55"/>
      <c r="C97" s="55"/>
      <c r="D97" s="55"/>
      <c r="E97" s="59"/>
      <c r="F97" s="59"/>
      <c r="G97" s="55"/>
      <c r="H97" s="59"/>
      <c r="I97" s="37"/>
      <c r="J97" s="37"/>
      <c r="K97" s="64"/>
      <c r="L97" s="64"/>
      <c r="M97" s="64"/>
      <c r="N97" s="35"/>
      <c r="O97" s="35"/>
      <c r="P97" s="35"/>
      <c r="Q97" s="55"/>
      <c r="R97" s="55"/>
      <c r="S97" s="74"/>
      <c r="T97" s="64"/>
      <c r="U97" s="59"/>
      <c r="V97" s="76" t="s">
        <v>440</v>
      </c>
      <c r="W97" s="83">
        <v>94</v>
      </c>
      <c r="X97" s="76">
        <v>32050000603</v>
      </c>
      <c r="Y97" s="77" t="s">
        <v>441</v>
      </c>
      <c r="Z97" s="77"/>
      <c r="AA97" s="77"/>
      <c r="AB97" s="77" t="s">
        <v>54</v>
      </c>
      <c r="AC97" s="77" t="s">
        <v>442</v>
      </c>
      <c r="AD97" s="88">
        <v>7105</v>
      </c>
      <c r="AE97" s="88">
        <v>6390</v>
      </c>
      <c r="AF97" s="88">
        <v>5430</v>
      </c>
    </row>
    <row r="98" s="44" customFormat="1" ht="27" customHeight="1" spans="1:32">
      <c r="A98" s="55"/>
      <c r="B98" s="55"/>
      <c r="C98" s="55"/>
      <c r="D98" s="55"/>
      <c r="E98" s="59"/>
      <c r="F98" s="59"/>
      <c r="G98" s="55"/>
      <c r="H98" s="59"/>
      <c r="I98" s="37"/>
      <c r="J98" s="37"/>
      <c r="K98" s="64"/>
      <c r="L98" s="64"/>
      <c r="M98" s="64"/>
      <c r="N98" s="35"/>
      <c r="O98" s="35"/>
      <c r="P98" s="35"/>
      <c r="Q98" s="55"/>
      <c r="R98" s="55"/>
      <c r="S98" s="74"/>
      <c r="T98" s="64"/>
      <c r="U98" s="59"/>
      <c r="V98" s="92" t="s">
        <v>443</v>
      </c>
      <c r="W98" s="83">
        <v>95</v>
      </c>
      <c r="X98" s="92">
        <v>33080200801</v>
      </c>
      <c r="Y98" s="93" t="s">
        <v>444</v>
      </c>
      <c r="Z98" s="92"/>
      <c r="AA98" s="92"/>
      <c r="AB98" s="92" t="s">
        <v>54</v>
      </c>
      <c r="AC98" s="77" t="s">
        <v>40</v>
      </c>
      <c r="AD98" s="88">
        <v>4395</v>
      </c>
      <c r="AE98" s="88">
        <v>3950</v>
      </c>
      <c r="AF98" s="88">
        <v>3360</v>
      </c>
    </row>
    <row r="99" s="44" customFormat="1" ht="38" customHeight="1" spans="1:32">
      <c r="A99" s="55">
        <v>25</v>
      </c>
      <c r="B99" s="55" t="s">
        <v>445</v>
      </c>
      <c r="C99" s="55" t="s">
        <v>446</v>
      </c>
      <c r="D99" s="55" t="s">
        <v>350</v>
      </c>
      <c r="E99" s="59" t="s">
        <v>447</v>
      </c>
      <c r="F99" s="59" t="s">
        <v>448</v>
      </c>
      <c r="G99" s="55" t="s">
        <v>54</v>
      </c>
      <c r="H99" s="59"/>
      <c r="I99" s="30">
        <v>1100</v>
      </c>
      <c r="J99" s="30">
        <v>990</v>
      </c>
      <c r="K99" s="64"/>
      <c r="L99" s="64"/>
      <c r="M99" s="64"/>
      <c r="N99" s="70">
        <v>1000</v>
      </c>
      <c r="O99" s="70">
        <v>900</v>
      </c>
      <c r="P99" s="70">
        <v>770</v>
      </c>
      <c r="Q99" s="55" t="s">
        <v>41</v>
      </c>
      <c r="R99" s="55" t="s">
        <v>40</v>
      </c>
      <c r="S99" s="74">
        <v>0.2</v>
      </c>
      <c r="T99" s="64" t="s">
        <v>355</v>
      </c>
      <c r="U99" s="59" t="s">
        <v>449</v>
      </c>
      <c r="V99" s="76" t="s">
        <v>450</v>
      </c>
      <c r="W99" s="83">
        <v>96</v>
      </c>
      <c r="X99" s="76">
        <v>320500011</v>
      </c>
      <c r="Y99" s="77" t="s">
        <v>451</v>
      </c>
      <c r="Z99" s="77" t="s">
        <v>372</v>
      </c>
      <c r="AA99" s="77"/>
      <c r="AB99" s="77" t="s">
        <v>54</v>
      </c>
      <c r="AC99" s="77"/>
      <c r="AD99" s="88">
        <v>2530</v>
      </c>
      <c r="AE99" s="88">
        <v>2280</v>
      </c>
      <c r="AF99" s="88">
        <v>1940</v>
      </c>
    </row>
    <row r="100" s="44" customFormat="1" ht="38" customHeight="1" spans="1:32">
      <c r="A100" s="55"/>
      <c r="B100" s="55"/>
      <c r="C100" s="55"/>
      <c r="D100" s="55"/>
      <c r="E100" s="59"/>
      <c r="F100" s="59"/>
      <c r="G100" s="55"/>
      <c r="H100" s="59"/>
      <c r="I100" s="37"/>
      <c r="J100" s="37"/>
      <c r="K100" s="64"/>
      <c r="L100" s="64"/>
      <c r="M100" s="64"/>
      <c r="N100" s="70"/>
      <c r="O100" s="70"/>
      <c r="P100" s="70"/>
      <c r="Q100" s="55"/>
      <c r="R100" s="55"/>
      <c r="S100" s="74"/>
      <c r="T100" s="64"/>
      <c r="U100" s="59"/>
      <c r="V100" s="76" t="s">
        <v>452</v>
      </c>
      <c r="W100" s="83">
        <v>97</v>
      </c>
      <c r="X100" s="76">
        <v>320500013</v>
      </c>
      <c r="Y100" s="77" t="s">
        <v>453</v>
      </c>
      <c r="Z100" s="77" t="s">
        <v>372</v>
      </c>
      <c r="AA100" s="77"/>
      <c r="AB100" s="77" t="s">
        <v>54</v>
      </c>
      <c r="AC100" s="77" t="s">
        <v>40</v>
      </c>
      <c r="AD100" s="88"/>
      <c r="AE100" s="88"/>
      <c r="AF100" s="88"/>
    </row>
    <row r="101" s="44" customFormat="1" ht="38" customHeight="1" spans="1:32">
      <c r="A101" s="55" t="s">
        <v>55</v>
      </c>
      <c r="B101" s="55" t="s">
        <v>454</v>
      </c>
      <c r="C101" s="55" t="s">
        <v>455</v>
      </c>
      <c r="D101" s="55" t="s">
        <v>350</v>
      </c>
      <c r="E101" s="59" t="s">
        <v>40</v>
      </c>
      <c r="F101" s="59" t="s">
        <v>40</v>
      </c>
      <c r="G101" s="55" t="s">
        <v>54</v>
      </c>
      <c r="H101" s="59" t="s">
        <v>40</v>
      </c>
      <c r="I101" s="30">
        <v>330</v>
      </c>
      <c r="J101" s="30">
        <v>297</v>
      </c>
      <c r="K101" s="64"/>
      <c r="L101" s="64"/>
      <c r="M101" s="64"/>
      <c r="N101" s="35">
        <v>300</v>
      </c>
      <c r="O101" s="35">
        <v>270</v>
      </c>
      <c r="P101" s="35">
        <v>230</v>
      </c>
      <c r="Q101" s="35" t="e">
        <f>Q99*0.3</f>
        <v>#VALUE!</v>
      </c>
      <c r="R101" s="35" t="e">
        <f>R99*0.3</f>
        <v>#VALUE!</v>
      </c>
      <c r="S101" s="35">
        <f>S99*0.3</f>
        <v>0.06</v>
      </c>
      <c r="T101" s="64"/>
      <c r="U101" s="59" t="s">
        <v>305</v>
      </c>
      <c r="V101" s="76" t="s">
        <v>456</v>
      </c>
      <c r="W101" s="83">
        <v>98</v>
      </c>
      <c r="X101" s="76">
        <v>32050001101</v>
      </c>
      <c r="Y101" s="77" t="s">
        <v>457</v>
      </c>
      <c r="Z101" s="77"/>
      <c r="AA101" s="77"/>
      <c r="AB101" s="77" t="s">
        <v>54</v>
      </c>
      <c r="AC101" s="77" t="s">
        <v>40</v>
      </c>
      <c r="AD101" s="88">
        <v>3290</v>
      </c>
      <c r="AE101" s="88">
        <v>2965</v>
      </c>
      <c r="AF101" s="88">
        <v>2520</v>
      </c>
    </row>
    <row r="102" s="44" customFormat="1" ht="28" customHeight="1" spans="1:32">
      <c r="A102" s="55">
        <v>26</v>
      </c>
      <c r="B102" s="55" t="s">
        <v>458</v>
      </c>
      <c r="C102" s="55" t="s">
        <v>459</v>
      </c>
      <c r="D102" s="55" t="s">
        <v>151</v>
      </c>
      <c r="E102" s="59" t="s">
        <v>460</v>
      </c>
      <c r="F102" s="59" t="s">
        <v>461</v>
      </c>
      <c r="G102" s="55" t="s">
        <v>54</v>
      </c>
      <c r="H102" s="59" t="s">
        <v>40</v>
      </c>
      <c r="I102" s="30">
        <v>1365</v>
      </c>
      <c r="J102" s="30">
        <v>1229</v>
      </c>
      <c r="K102" s="64">
        <v>1265</v>
      </c>
      <c r="L102" s="64">
        <v>1215</v>
      </c>
      <c r="M102" s="64">
        <v>1035</v>
      </c>
      <c r="N102" s="35">
        <v>1265</v>
      </c>
      <c r="O102" s="35">
        <v>1215</v>
      </c>
      <c r="P102" s="35">
        <v>1035</v>
      </c>
      <c r="Q102" s="55" t="s">
        <v>41</v>
      </c>
      <c r="R102" s="55" t="s">
        <v>40</v>
      </c>
      <c r="S102" s="74" t="s">
        <v>40</v>
      </c>
      <c r="T102" s="64" t="s">
        <v>183</v>
      </c>
      <c r="U102" s="94" t="s">
        <v>462</v>
      </c>
      <c r="V102" s="76" t="s">
        <v>463</v>
      </c>
      <c r="W102" s="83">
        <v>99</v>
      </c>
      <c r="X102" s="76">
        <v>330803023</v>
      </c>
      <c r="Y102" s="77" t="s">
        <v>464</v>
      </c>
      <c r="Z102" s="77" t="s">
        <v>465</v>
      </c>
      <c r="AA102" s="77" t="s">
        <v>466</v>
      </c>
      <c r="AB102" s="77" t="s">
        <v>54</v>
      </c>
      <c r="AC102" s="77" t="s">
        <v>40</v>
      </c>
      <c r="AD102" s="88">
        <v>1500</v>
      </c>
      <c r="AE102" s="88">
        <v>1440</v>
      </c>
      <c r="AF102" s="88">
        <v>1224</v>
      </c>
    </row>
    <row r="103" s="44" customFormat="1" ht="28" customHeight="1" spans="1:32">
      <c r="A103" s="55"/>
      <c r="B103" s="55"/>
      <c r="C103" s="55"/>
      <c r="D103" s="55"/>
      <c r="E103" s="59"/>
      <c r="F103" s="59"/>
      <c r="G103" s="55"/>
      <c r="H103" s="59"/>
      <c r="I103" s="30"/>
      <c r="J103" s="30"/>
      <c r="K103" s="64"/>
      <c r="L103" s="64"/>
      <c r="M103" s="64"/>
      <c r="N103" s="35"/>
      <c r="O103" s="35"/>
      <c r="P103" s="35"/>
      <c r="Q103" s="55"/>
      <c r="R103" s="55"/>
      <c r="S103" s="74"/>
      <c r="T103" s="64"/>
      <c r="U103" s="95"/>
      <c r="V103" s="76" t="s">
        <v>467</v>
      </c>
      <c r="W103" s="83">
        <v>100</v>
      </c>
      <c r="X103" s="83">
        <v>33080302301</v>
      </c>
      <c r="Y103" s="77" t="s">
        <v>468</v>
      </c>
      <c r="Z103" s="77"/>
      <c r="AA103" s="77"/>
      <c r="AB103" s="77" t="s">
        <v>54</v>
      </c>
      <c r="AC103" s="77" t="s">
        <v>40</v>
      </c>
      <c r="AD103" s="88">
        <v>1950</v>
      </c>
      <c r="AE103" s="88">
        <v>1870</v>
      </c>
      <c r="AF103" s="88">
        <v>1590</v>
      </c>
    </row>
    <row r="104" s="44" customFormat="1" ht="28" customHeight="1" spans="1:32">
      <c r="A104" s="55"/>
      <c r="B104" s="55"/>
      <c r="C104" s="55"/>
      <c r="D104" s="55"/>
      <c r="E104" s="59"/>
      <c r="F104" s="59"/>
      <c r="G104" s="55"/>
      <c r="H104" s="59"/>
      <c r="I104" s="37"/>
      <c r="J104" s="37"/>
      <c r="K104" s="64"/>
      <c r="L104" s="64"/>
      <c r="M104" s="64"/>
      <c r="N104" s="35"/>
      <c r="O104" s="35"/>
      <c r="P104" s="35"/>
      <c r="Q104" s="55"/>
      <c r="R104" s="55"/>
      <c r="S104" s="74"/>
      <c r="T104" s="64"/>
      <c r="U104" s="95"/>
      <c r="V104" s="55" t="s">
        <v>469</v>
      </c>
      <c r="W104" s="83">
        <v>101</v>
      </c>
      <c r="X104" s="96" t="s">
        <v>470</v>
      </c>
      <c r="Y104" s="97" t="s">
        <v>471</v>
      </c>
      <c r="Z104" s="97" t="s">
        <v>472</v>
      </c>
      <c r="AA104" s="97" t="s">
        <v>473</v>
      </c>
      <c r="AB104" s="97" t="s">
        <v>54</v>
      </c>
      <c r="AC104" s="77" t="s">
        <v>40</v>
      </c>
      <c r="AD104" s="88" t="s">
        <v>474</v>
      </c>
      <c r="AE104" s="88" t="s">
        <v>474</v>
      </c>
      <c r="AF104" s="88" t="s">
        <v>474</v>
      </c>
    </row>
    <row r="105" s="44" customFormat="1" ht="54" customHeight="1" spans="1:32">
      <c r="A105" s="55">
        <v>27</v>
      </c>
      <c r="B105" s="55" t="s">
        <v>475</v>
      </c>
      <c r="C105" s="55" t="s">
        <v>476</v>
      </c>
      <c r="D105" s="55" t="s">
        <v>151</v>
      </c>
      <c r="E105" s="59" t="s">
        <v>477</v>
      </c>
      <c r="F105" s="59" t="s">
        <v>478</v>
      </c>
      <c r="G105" s="55" t="s">
        <v>54</v>
      </c>
      <c r="H105" s="59" t="s">
        <v>40</v>
      </c>
      <c r="I105" s="30">
        <v>255</v>
      </c>
      <c r="J105" s="30">
        <v>230</v>
      </c>
      <c r="K105" s="64">
        <v>235</v>
      </c>
      <c r="L105" s="64">
        <v>225</v>
      </c>
      <c r="M105" s="64">
        <v>190</v>
      </c>
      <c r="N105" s="35">
        <v>235</v>
      </c>
      <c r="O105" s="35">
        <v>225</v>
      </c>
      <c r="P105" s="35">
        <v>190</v>
      </c>
      <c r="Q105" s="55" t="s">
        <v>41</v>
      </c>
      <c r="R105" s="55" t="s">
        <v>40</v>
      </c>
      <c r="S105" s="74" t="s">
        <v>40</v>
      </c>
      <c r="T105" s="64" t="s">
        <v>183</v>
      </c>
      <c r="U105" s="119"/>
      <c r="V105" s="76"/>
      <c r="W105" s="83">
        <v>102</v>
      </c>
      <c r="X105" s="76"/>
      <c r="Y105" s="77"/>
      <c r="Z105" s="77"/>
      <c r="AA105" s="77"/>
      <c r="AB105" s="77"/>
      <c r="AC105" s="77"/>
      <c r="AD105" s="88"/>
      <c r="AE105" s="88"/>
      <c r="AF105" s="88"/>
    </row>
    <row r="106" s="44" customFormat="1" ht="36" customHeight="1" spans="1:32">
      <c r="A106" s="55">
        <v>28</v>
      </c>
      <c r="B106" s="55" t="s">
        <v>479</v>
      </c>
      <c r="C106" s="55" t="s">
        <v>480</v>
      </c>
      <c r="D106" s="55" t="s">
        <v>36</v>
      </c>
      <c r="E106" s="59" t="s">
        <v>481</v>
      </c>
      <c r="F106" s="59" t="s">
        <v>482</v>
      </c>
      <c r="G106" s="55" t="s">
        <v>39</v>
      </c>
      <c r="H106" s="59" t="s">
        <v>40</v>
      </c>
      <c r="I106" s="30">
        <v>90</v>
      </c>
      <c r="J106" s="30">
        <v>81</v>
      </c>
      <c r="K106" s="64">
        <v>85</v>
      </c>
      <c r="L106" s="64">
        <v>80</v>
      </c>
      <c r="M106" s="64">
        <v>72</v>
      </c>
      <c r="N106" s="69">
        <v>85</v>
      </c>
      <c r="O106" s="69">
        <v>80</v>
      </c>
      <c r="P106" s="69">
        <v>72</v>
      </c>
      <c r="Q106" s="55" t="s">
        <v>41</v>
      </c>
      <c r="R106" s="55" t="s">
        <v>40</v>
      </c>
      <c r="S106" s="74">
        <v>0.2</v>
      </c>
      <c r="T106" s="64" t="s">
        <v>183</v>
      </c>
      <c r="U106" s="59" t="s">
        <v>183</v>
      </c>
      <c r="V106" s="76" t="s">
        <v>483</v>
      </c>
      <c r="W106" s="83">
        <v>103</v>
      </c>
      <c r="X106" s="76">
        <v>320500009</v>
      </c>
      <c r="Y106" s="55" t="s">
        <v>484</v>
      </c>
      <c r="Z106" s="55" t="s">
        <v>485</v>
      </c>
      <c r="AA106" s="55"/>
      <c r="AB106" s="55" t="s">
        <v>39</v>
      </c>
      <c r="AC106" s="77" t="s">
        <v>40</v>
      </c>
      <c r="AD106" s="88">
        <v>85</v>
      </c>
      <c r="AE106" s="88">
        <v>80</v>
      </c>
      <c r="AF106" s="88">
        <v>72</v>
      </c>
    </row>
    <row r="107" s="44" customFormat="1" ht="36" customHeight="1" spans="1:32">
      <c r="A107" s="55"/>
      <c r="B107" s="55"/>
      <c r="C107" s="55"/>
      <c r="D107" s="55"/>
      <c r="E107" s="59"/>
      <c r="F107" s="59"/>
      <c r="G107" s="55"/>
      <c r="H107" s="59"/>
      <c r="I107" s="37"/>
      <c r="J107" s="37"/>
      <c r="K107" s="64"/>
      <c r="L107" s="64"/>
      <c r="M107" s="64"/>
      <c r="N107" s="69"/>
      <c r="O107" s="69"/>
      <c r="P107" s="69"/>
      <c r="Q107" s="55"/>
      <c r="R107" s="55"/>
      <c r="S107" s="74"/>
      <c r="T107" s="64"/>
      <c r="U107" s="59"/>
      <c r="V107" s="92" t="s">
        <v>486</v>
      </c>
      <c r="W107" s="83">
        <v>104</v>
      </c>
      <c r="X107" s="92">
        <v>32050000901</v>
      </c>
      <c r="Y107" s="93" t="s">
        <v>487</v>
      </c>
      <c r="Z107" s="92"/>
      <c r="AA107" s="92"/>
      <c r="AB107" s="92" t="s">
        <v>39</v>
      </c>
      <c r="AC107" s="77" t="s">
        <v>40</v>
      </c>
      <c r="AD107" s="88">
        <v>110</v>
      </c>
      <c r="AE107" s="88">
        <v>100</v>
      </c>
      <c r="AF107" s="88">
        <v>94</v>
      </c>
    </row>
    <row r="108" s="44" customFormat="1" ht="27" customHeight="1" spans="1:32">
      <c r="A108" s="55">
        <v>29</v>
      </c>
      <c r="B108" s="55" t="s">
        <v>488</v>
      </c>
      <c r="C108" s="55" t="s">
        <v>489</v>
      </c>
      <c r="D108" s="55" t="s">
        <v>36</v>
      </c>
      <c r="E108" s="59" t="s">
        <v>490</v>
      </c>
      <c r="F108" s="59" t="s">
        <v>491</v>
      </c>
      <c r="G108" s="55" t="s">
        <v>54</v>
      </c>
      <c r="H108" s="59" t="s">
        <v>40</v>
      </c>
      <c r="I108" s="30">
        <v>1000</v>
      </c>
      <c r="J108" s="30">
        <v>900</v>
      </c>
      <c r="K108" s="63">
        <v>1049.91086956522</v>
      </c>
      <c r="L108" s="63">
        <v>900</v>
      </c>
      <c r="M108" s="63" t="e">
        <v>#DIV/0!</v>
      </c>
      <c r="N108" s="68">
        <v>950</v>
      </c>
      <c r="O108" s="68">
        <v>880</v>
      </c>
      <c r="P108" s="68">
        <v>750</v>
      </c>
      <c r="Q108" s="55" t="s">
        <v>41</v>
      </c>
      <c r="R108" s="55" t="s">
        <v>40</v>
      </c>
      <c r="S108" s="74" t="s">
        <v>40</v>
      </c>
      <c r="T108" s="63" t="s">
        <v>115</v>
      </c>
      <c r="U108" s="59" t="s">
        <v>275</v>
      </c>
      <c r="V108" s="76" t="s">
        <v>492</v>
      </c>
      <c r="W108" s="83">
        <v>105</v>
      </c>
      <c r="X108" s="76">
        <v>310702020</v>
      </c>
      <c r="Y108" s="77" t="s">
        <v>493</v>
      </c>
      <c r="Z108" s="77"/>
      <c r="AA108" s="77" t="s">
        <v>494</v>
      </c>
      <c r="AB108" s="77" t="s">
        <v>54</v>
      </c>
      <c r="AC108" s="77" t="s">
        <v>495</v>
      </c>
      <c r="AD108" s="88">
        <v>1035</v>
      </c>
      <c r="AE108" s="88">
        <v>900</v>
      </c>
      <c r="AF108" s="88">
        <v>765</v>
      </c>
    </row>
    <row r="109" s="44" customFormat="1" ht="27" customHeight="1" spans="1:32">
      <c r="A109" s="55"/>
      <c r="B109" s="55"/>
      <c r="C109" s="55"/>
      <c r="D109" s="55"/>
      <c r="E109" s="59"/>
      <c r="F109" s="59"/>
      <c r="G109" s="55"/>
      <c r="H109" s="59"/>
      <c r="I109" s="37"/>
      <c r="J109" s="37"/>
      <c r="K109" s="63"/>
      <c r="L109" s="63"/>
      <c r="M109" s="63"/>
      <c r="N109" s="68"/>
      <c r="O109" s="68"/>
      <c r="P109" s="68"/>
      <c r="Q109" s="55"/>
      <c r="R109" s="55"/>
      <c r="S109" s="74"/>
      <c r="T109" s="63"/>
      <c r="U109" s="59"/>
      <c r="V109" s="76" t="s">
        <v>496</v>
      </c>
      <c r="W109" s="83">
        <v>106</v>
      </c>
      <c r="X109" s="76">
        <v>31070202002</v>
      </c>
      <c r="Y109" s="77" t="s">
        <v>497</v>
      </c>
      <c r="Z109" s="77"/>
      <c r="AA109" s="77"/>
      <c r="AB109" s="77" t="s">
        <v>54</v>
      </c>
      <c r="AC109" s="77" t="s">
        <v>498</v>
      </c>
      <c r="AD109" s="88">
        <v>1092.5</v>
      </c>
      <c r="AE109" s="88">
        <v>950</v>
      </c>
      <c r="AF109" s="88">
        <v>807.5</v>
      </c>
    </row>
    <row r="110" s="44" customFormat="1" ht="27" customHeight="1" spans="1:33">
      <c r="A110" s="55"/>
      <c r="B110" s="55"/>
      <c r="C110" s="55"/>
      <c r="D110" s="55"/>
      <c r="E110" s="59"/>
      <c r="F110" s="59"/>
      <c r="G110" s="55"/>
      <c r="H110" s="59"/>
      <c r="I110" s="37"/>
      <c r="J110" s="37"/>
      <c r="K110" s="63"/>
      <c r="L110" s="63"/>
      <c r="M110" s="63"/>
      <c r="N110" s="68"/>
      <c r="O110" s="68"/>
      <c r="P110" s="68"/>
      <c r="Q110" s="55"/>
      <c r="R110" s="55"/>
      <c r="S110" s="74"/>
      <c r="T110" s="63"/>
      <c r="U110" s="59"/>
      <c r="V110" s="78" t="s">
        <v>499</v>
      </c>
      <c r="W110" s="83">
        <v>107</v>
      </c>
      <c r="X110" s="78">
        <v>310701024</v>
      </c>
      <c r="Y110" s="79" t="s">
        <v>500</v>
      </c>
      <c r="Z110" s="79"/>
      <c r="AA110" s="79" t="s">
        <v>501</v>
      </c>
      <c r="AB110" s="79" t="s">
        <v>39</v>
      </c>
      <c r="AC110" s="79" t="s">
        <v>40</v>
      </c>
      <c r="AD110" s="89">
        <v>17.3</v>
      </c>
      <c r="AE110" s="89">
        <v>15</v>
      </c>
      <c r="AF110" s="89">
        <v>12.8</v>
      </c>
      <c r="AG110" s="44" t="s">
        <v>502</v>
      </c>
    </row>
    <row r="111" s="44" customFormat="1" ht="27" customHeight="1" spans="1:33">
      <c r="A111" s="55"/>
      <c r="B111" s="55"/>
      <c r="C111" s="55"/>
      <c r="D111" s="55"/>
      <c r="E111" s="59"/>
      <c r="F111" s="59"/>
      <c r="G111" s="55"/>
      <c r="H111" s="59"/>
      <c r="I111" s="37"/>
      <c r="J111" s="37"/>
      <c r="K111" s="63"/>
      <c r="L111" s="63"/>
      <c r="M111" s="63"/>
      <c r="N111" s="68"/>
      <c r="O111" s="68"/>
      <c r="P111" s="68"/>
      <c r="Q111" s="55"/>
      <c r="R111" s="55"/>
      <c r="S111" s="74"/>
      <c r="T111" s="63"/>
      <c r="U111" s="59"/>
      <c r="V111" s="78" t="s">
        <v>243</v>
      </c>
      <c r="W111" s="83">
        <v>108</v>
      </c>
      <c r="X111" s="78">
        <v>310701023</v>
      </c>
      <c r="Y111" s="79" t="s">
        <v>244</v>
      </c>
      <c r="Z111" s="79"/>
      <c r="AA111" s="79" t="s">
        <v>245</v>
      </c>
      <c r="AB111" s="79" t="s">
        <v>54</v>
      </c>
      <c r="AC111" s="79" t="s">
        <v>40</v>
      </c>
      <c r="AD111" s="89">
        <v>115</v>
      </c>
      <c r="AE111" s="89">
        <v>100</v>
      </c>
      <c r="AF111" s="89">
        <v>85</v>
      </c>
      <c r="AG111" s="44" t="s">
        <v>503</v>
      </c>
    </row>
    <row r="112" s="44" customFormat="1" ht="38" customHeight="1" spans="1:32">
      <c r="A112" s="55" t="s">
        <v>55</v>
      </c>
      <c r="B112" s="55" t="s">
        <v>504</v>
      </c>
      <c r="C112" s="55" t="s">
        <v>505</v>
      </c>
      <c r="D112" s="55" t="s">
        <v>36</v>
      </c>
      <c r="E112" s="59" t="s">
        <v>40</v>
      </c>
      <c r="F112" s="59" t="s">
        <v>40</v>
      </c>
      <c r="G112" s="55" t="s">
        <v>54</v>
      </c>
      <c r="H112" s="59" t="s">
        <v>40</v>
      </c>
      <c r="I112" s="30">
        <v>300</v>
      </c>
      <c r="J112" s="30">
        <v>270</v>
      </c>
      <c r="K112" s="64"/>
      <c r="L112" s="64"/>
      <c r="M112" s="64"/>
      <c r="N112" s="35">
        <v>285</v>
      </c>
      <c r="O112" s="35">
        <v>265</v>
      </c>
      <c r="P112" s="35">
        <v>225</v>
      </c>
      <c r="Q112" s="55" t="s">
        <v>41</v>
      </c>
      <c r="R112" s="55" t="s">
        <v>40</v>
      </c>
      <c r="S112" s="74" t="s">
        <v>40</v>
      </c>
      <c r="T112" s="64"/>
      <c r="U112" s="59" t="s">
        <v>305</v>
      </c>
      <c r="V112" s="76"/>
      <c r="W112" s="83">
        <v>109</v>
      </c>
      <c r="X112" s="76"/>
      <c r="Y112" s="55"/>
      <c r="Z112" s="55"/>
      <c r="AA112" s="55"/>
      <c r="AB112" s="55"/>
      <c r="AC112" s="77"/>
      <c r="AD112" s="88"/>
      <c r="AE112" s="88"/>
      <c r="AF112" s="88"/>
    </row>
    <row r="113" s="44" customFormat="1" ht="38" customHeight="1" spans="1:32">
      <c r="A113" s="55">
        <v>30</v>
      </c>
      <c r="B113" s="55" t="s">
        <v>506</v>
      </c>
      <c r="C113" s="55" t="s">
        <v>507</v>
      </c>
      <c r="D113" s="55" t="s">
        <v>36</v>
      </c>
      <c r="E113" s="59" t="s">
        <v>508</v>
      </c>
      <c r="F113" s="59" t="s">
        <v>491</v>
      </c>
      <c r="G113" s="55" t="s">
        <v>54</v>
      </c>
      <c r="H113" s="59" t="s">
        <v>40</v>
      </c>
      <c r="I113" s="30">
        <v>1100</v>
      </c>
      <c r="J113" s="30">
        <v>990</v>
      </c>
      <c r="K113" s="64">
        <v>1150</v>
      </c>
      <c r="L113" s="64">
        <v>1000</v>
      </c>
      <c r="M113" s="64">
        <v>850</v>
      </c>
      <c r="N113" s="35">
        <v>1050</v>
      </c>
      <c r="O113" s="35">
        <v>950</v>
      </c>
      <c r="P113" s="35">
        <v>810</v>
      </c>
      <c r="Q113" s="55" t="s">
        <v>41</v>
      </c>
      <c r="R113" s="55" t="s">
        <v>40</v>
      </c>
      <c r="S113" s="74" t="s">
        <v>40</v>
      </c>
      <c r="T113" s="64" t="s">
        <v>115</v>
      </c>
      <c r="U113" s="59" t="s">
        <v>275</v>
      </c>
      <c r="V113" s="76" t="s">
        <v>509</v>
      </c>
      <c r="W113" s="83">
        <v>110</v>
      </c>
      <c r="X113" s="76">
        <v>310702021</v>
      </c>
      <c r="Y113" s="77" t="s">
        <v>510</v>
      </c>
      <c r="Z113" s="77" t="s">
        <v>511</v>
      </c>
      <c r="AA113" s="77" t="s">
        <v>494</v>
      </c>
      <c r="AB113" s="77" t="s">
        <v>54</v>
      </c>
      <c r="AC113" s="77" t="s">
        <v>157</v>
      </c>
      <c r="AD113" s="88">
        <v>1150</v>
      </c>
      <c r="AE113" s="88">
        <v>1000</v>
      </c>
      <c r="AF113" s="88">
        <v>850</v>
      </c>
    </row>
    <row r="114" s="44" customFormat="1" ht="38" customHeight="1" spans="1:32">
      <c r="A114" s="55" t="s">
        <v>55</v>
      </c>
      <c r="B114" s="55" t="s">
        <v>512</v>
      </c>
      <c r="C114" s="55" t="s">
        <v>513</v>
      </c>
      <c r="D114" s="55" t="s">
        <v>36</v>
      </c>
      <c r="E114" s="59" t="s">
        <v>40</v>
      </c>
      <c r="F114" s="59" t="s">
        <v>40</v>
      </c>
      <c r="G114" s="55" t="s">
        <v>54</v>
      </c>
      <c r="H114" s="59" t="s">
        <v>40</v>
      </c>
      <c r="I114" s="30">
        <v>330</v>
      </c>
      <c r="J114" s="30">
        <v>297</v>
      </c>
      <c r="K114" s="64"/>
      <c r="L114" s="64"/>
      <c r="M114" s="64"/>
      <c r="N114" s="35">
        <v>315</v>
      </c>
      <c r="O114" s="35">
        <v>285</v>
      </c>
      <c r="P114" s="35">
        <v>245</v>
      </c>
      <c r="Q114" s="55" t="s">
        <v>41</v>
      </c>
      <c r="R114" s="55" t="s">
        <v>40</v>
      </c>
      <c r="S114" s="74" t="s">
        <v>40</v>
      </c>
      <c r="T114" s="64"/>
      <c r="U114" s="59" t="s">
        <v>305</v>
      </c>
      <c r="V114" s="76"/>
      <c r="W114" s="83">
        <v>111</v>
      </c>
      <c r="X114" s="76"/>
      <c r="Y114" s="55"/>
      <c r="Z114" s="55"/>
      <c r="AA114" s="55"/>
      <c r="AB114" s="55"/>
      <c r="AC114" s="77"/>
      <c r="AD114" s="88"/>
      <c r="AE114" s="88"/>
      <c r="AF114" s="88"/>
    </row>
    <row r="115" s="44" customFormat="1" ht="66" customHeight="1" spans="1:32">
      <c r="A115" s="55">
        <v>31</v>
      </c>
      <c r="B115" s="55" t="s">
        <v>514</v>
      </c>
      <c r="C115" s="55" t="s">
        <v>515</v>
      </c>
      <c r="D115" s="55" t="s">
        <v>350</v>
      </c>
      <c r="E115" s="59" t="s">
        <v>516</v>
      </c>
      <c r="F115" s="59" t="s">
        <v>517</v>
      </c>
      <c r="G115" s="55" t="s">
        <v>54</v>
      </c>
      <c r="H115" s="59" t="s">
        <v>40</v>
      </c>
      <c r="I115" s="30">
        <v>3960</v>
      </c>
      <c r="J115" s="30">
        <v>3564</v>
      </c>
      <c r="K115" s="64">
        <v>3560</v>
      </c>
      <c r="L115" s="64">
        <v>3200</v>
      </c>
      <c r="M115" s="64">
        <v>2720</v>
      </c>
      <c r="N115" s="35">
        <v>3560</v>
      </c>
      <c r="O115" s="35">
        <v>3200</v>
      </c>
      <c r="P115" s="35">
        <v>2720</v>
      </c>
      <c r="Q115" s="55" t="s">
        <v>41</v>
      </c>
      <c r="R115" s="55" t="s">
        <v>40</v>
      </c>
      <c r="S115" s="74">
        <v>0.2</v>
      </c>
      <c r="T115" s="64" t="s">
        <v>183</v>
      </c>
      <c r="U115" s="59" t="s">
        <v>183</v>
      </c>
      <c r="V115" s="76" t="s">
        <v>518</v>
      </c>
      <c r="W115" s="83">
        <v>112</v>
      </c>
      <c r="X115" s="76">
        <v>320400001</v>
      </c>
      <c r="Y115" s="77" t="s">
        <v>519</v>
      </c>
      <c r="Z115" s="77" t="s">
        <v>520</v>
      </c>
      <c r="AA115" s="77"/>
      <c r="AB115" s="77" t="s">
        <v>521</v>
      </c>
      <c r="AC115" s="77" t="s">
        <v>40</v>
      </c>
      <c r="AD115" s="88">
        <v>3560</v>
      </c>
      <c r="AE115" s="88">
        <v>3200</v>
      </c>
      <c r="AF115" s="88">
        <v>2720</v>
      </c>
    </row>
    <row r="116" s="44" customFormat="1" ht="38" customHeight="1" spans="1:32">
      <c r="A116" s="55" t="s">
        <v>55</v>
      </c>
      <c r="B116" s="55" t="s">
        <v>522</v>
      </c>
      <c r="C116" s="55" t="s">
        <v>523</v>
      </c>
      <c r="D116" s="55" t="s">
        <v>350</v>
      </c>
      <c r="E116" s="59" t="s">
        <v>40</v>
      </c>
      <c r="F116" s="59" t="s">
        <v>40</v>
      </c>
      <c r="G116" s="55" t="s">
        <v>54</v>
      </c>
      <c r="H116" s="59" t="s">
        <v>40</v>
      </c>
      <c r="I116" s="30">
        <v>1188</v>
      </c>
      <c r="J116" s="30">
        <v>1069</v>
      </c>
      <c r="K116" s="64"/>
      <c r="L116" s="64"/>
      <c r="M116" s="64"/>
      <c r="N116" s="35">
        <v>1070</v>
      </c>
      <c r="O116" s="35">
        <v>960</v>
      </c>
      <c r="P116" s="35">
        <v>815</v>
      </c>
      <c r="Q116" s="35" t="e">
        <f>Q115*0.3</f>
        <v>#VALUE!</v>
      </c>
      <c r="R116" s="35" t="e">
        <f>R115*0.3</f>
        <v>#VALUE!</v>
      </c>
      <c r="S116" s="35">
        <f>S115*0.3</f>
        <v>0.06</v>
      </c>
      <c r="T116" s="64"/>
      <c r="U116" s="59" t="s">
        <v>305</v>
      </c>
      <c r="V116" s="76" t="s">
        <v>524</v>
      </c>
      <c r="W116" s="83">
        <v>113</v>
      </c>
      <c r="X116" s="76">
        <v>32040000101</v>
      </c>
      <c r="Y116" s="77" t="s">
        <v>525</v>
      </c>
      <c r="Z116" s="77"/>
      <c r="AA116" s="77"/>
      <c r="AB116" s="77" t="s">
        <v>521</v>
      </c>
      <c r="AC116" s="77" t="s">
        <v>40</v>
      </c>
      <c r="AD116" s="88">
        <v>4630</v>
      </c>
      <c r="AE116" s="88">
        <v>4160</v>
      </c>
      <c r="AF116" s="88">
        <v>3535</v>
      </c>
    </row>
    <row r="117" s="44" customFormat="1" ht="38" customHeight="1" spans="1:32">
      <c r="A117" s="55" t="s">
        <v>55</v>
      </c>
      <c r="B117" s="55" t="s">
        <v>526</v>
      </c>
      <c r="C117" s="55" t="s">
        <v>527</v>
      </c>
      <c r="D117" s="55" t="s">
        <v>350</v>
      </c>
      <c r="E117" s="59" t="s">
        <v>40</v>
      </c>
      <c r="F117" s="59" t="s">
        <v>40</v>
      </c>
      <c r="G117" s="55" t="s">
        <v>54</v>
      </c>
      <c r="H117" s="59" t="s">
        <v>40</v>
      </c>
      <c r="I117" s="30">
        <v>3960</v>
      </c>
      <c r="J117" s="30">
        <v>3564</v>
      </c>
      <c r="K117" s="64"/>
      <c r="L117" s="64"/>
      <c r="M117" s="64"/>
      <c r="N117" s="35">
        <v>3560</v>
      </c>
      <c r="O117" s="35">
        <v>3200</v>
      </c>
      <c r="P117" s="35">
        <v>2720</v>
      </c>
      <c r="Q117" s="35" t="str">
        <f t="shared" ref="N117:S117" si="0">Q115</f>
        <v>医保</v>
      </c>
      <c r="R117" s="35" t="str">
        <f t="shared" si="0"/>
        <v/>
      </c>
      <c r="S117" s="35">
        <f t="shared" si="0"/>
        <v>0.2</v>
      </c>
      <c r="T117" s="64"/>
      <c r="U117" s="59" t="s">
        <v>105</v>
      </c>
      <c r="V117" s="76"/>
      <c r="W117" s="83">
        <v>114</v>
      </c>
      <c r="X117" s="76"/>
      <c r="Y117" s="77"/>
      <c r="Z117" s="77"/>
      <c r="AA117" s="77"/>
      <c r="AB117" s="77"/>
      <c r="AC117" s="77"/>
      <c r="AD117" s="88"/>
      <c r="AE117" s="88"/>
      <c r="AF117" s="88"/>
    </row>
    <row r="118" s="44" customFormat="1" ht="38" customHeight="1" spans="1:32">
      <c r="A118" s="55">
        <v>32</v>
      </c>
      <c r="B118" s="55" t="s">
        <v>528</v>
      </c>
      <c r="C118" s="55" t="s">
        <v>529</v>
      </c>
      <c r="D118" s="55" t="s">
        <v>350</v>
      </c>
      <c r="E118" s="59" t="s">
        <v>530</v>
      </c>
      <c r="F118" s="59" t="s">
        <v>517</v>
      </c>
      <c r="G118" s="55" t="s">
        <v>54</v>
      </c>
      <c r="H118" s="59" t="s">
        <v>40</v>
      </c>
      <c r="I118" s="30">
        <v>4000</v>
      </c>
      <c r="J118" s="30">
        <v>3600</v>
      </c>
      <c r="K118" s="63">
        <v>3701.24457308249</v>
      </c>
      <c r="L118" s="64">
        <v>3200</v>
      </c>
      <c r="M118" s="64" t="e">
        <v>#DIV/0!</v>
      </c>
      <c r="N118" s="35">
        <v>3700</v>
      </c>
      <c r="O118" s="35">
        <v>3350</v>
      </c>
      <c r="P118" s="35">
        <v>2850</v>
      </c>
      <c r="Q118" s="55" t="s">
        <v>41</v>
      </c>
      <c r="R118" s="55" t="s">
        <v>40</v>
      </c>
      <c r="S118" s="74">
        <v>0.2</v>
      </c>
      <c r="T118" s="64" t="s">
        <v>355</v>
      </c>
      <c r="U118" s="59" t="s">
        <v>531</v>
      </c>
      <c r="V118" s="76" t="s">
        <v>518</v>
      </c>
      <c r="W118" s="83">
        <v>115</v>
      </c>
      <c r="X118" s="76">
        <v>320400001</v>
      </c>
      <c r="Y118" s="77" t="s">
        <v>519</v>
      </c>
      <c r="Z118" s="77" t="s">
        <v>520</v>
      </c>
      <c r="AA118" s="77"/>
      <c r="AB118" s="77" t="s">
        <v>521</v>
      </c>
      <c r="AC118" s="77" t="s">
        <v>40</v>
      </c>
      <c r="AD118" s="88">
        <v>3560</v>
      </c>
      <c r="AE118" s="88">
        <v>3200</v>
      </c>
      <c r="AF118" s="88">
        <v>2720</v>
      </c>
    </row>
    <row r="119" s="44" customFormat="1" ht="38" customHeight="1" spans="1:32">
      <c r="A119" s="55"/>
      <c r="B119" s="55"/>
      <c r="C119" s="55"/>
      <c r="D119" s="55"/>
      <c r="E119" s="59"/>
      <c r="F119" s="59"/>
      <c r="G119" s="55"/>
      <c r="H119" s="59"/>
      <c r="I119" s="37"/>
      <c r="J119" s="37"/>
      <c r="K119" s="63"/>
      <c r="L119" s="64"/>
      <c r="M119" s="64"/>
      <c r="N119" s="35"/>
      <c r="O119" s="35"/>
      <c r="P119" s="35"/>
      <c r="Q119" s="55"/>
      <c r="R119" s="55"/>
      <c r="S119" s="74"/>
      <c r="T119" s="64"/>
      <c r="U119" s="59"/>
      <c r="V119" s="76" t="s">
        <v>532</v>
      </c>
      <c r="W119" s="83">
        <v>116</v>
      </c>
      <c r="X119" s="76">
        <v>33080100202</v>
      </c>
      <c r="Y119" s="77" t="s">
        <v>533</v>
      </c>
      <c r="Z119" s="77" t="s">
        <v>534</v>
      </c>
      <c r="AA119" s="77"/>
      <c r="AB119" s="77" t="s">
        <v>54</v>
      </c>
      <c r="AC119" s="77" t="s">
        <v>40</v>
      </c>
      <c r="AD119" s="88">
        <v>6000</v>
      </c>
      <c r="AE119" s="88">
        <v>5400</v>
      </c>
      <c r="AF119" s="88">
        <v>4600</v>
      </c>
    </row>
    <row r="120" s="44" customFormat="1" ht="38" customHeight="1" spans="1:32">
      <c r="A120" s="55" t="s">
        <v>55</v>
      </c>
      <c r="B120" s="55" t="s">
        <v>535</v>
      </c>
      <c r="C120" s="55" t="s">
        <v>536</v>
      </c>
      <c r="D120" s="55" t="s">
        <v>350</v>
      </c>
      <c r="E120" s="59" t="s">
        <v>40</v>
      </c>
      <c r="F120" s="59" t="s">
        <v>40</v>
      </c>
      <c r="G120" s="55" t="s">
        <v>54</v>
      </c>
      <c r="H120" s="59" t="s">
        <v>40</v>
      </c>
      <c r="I120" s="30">
        <v>1200</v>
      </c>
      <c r="J120" s="30">
        <v>1080</v>
      </c>
      <c r="K120" s="64"/>
      <c r="L120" s="64"/>
      <c r="M120" s="64"/>
      <c r="N120" s="35">
        <v>1110</v>
      </c>
      <c r="O120" s="35">
        <v>1005</v>
      </c>
      <c r="P120" s="35">
        <v>855</v>
      </c>
      <c r="Q120" s="55" t="s">
        <v>41</v>
      </c>
      <c r="R120" s="55" t="s">
        <v>40</v>
      </c>
      <c r="S120" s="74">
        <v>0.2</v>
      </c>
      <c r="T120" s="64"/>
      <c r="U120" s="59" t="s">
        <v>305</v>
      </c>
      <c r="V120" s="76" t="s">
        <v>524</v>
      </c>
      <c r="W120" s="83">
        <v>117</v>
      </c>
      <c r="X120" s="76">
        <v>32040000101</v>
      </c>
      <c r="Y120" s="77" t="s">
        <v>525</v>
      </c>
      <c r="Z120" s="77"/>
      <c r="AA120" s="77"/>
      <c r="AB120" s="77" t="s">
        <v>521</v>
      </c>
      <c r="AC120" s="77" t="s">
        <v>40</v>
      </c>
      <c r="AD120" s="88">
        <v>4630</v>
      </c>
      <c r="AE120" s="88">
        <v>4160</v>
      </c>
      <c r="AF120" s="88">
        <v>3535</v>
      </c>
    </row>
    <row r="121" s="44" customFormat="1" ht="38" customHeight="1" spans="1:32">
      <c r="A121" s="55"/>
      <c r="B121" s="55"/>
      <c r="C121" s="55"/>
      <c r="D121" s="55"/>
      <c r="E121" s="59"/>
      <c r="F121" s="59"/>
      <c r="G121" s="55"/>
      <c r="H121" s="59"/>
      <c r="I121" s="37"/>
      <c r="J121" s="37"/>
      <c r="K121" s="64"/>
      <c r="L121" s="64"/>
      <c r="M121" s="64"/>
      <c r="N121" s="35"/>
      <c r="O121" s="35"/>
      <c r="P121" s="35"/>
      <c r="Q121" s="55"/>
      <c r="R121" s="55"/>
      <c r="S121" s="74"/>
      <c r="T121" s="64"/>
      <c r="U121" s="59"/>
      <c r="V121" s="76" t="s">
        <v>537</v>
      </c>
      <c r="W121" s="83">
        <v>118</v>
      </c>
      <c r="X121" s="76">
        <v>33080100203</v>
      </c>
      <c r="Y121" s="77" t="s">
        <v>538</v>
      </c>
      <c r="Z121" s="77"/>
      <c r="AA121" s="77"/>
      <c r="AB121" s="77" t="s">
        <v>54</v>
      </c>
      <c r="AC121" s="77" t="s">
        <v>40</v>
      </c>
      <c r="AD121" s="88">
        <v>7800</v>
      </c>
      <c r="AE121" s="88">
        <v>7020</v>
      </c>
      <c r="AF121" s="88">
        <v>5980</v>
      </c>
    </row>
    <row r="122" s="44" customFormat="1" ht="38" customHeight="1" spans="1:32">
      <c r="A122" s="55" t="s">
        <v>55</v>
      </c>
      <c r="B122" s="55" t="s">
        <v>539</v>
      </c>
      <c r="C122" s="55" t="s">
        <v>540</v>
      </c>
      <c r="D122" s="55" t="s">
        <v>350</v>
      </c>
      <c r="E122" s="59" t="s">
        <v>40</v>
      </c>
      <c r="F122" s="59" t="s">
        <v>40</v>
      </c>
      <c r="G122" s="55" t="s">
        <v>54</v>
      </c>
      <c r="H122" s="59" t="s">
        <v>40</v>
      </c>
      <c r="I122" s="30">
        <v>4000</v>
      </c>
      <c r="J122" s="30">
        <v>3600</v>
      </c>
      <c r="K122" s="64"/>
      <c r="L122" s="64"/>
      <c r="M122" s="64"/>
      <c r="N122" s="35">
        <v>3700</v>
      </c>
      <c r="O122" s="35">
        <v>3350</v>
      </c>
      <c r="P122" s="35">
        <v>2850</v>
      </c>
      <c r="Q122" s="55" t="s">
        <v>41</v>
      </c>
      <c r="R122" s="55" t="s">
        <v>40</v>
      </c>
      <c r="S122" s="74">
        <v>0.2</v>
      </c>
      <c r="T122" s="64"/>
      <c r="U122" s="59" t="s">
        <v>105</v>
      </c>
      <c r="V122" s="76"/>
      <c r="W122" s="83">
        <v>119</v>
      </c>
      <c r="X122" s="76"/>
      <c r="Y122" s="77"/>
      <c r="Z122" s="77"/>
      <c r="AA122" s="77"/>
      <c r="AB122" s="77"/>
      <c r="AC122" s="77"/>
      <c r="AD122" s="88"/>
      <c r="AE122" s="88"/>
      <c r="AF122" s="88"/>
    </row>
    <row r="123" s="44" customFormat="1" ht="38" customHeight="1" spans="1:32">
      <c r="A123" s="55" t="s">
        <v>55</v>
      </c>
      <c r="B123" s="55" t="s">
        <v>541</v>
      </c>
      <c r="C123" s="55" t="s">
        <v>542</v>
      </c>
      <c r="D123" s="55" t="s">
        <v>350</v>
      </c>
      <c r="E123" s="59" t="s">
        <v>40</v>
      </c>
      <c r="F123" s="59" t="s">
        <v>40</v>
      </c>
      <c r="G123" s="55" t="s">
        <v>54</v>
      </c>
      <c r="H123" s="59" t="s">
        <v>40</v>
      </c>
      <c r="I123" s="30">
        <v>4000</v>
      </c>
      <c r="J123" s="30">
        <v>3600</v>
      </c>
      <c r="K123" s="64"/>
      <c r="L123" s="64"/>
      <c r="M123" s="64"/>
      <c r="N123" s="35">
        <v>3700</v>
      </c>
      <c r="O123" s="35">
        <v>3350</v>
      </c>
      <c r="P123" s="35">
        <v>2850</v>
      </c>
      <c r="Q123" s="55" t="s">
        <v>41</v>
      </c>
      <c r="R123" s="55" t="s">
        <v>40</v>
      </c>
      <c r="S123" s="74">
        <v>0.2</v>
      </c>
      <c r="T123" s="64"/>
      <c r="U123" s="59" t="s">
        <v>105</v>
      </c>
      <c r="V123" s="76"/>
      <c r="W123" s="83">
        <v>120</v>
      </c>
      <c r="X123" s="76"/>
      <c r="Y123" s="77"/>
      <c r="Z123" s="77"/>
      <c r="AA123" s="77"/>
      <c r="AB123" s="77"/>
      <c r="AC123" s="77"/>
      <c r="AD123" s="88"/>
      <c r="AE123" s="88"/>
      <c r="AF123" s="88"/>
    </row>
    <row r="124" s="44" customFormat="1" ht="88" customHeight="1" spans="1:32">
      <c r="A124" s="55">
        <v>33</v>
      </c>
      <c r="B124" s="55" t="s">
        <v>543</v>
      </c>
      <c r="C124" s="55" t="s">
        <v>544</v>
      </c>
      <c r="D124" s="55" t="s">
        <v>350</v>
      </c>
      <c r="E124" s="59" t="s">
        <v>545</v>
      </c>
      <c r="F124" s="59" t="s">
        <v>546</v>
      </c>
      <c r="G124" s="55" t="s">
        <v>54</v>
      </c>
      <c r="H124" s="59" t="s">
        <v>40</v>
      </c>
      <c r="I124" s="30">
        <v>6336</v>
      </c>
      <c r="J124" s="30">
        <v>5702</v>
      </c>
      <c r="K124" s="64">
        <v>6000</v>
      </c>
      <c r="L124" s="64">
        <v>5400</v>
      </c>
      <c r="M124" s="64">
        <v>4600</v>
      </c>
      <c r="N124" s="35">
        <v>6000</v>
      </c>
      <c r="O124" s="35">
        <v>5400</v>
      </c>
      <c r="P124" s="35">
        <v>4600</v>
      </c>
      <c r="Q124" s="55" t="s">
        <v>41</v>
      </c>
      <c r="R124" s="55" t="s">
        <v>40</v>
      </c>
      <c r="S124" s="74" t="s">
        <v>40</v>
      </c>
      <c r="T124" s="64" t="s">
        <v>183</v>
      </c>
      <c r="U124" s="59" t="s">
        <v>183</v>
      </c>
      <c r="V124" s="76" t="s">
        <v>547</v>
      </c>
      <c r="W124" s="83">
        <v>121</v>
      </c>
      <c r="X124" s="76">
        <v>33080100904</v>
      </c>
      <c r="Y124" s="77" t="s">
        <v>548</v>
      </c>
      <c r="Z124" s="77" t="s">
        <v>534</v>
      </c>
      <c r="AA124" s="77"/>
      <c r="AB124" s="77" t="s">
        <v>54</v>
      </c>
      <c r="AC124" s="77" t="s">
        <v>40</v>
      </c>
      <c r="AD124" s="88">
        <v>6000</v>
      </c>
      <c r="AE124" s="88">
        <v>5400</v>
      </c>
      <c r="AF124" s="88">
        <v>4600</v>
      </c>
    </row>
    <row r="125" s="44" customFormat="1" ht="38" customHeight="1" spans="1:32">
      <c r="A125" s="55" t="s">
        <v>55</v>
      </c>
      <c r="B125" s="55" t="s">
        <v>549</v>
      </c>
      <c r="C125" s="55" t="s">
        <v>550</v>
      </c>
      <c r="D125" s="55" t="s">
        <v>350</v>
      </c>
      <c r="E125" s="59" t="s">
        <v>40</v>
      </c>
      <c r="F125" s="59" t="s">
        <v>40</v>
      </c>
      <c r="G125" s="55" t="s">
        <v>54</v>
      </c>
      <c r="H125" s="59" t="s">
        <v>40</v>
      </c>
      <c r="I125" s="30">
        <v>1900</v>
      </c>
      <c r="J125" s="30">
        <v>1710</v>
      </c>
      <c r="K125" s="64"/>
      <c r="L125" s="64"/>
      <c r="M125" s="64"/>
      <c r="N125" s="35">
        <v>1800</v>
      </c>
      <c r="O125" s="35">
        <v>1620</v>
      </c>
      <c r="P125" s="35">
        <v>1380</v>
      </c>
      <c r="Q125" s="35" t="e">
        <f t="shared" ref="N125:S125" si="1">Q124*0.3</f>
        <v>#VALUE!</v>
      </c>
      <c r="R125" s="35" t="e">
        <f t="shared" si="1"/>
        <v>#VALUE!</v>
      </c>
      <c r="S125" s="35" t="e">
        <f t="shared" si="1"/>
        <v>#VALUE!</v>
      </c>
      <c r="T125" s="64"/>
      <c r="U125" s="59" t="s">
        <v>305</v>
      </c>
      <c r="V125" s="76" t="s">
        <v>551</v>
      </c>
      <c r="W125" s="83">
        <v>122</v>
      </c>
      <c r="X125" s="76">
        <v>33080100905</v>
      </c>
      <c r="Y125" s="77" t="s">
        <v>552</v>
      </c>
      <c r="Z125" s="77" t="s">
        <v>534</v>
      </c>
      <c r="AA125" s="77"/>
      <c r="AB125" s="77" t="s">
        <v>54</v>
      </c>
      <c r="AC125" s="77" t="s">
        <v>40</v>
      </c>
      <c r="AD125" s="88">
        <v>7800</v>
      </c>
      <c r="AE125" s="88">
        <v>7020</v>
      </c>
      <c r="AF125" s="88">
        <v>5980</v>
      </c>
    </row>
    <row r="126" s="44" customFormat="1" ht="38" customHeight="1" spans="1:32">
      <c r="A126" s="55" t="s">
        <v>55</v>
      </c>
      <c r="B126" s="55" t="s">
        <v>553</v>
      </c>
      <c r="C126" s="55" t="s">
        <v>554</v>
      </c>
      <c r="D126" s="55" t="s">
        <v>350</v>
      </c>
      <c r="E126" s="59" t="s">
        <v>40</v>
      </c>
      <c r="F126" s="59" t="s">
        <v>40</v>
      </c>
      <c r="G126" s="55" t="s">
        <v>54</v>
      </c>
      <c r="H126" s="59" t="s">
        <v>40</v>
      </c>
      <c r="I126" s="30">
        <v>6336</v>
      </c>
      <c r="J126" s="30">
        <v>5702</v>
      </c>
      <c r="K126" s="64"/>
      <c r="L126" s="64"/>
      <c r="M126" s="64"/>
      <c r="N126" s="35">
        <v>6000</v>
      </c>
      <c r="O126" s="35">
        <v>5400</v>
      </c>
      <c r="P126" s="35">
        <v>4600</v>
      </c>
      <c r="Q126" s="55" t="s">
        <v>41</v>
      </c>
      <c r="R126" s="55" t="s">
        <v>40</v>
      </c>
      <c r="S126" s="74" t="s">
        <v>40</v>
      </c>
      <c r="T126" s="64"/>
      <c r="U126" s="59" t="s">
        <v>555</v>
      </c>
      <c r="V126" s="76" t="s">
        <v>556</v>
      </c>
      <c r="W126" s="83">
        <v>123</v>
      </c>
      <c r="X126" s="76">
        <v>33080101102</v>
      </c>
      <c r="Y126" s="77" t="s">
        <v>557</v>
      </c>
      <c r="Z126" s="77" t="s">
        <v>534</v>
      </c>
      <c r="AA126" s="77"/>
      <c r="AB126" s="77" t="s">
        <v>54</v>
      </c>
      <c r="AC126" s="77" t="s">
        <v>40</v>
      </c>
      <c r="AD126" s="88">
        <v>4220</v>
      </c>
      <c r="AE126" s="88">
        <v>3800</v>
      </c>
      <c r="AF126" s="88">
        <v>3230</v>
      </c>
    </row>
    <row r="127" s="44" customFormat="1" ht="38" customHeight="1" spans="1:32">
      <c r="A127" s="55"/>
      <c r="B127" s="55"/>
      <c r="C127" s="55"/>
      <c r="D127" s="55"/>
      <c r="E127" s="59"/>
      <c r="F127" s="59"/>
      <c r="G127" s="55"/>
      <c r="H127" s="59"/>
      <c r="I127" s="37"/>
      <c r="J127" s="37"/>
      <c r="K127" s="64"/>
      <c r="L127" s="64"/>
      <c r="M127" s="64"/>
      <c r="N127" s="35"/>
      <c r="O127" s="35"/>
      <c r="P127" s="35"/>
      <c r="Q127" s="55"/>
      <c r="R127" s="55"/>
      <c r="S127" s="74"/>
      <c r="T127" s="64"/>
      <c r="U127" s="59"/>
      <c r="V127" s="76" t="s">
        <v>558</v>
      </c>
      <c r="W127" s="83">
        <v>124</v>
      </c>
      <c r="X127" s="76">
        <v>33080101103</v>
      </c>
      <c r="Y127" s="77" t="s">
        <v>559</v>
      </c>
      <c r="Z127" s="77" t="s">
        <v>534</v>
      </c>
      <c r="AA127" s="77"/>
      <c r="AB127" s="77" t="s">
        <v>54</v>
      </c>
      <c r="AC127" s="77" t="s">
        <v>40</v>
      </c>
      <c r="AD127" s="88">
        <v>5485</v>
      </c>
      <c r="AE127" s="88">
        <v>4940</v>
      </c>
      <c r="AF127" s="88">
        <v>4200</v>
      </c>
    </row>
    <row r="128" s="44" customFormat="1" ht="69" customHeight="1" spans="1:32">
      <c r="A128" s="55">
        <v>34</v>
      </c>
      <c r="B128" s="55" t="s">
        <v>560</v>
      </c>
      <c r="C128" s="55" t="s">
        <v>561</v>
      </c>
      <c r="D128" s="55" t="s">
        <v>350</v>
      </c>
      <c r="E128" s="59" t="s">
        <v>545</v>
      </c>
      <c r="F128" s="59" t="s">
        <v>546</v>
      </c>
      <c r="G128" s="55" t="s">
        <v>54</v>
      </c>
      <c r="H128" s="59" t="s">
        <v>40</v>
      </c>
      <c r="I128" s="30">
        <v>6130</v>
      </c>
      <c r="J128" s="30">
        <v>5517</v>
      </c>
      <c r="K128" s="64">
        <v>5800</v>
      </c>
      <c r="L128" s="64">
        <v>5300</v>
      </c>
      <c r="M128" s="64">
        <v>4500</v>
      </c>
      <c r="N128" s="35">
        <v>5800</v>
      </c>
      <c r="O128" s="35">
        <v>5300</v>
      </c>
      <c r="P128" s="35">
        <v>4500</v>
      </c>
      <c r="Q128" s="55" t="s">
        <v>41</v>
      </c>
      <c r="R128" s="55" t="s">
        <v>40</v>
      </c>
      <c r="S128" s="74" t="s">
        <v>40</v>
      </c>
      <c r="T128" s="64" t="s">
        <v>183</v>
      </c>
      <c r="U128" s="59" t="s">
        <v>183</v>
      </c>
      <c r="V128" s="76" t="s">
        <v>562</v>
      </c>
      <c r="W128" s="83">
        <v>125</v>
      </c>
      <c r="X128" s="76">
        <v>33080100304</v>
      </c>
      <c r="Y128" s="77" t="s">
        <v>563</v>
      </c>
      <c r="Z128" s="77"/>
      <c r="AA128" s="77"/>
      <c r="AB128" s="77" t="s">
        <v>54</v>
      </c>
      <c r="AC128" s="77" t="s">
        <v>40</v>
      </c>
      <c r="AD128" s="88">
        <v>5800</v>
      </c>
      <c r="AE128" s="88">
        <v>5300</v>
      </c>
      <c r="AF128" s="88">
        <v>4500</v>
      </c>
    </row>
    <row r="129" s="44" customFormat="1" ht="38" customHeight="1" spans="1:32">
      <c r="A129" s="55" t="s">
        <v>55</v>
      </c>
      <c r="B129" s="55" t="s">
        <v>564</v>
      </c>
      <c r="C129" s="55" t="s">
        <v>565</v>
      </c>
      <c r="D129" s="55" t="s">
        <v>350</v>
      </c>
      <c r="E129" s="59" t="s">
        <v>40</v>
      </c>
      <c r="F129" s="59" t="s">
        <v>40</v>
      </c>
      <c r="G129" s="55" t="s">
        <v>54</v>
      </c>
      <c r="H129" s="59" t="s">
        <v>40</v>
      </c>
      <c r="I129" s="30">
        <v>1839</v>
      </c>
      <c r="J129" s="30">
        <v>1655</v>
      </c>
      <c r="K129" s="64"/>
      <c r="L129" s="64"/>
      <c r="M129" s="64"/>
      <c r="N129" s="35">
        <v>1740</v>
      </c>
      <c r="O129" s="35">
        <v>1590</v>
      </c>
      <c r="P129" s="35">
        <v>1350</v>
      </c>
      <c r="Q129" s="35" t="e">
        <f t="shared" ref="N129:S129" si="2">Q128*0.3</f>
        <v>#VALUE!</v>
      </c>
      <c r="R129" s="35" t="e">
        <f t="shared" si="2"/>
        <v>#VALUE!</v>
      </c>
      <c r="S129" s="35" t="e">
        <f t="shared" si="2"/>
        <v>#VALUE!</v>
      </c>
      <c r="T129" s="64"/>
      <c r="U129" s="59" t="s">
        <v>305</v>
      </c>
      <c r="V129" s="76" t="s">
        <v>566</v>
      </c>
      <c r="W129" s="83">
        <v>126</v>
      </c>
      <c r="X129" s="76">
        <v>33080100305</v>
      </c>
      <c r="Y129" s="77" t="s">
        <v>567</v>
      </c>
      <c r="Z129" s="77"/>
      <c r="AA129" s="77"/>
      <c r="AB129" s="77" t="s">
        <v>54</v>
      </c>
      <c r="AC129" s="77" t="s">
        <v>40</v>
      </c>
      <c r="AD129" s="88">
        <v>7540</v>
      </c>
      <c r="AE129" s="88">
        <v>6890</v>
      </c>
      <c r="AF129" s="88">
        <v>5850</v>
      </c>
    </row>
    <row r="130" s="44" customFormat="1" ht="38" customHeight="1" spans="1:32">
      <c r="A130" s="55" t="s">
        <v>55</v>
      </c>
      <c r="B130" s="55" t="s">
        <v>568</v>
      </c>
      <c r="C130" s="55" t="s">
        <v>569</v>
      </c>
      <c r="D130" s="55" t="s">
        <v>350</v>
      </c>
      <c r="E130" s="59" t="s">
        <v>40</v>
      </c>
      <c r="F130" s="59" t="s">
        <v>40</v>
      </c>
      <c r="G130" s="55" t="s">
        <v>54</v>
      </c>
      <c r="H130" s="59" t="s">
        <v>40</v>
      </c>
      <c r="I130" s="30">
        <v>6130</v>
      </c>
      <c r="J130" s="30">
        <v>5517</v>
      </c>
      <c r="K130" s="64"/>
      <c r="L130" s="64"/>
      <c r="M130" s="64"/>
      <c r="N130" s="35">
        <v>5800</v>
      </c>
      <c r="O130" s="35">
        <v>5300</v>
      </c>
      <c r="P130" s="35">
        <v>4500</v>
      </c>
      <c r="Q130" s="55" t="s">
        <v>41</v>
      </c>
      <c r="R130" s="55" t="s">
        <v>40</v>
      </c>
      <c r="S130" s="74" t="s">
        <v>40</v>
      </c>
      <c r="T130" s="64"/>
      <c r="U130" s="59" t="s">
        <v>555</v>
      </c>
      <c r="V130" s="76" t="s">
        <v>570</v>
      </c>
      <c r="W130" s="83">
        <v>127</v>
      </c>
      <c r="X130" s="76">
        <v>33080100504</v>
      </c>
      <c r="Y130" s="77" t="s">
        <v>571</v>
      </c>
      <c r="Z130" s="77" t="s">
        <v>534</v>
      </c>
      <c r="AA130" s="77"/>
      <c r="AB130" s="77" t="s">
        <v>54</v>
      </c>
      <c r="AC130" s="77" t="s">
        <v>40</v>
      </c>
      <c r="AD130" s="88">
        <v>6000</v>
      </c>
      <c r="AE130" s="88">
        <v>5400</v>
      </c>
      <c r="AF130" s="88">
        <v>4600</v>
      </c>
    </row>
    <row r="131" s="44" customFormat="1" ht="38" customHeight="1" spans="1:32">
      <c r="A131" s="55"/>
      <c r="B131" s="55"/>
      <c r="C131" s="55"/>
      <c r="D131" s="55"/>
      <c r="E131" s="59"/>
      <c r="F131" s="59"/>
      <c r="G131" s="55"/>
      <c r="H131" s="59"/>
      <c r="I131" s="37"/>
      <c r="J131" s="37"/>
      <c r="K131" s="64"/>
      <c r="L131" s="64"/>
      <c r="M131" s="64"/>
      <c r="N131" s="35"/>
      <c r="O131" s="35"/>
      <c r="P131" s="35"/>
      <c r="Q131" s="55"/>
      <c r="R131" s="55"/>
      <c r="S131" s="74"/>
      <c r="T131" s="64"/>
      <c r="U131" s="59"/>
      <c r="V131" s="76" t="s">
        <v>572</v>
      </c>
      <c r="W131" s="83">
        <v>128</v>
      </c>
      <c r="X131" s="76">
        <v>33080100505</v>
      </c>
      <c r="Y131" s="77" t="s">
        <v>573</v>
      </c>
      <c r="Z131" s="77"/>
      <c r="AA131" s="77"/>
      <c r="AB131" s="77" t="s">
        <v>54</v>
      </c>
      <c r="AC131" s="77" t="s">
        <v>40</v>
      </c>
      <c r="AD131" s="88">
        <v>7800</v>
      </c>
      <c r="AE131" s="88">
        <v>7020</v>
      </c>
      <c r="AF131" s="88">
        <v>5980</v>
      </c>
    </row>
    <row r="132" s="44" customFormat="1" ht="38" customHeight="1" spans="1:32">
      <c r="A132" s="55">
        <v>35</v>
      </c>
      <c r="B132" s="55" t="s">
        <v>574</v>
      </c>
      <c r="C132" s="55" t="s">
        <v>575</v>
      </c>
      <c r="D132" s="55" t="s">
        <v>350</v>
      </c>
      <c r="E132" s="59" t="s">
        <v>576</v>
      </c>
      <c r="F132" s="59" t="s">
        <v>577</v>
      </c>
      <c r="G132" s="55" t="s">
        <v>54</v>
      </c>
      <c r="H132" s="59" t="s">
        <v>578</v>
      </c>
      <c r="I132" s="30">
        <v>3200</v>
      </c>
      <c r="J132" s="30">
        <v>2880</v>
      </c>
      <c r="K132" s="64">
        <v>3315.19337016575</v>
      </c>
      <c r="L132" s="64">
        <v>3162.5</v>
      </c>
      <c r="M132" s="64"/>
      <c r="N132" s="35">
        <v>3150</v>
      </c>
      <c r="O132" s="35">
        <v>2850</v>
      </c>
      <c r="P132" s="35">
        <v>2450</v>
      </c>
      <c r="Q132" s="55" t="s">
        <v>41</v>
      </c>
      <c r="R132" s="55" t="s">
        <v>40</v>
      </c>
      <c r="S132" s="74">
        <v>0.2</v>
      </c>
      <c r="T132" s="64" t="s">
        <v>115</v>
      </c>
      <c r="U132" s="59" t="s">
        <v>579</v>
      </c>
      <c r="V132" s="76" t="s">
        <v>580</v>
      </c>
      <c r="W132" s="83">
        <v>129</v>
      </c>
      <c r="X132" s="76">
        <v>320400003</v>
      </c>
      <c r="Y132" s="77" t="s">
        <v>581</v>
      </c>
      <c r="Z132" s="77" t="s">
        <v>582</v>
      </c>
      <c r="AA132" s="77" t="s">
        <v>583</v>
      </c>
      <c r="AB132" s="77" t="s">
        <v>54</v>
      </c>
      <c r="AC132" s="77" t="s">
        <v>40</v>
      </c>
      <c r="AD132" s="88">
        <v>3450</v>
      </c>
      <c r="AE132" s="88">
        <v>3250</v>
      </c>
      <c r="AF132" s="88">
        <v>2600</v>
      </c>
    </row>
    <row r="133" s="44" customFormat="1" ht="38" customHeight="1" spans="1:32">
      <c r="A133" s="55"/>
      <c r="B133" s="55"/>
      <c r="C133" s="55"/>
      <c r="D133" s="55"/>
      <c r="E133" s="59"/>
      <c r="F133" s="59"/>
      <c r="G133" s="55"/>
      <c r="H133" s="59"/>
      <c r="I133" s="37"/>
      <c r="J133" s="37"/>
      <c r="K133" s="64"/>
      <c r="L133" s="64"/>
      <c r="M133" s="64"/>
      <c r="N133" s="35"/>
      <c r="O133" s="35"/>
      <c r="P133" s="35"/>
      <c r="Q133" s="55"/>
      <c r="R133" s="55"/>
      <c r="S133" s="74"/>
      <c r="T133" s="64"/>
      <c r="U133" s="59"/>
      <c r="V133" s="76" t="s">
        <v>584</v>
      </c>
      <c r="W133" s="83">
        <v>130</v>
      </c>
      <c r="X133" s="76">
        <v>320400004</v>
      </c>
      <c r="Y133" s="77" t="s">
        <v>585</v>
      </c>
      <c r="Z133" s="80" t="s">
        <v>586</v>
      </c>
      <c r="AA133" s="77" t="s">
        <v>587</v>
      </c>
      <c r="AB133" s="77" t="s">
        <v>54</v>
      </c>
      <c r="AC133" s="77" t="s">
        <v>40</v>
      </c>
      <c r="AD133" s="88">
        <v>3050</v>
      </c>
      <c r="AE133" s="88">
        <v>2900</v>
      </c>
      <c r="AF133" s="88">
        <v>2320</v>
      </c>
    </row>
    <row r="134" s="44" customFormat="1" ht="38" customHeight="1" spans="1:32">
      <c r="A134" s="55" t="s">
        <v>55</v>
      </c>
      <c r="B134" s="55" t="s">
        <v>588</v>
      </c>
      <c r="C134" s="55" t="s">
        <v>589</v>
      </c>
      <c r="D134" s="55" t="s">
        <v>350</v>
      </c>
      <c r="E134" s="59" t="s">
        <v>40</v>
      </c>
      <c r="F134" s="59" t="s">
        <v>40</v>
      </c>
      <c r="G134" s="55" t="s">
        <v>54</v>
      </c>
      <c r="H134" s="59" t="s">
        <v>40</v>
      </c>
      <c r="I134" s="30">
        <v>960</v>
      </c>
      <c r="J134" s="30">
        <v>864</v>
      </c>
      <c r="K134" s="64">
        <v>1335</v>
      </c>
      <c r="L134" s="64"/>
      <c r="M134" s="64"/>
      <c r="N134" s="35">
        <v>945</v>
      </c>
      <c r="O134" s="35">
        <v>855</v>
      </c>
      <c r="P134" s="35">
        <v>735</v>
      </c>
      <c r="Q134" s="55" t="s">
        <v>41</v>
      </c>
      <c r="R134" s="55" t="s">
        <v>40</v>
      </c>
      <c r="S134" s="74">
        <v>0.2</v>
      </c>
      <c r="T134" s="64"/>
      <c r="U134" s="59"/>
      <c r="V134" s="76" t="s">
        <v>590</v>
      </c>
      <c r="W134" s="83">
        <v>131</v>
      </c>
      <c r="X134" s="76">
        <v>32040000301</v>
      </c>
      <c r="Y134" s="77" t="s">
        <v>591</v>
      </c>
      <c r="Z134" s="77"/>
      <c r="AA134" s="77"/>
      <c r="AB134" s="77" t="s">
        <v>54</v>
      </c>
      <c r="AC134" s="77" t="s">
        <v>40</v>
      </c>
      <c r="AD134" s="88">
        <v>4485</v>
      </c>
      <c r="AE134" s="88">
        <v>4225</v>
      </c>
      <c r="AF134" s="88">
        <v>3380</v>
      </c>
    </row>
    <row r="135" s="44" customFormat="1" ht="38" customHeight="1" spans="1:32">
      <c r="A135" s="55"/>
      <c r="B135" s="55"/>
      <c r="C135" s="55"/>
      <c r="D135" s="55"/>
      <c r="E135" s="59"/>
      <c r="F135" s="59"/>
      <c r="G135" s="55"/>
      <c r="H135" s="59"/>
      <c r="I135" s="37"/>
      <c r="J135" s="37"/>
      <c r="K135" s="64"/>
      <c r="L135" s="64"/>
      <c r="M135" s="64"/>
      <c r="N135" s="35"/>
      <c r="O135" s="35"/>
      <c r="P135" s="35"/>
      <c r="Q135" s="55"/>
      <c r="R135" s="55"/>
      <c r="S135" s="74"/>
      <c r="T135" s="64"/>
      <c r="U135" s="59"/>
      <c r="V135" s="76" t="s">
        <v>592</v>
      </c>
      <c r="W135" s="83">
        <v>132</v>
      </c>
      <c r="X135" s="76">
        <v>32040000401</v>
      </c>
      <c r="Y135" s="77" t="s">
        <v>593</v>
      </c>
      <c r="Z135" s="80"/>
      <c r="AA135" s="77"/>
      <c r="AB135" s="77" t="s">
        <v>54</v>
      </c>
      <c r="AC135" s="77" t="s">
        <v>40</v>
      </c>
      <c r="AD135" s="88">
        <v>3965</v>
      </c>
      <c r="AE135" s="88">
        <v>3770</v>
      </c>
      <c r="AF135" s="88">
        <v>3015</v>
      </c>
    </row>
    <row r="136" s="44" customFormat="1" ht="66" customHeight="1" spans="1:32">
      <c r="A136" s="55">
        <v>36</v>
      </c>
      <c r="B136" s="55" t="s">
        <v>594</v>
      </c>
      <c r="C136" s="55" t="s">
        <v>595</v>
      </c>
      <c r="D136" s="55" t="s">
        <v>350</v>
      </c>
      <c r="E136" s="59" t="s">
        <v>596</v>
      </c>
      <c r="F136" s="59" t="s">
        <v>577</v>
      </c>
      <c r="G136" s="55" t="s">
        <v>54</v>
      </c>
      <c r="H136" s="59" t="s">
        <v>597</v>
      </c>
      <c r="I136" s="30">
        <v>3600</v>
      </c>
      <c r="J136" s="30">
        <v>3240</v>
      </c>
      <c r="K136" s="64"/>
      <c r="L136" s="64"/>
      <c r="M136" s="64"/>
      <c r="N136" s="35">
        <v>3545</v>
      </c>
      <c r="O136" s="35">
        <v>3205</v>
      </c>
      <c r="P136" s="35">
        <v>2755</v>
      </c>
      <c r="Q136" s="55" t="s">
        <v>41</v>
      </c>
      <c r="R136" s="55" t="s">
        <v>40</v>
      </c>
      <c r="S136" s="74">
        <v>0.2</v>
      </c>
      <c r="T136" s="64" t="s">
        <v>170</v>
      </c>
      <c r="U136" s="59" t="s">
        <v>598</v>
      </c>
      <c r="V136" s="76"/>
      <c r="W136" s="83">
        <v>133</v>
      </c>
      <c r="X136" s="76"/>
      <c r="Y136" s="77"/>
      <c r="Z136" s="80"/>
      <c r="AA136" s="77"/>
      <c r="AB136" s="77"/>
      <c r="AC136" s="77"/>
      <c r="AD136" s="88"/>
      <c r="AE136" s="88"/>
      <c r="AF136" s="88"/>
    </row>
    <row r="137" s="44" customFormat="1" ht="38" customHeight="1" spans="1:32">
      <c r="A137" s="55" t="s">
        <v>55</v>
      </c>
      <c r="B137" s="55" t="s">
        <v>599</v>
      </c>
      <c r="C137" s="55" t="s">
        <v>600</v>
      </c>
      <c r="D137" s="55" t="s">
        <v>350</v>
      </c>
      <c r="E137" s="59" t="s">
        <v>40</v>
      </c>
      <c r="F137" s="59" t="s">
        <v>40</v>
      </c>
      <c r="G137" s="55" t="s">
        <v>54</v>
      </c>
      <c r="H137" s="59" t="s">
        <v>40</v>
      </c>
      <c r="I137" s="30">
        <v>1080</v>
      </c>
      <c r="J137" s="30">
        <v>972</v>
      </c>
      <c r="K137" s="64"/>
      <c r="L137" s="64"/>
      <c r="M137" s="64"/>
      <c r="N137" s="35">
        <v>1065</v>
      </c>
      <c r="O137" s="35">
        <v>960</v>
      </c>
      <c r="P137" s="35">
        <v>825</v>
      </c>
      <c r="Q137" s="55" t="s">
        <v>41</v>
      </c>
      <c r="R137" s="55" t="s">
        <v>40</v>
      </c>
      <c r="S137" s="74">
        <v>0.2</v>
      </c>
      <c r="T137" s="64"/>
      <c r="U137" s="59" t="s">
        <v>305</v>
      </c>
      <c r="V137" s="76"/>
      <c r="W137" s="83">
        <v>134</v>
      </c>
      <c r="X137" s="76"/>
      <c r="Y137" s="77"/>
      <c r="Z137" s="80"/>
      <c r="AA137" s="77"/>
      <c r="AB137" s="77"/>
      <c r="AC137" s="77"/>
      <c r="AD137" s="88"/>
      <c r="AE137" s="88"/>
      <c r="AF137" s="88"/>
    </row>
    <row r="138" s="44" customFormat="1" ht="38" customHeight="1" spans="1:32">
      <c r="A138" s="55">
        <v>37</v>
      </c>
      <c r="B138" s="55" t="s">
        <v>601</v>
      </c>
      <c r="C138" s="55" t="s">
        <v>602</v>
      </c>
      <c r="D138" s="55" t="s">
        <v>350</v>
      </c>
      <c r="E138" s="59" t="s">
        <v>603</v>
      </c>
      <c r="F138" s="59" t="s">
        <v>604</v>
      </c>
      <c r="G138" s="55" t="s">
        <v>54</v>
      </c>
      <c r="H138" s="59" t="s">
        <v>40</v>
      </c>
      <c r="I138" s="30">
        <v>1375</v>
      </c>
      <c r="J138" s="30">
        <v>1238</v>
      </c>
      <c r="K138" s="64"/>
      <c r="L138" s="64"/>
      <c r="M138" s="64"/>
      <c r="N138" s="35">
        <v>1250</v>
      </c>
      <c r="O138" s="35">
        <v>1150</v>
      </c>
      <c r="P138" s="35">
        <v>980</v>
      </c>
      <c r="Q138" s="55" t="s">
        <v>41</v>
      </c>
      <c r="R138" s="55" t="s">
        <v>40</v>
      </c>
      <c r="S138" s="74">
        <v>0.2</v>
      </c>
      <c r="T138" s="64" t="s">
        <v>170</v>
      </c>
      <c r="U138" s="59" t="s">
        <v>404</v>
      </c>
      <c r="V138" s="76"/>
      <c r="W138" s="83">
        <v>135</v>
      </c>
      <c r="X138" s="76"/>
      <c r="Y138" s="55"/>
      <c r="Z138" s="55"/>
      <c r="AA138" s="55"/>
      <c r="AB138" s="55"/>
      <c r="AC138" s="77"/>
      <c r="AD138" s="88"/>
      <c r="AE138" s="88"/>
      <c r="AF138" s="88"/>
    </row>
    <row r="139" s="44" customFormat="1" ht="38" customHeight="1" spans="1:32">
      <c r="A139" s="55" t="s">
        <v>55</v>
      </c>
      <c r="B139" s="55" t="s">
        <v>605</v>
      </c>
      <c r="C139" s="55" t="s">
        <v>606</v>
      </c>
      <c r="D139" s="55" t="s">
        <v>350</v>
      </c>
      <c r="E139" s="59" t="s">
        <v>40</v>
      </c>
      <c r="F139" s="59" t="s">
        <v>40</v>
      </c>
      <c r="G139" s="55" t="s">
        <v>54</v>
      </c>
      <c r="H139" s="59" t="s">
        <v>40</v>
      </c>
      <c r="I139" s="30">
        <v>413</v>
      </c>
      <c r="J139" s="30">
        <v>371</v>
      </c>
      <c r="K139" s="64"/>
      <c r="L139" s="64"/>
      <c r="M139" s="64"/>
      <c r="N139" s="35">
        <v>375</v>
      </c>
      <c r="O139" s="35">
        <v>345</v>
      </c>
      <c r="P139" s="35">
        <v>295</v>
      </c>
      <c r="Q139" s="55" t="s">
        <v>41</v>
      </c>
      <c r="R139" s="55" t="s">
        <v>40</v>
      </c>
      <c r="S139" s="74">
        <v>0.2</v>
      </c>
      <c r="T139" s="64"/>
      <c r="U139" s="59" t="s">
        <v>305</v>
      </c>
      <c r="V139" s="76"/>
      <c r="W139" s="83">
        <v>136</v>
      </c>
      <c r="X139" s="76"/>
      <c r="Y139" s="77"/>
      <c r="Z139" s="77"/>
      <c r="AA139" s="77"/>
      <c r="AB139" s="77"/>
      <c r="AC139" s="77"/>
      <c r="AD139" s="88"/>
      <c r="AE139" s="88"/>
      <c r="AF139" s="88"/>
    </row>
    <row r="140" s="44" customFormat="1" ht="38" customHeight="1" spans="1:32">
      <c r="A140" s="55">
        <v>38</v>
      </c>
      <c r="B140" s="55" t="s">
        <v>607</v>
      </c>
      <c r="C140" s="55" t="s">
        <v>608</v>
      </c>
      <c r="D140" s="55" t="s">
        <v>350</v>
      </c>
      <c r="E140" s="59" t="s">
        <v>609</v>
      </c>
      <c r="F140" s="59" t="s">
        <v>610</v>
      </c>
      <c r="G140" s="55" t="s">
        <v>54</v>
      </c>
      <c r="H140" s="59" t="s">
        <v>611</v>
      </c>
      <c r="I140" s="30">
        <v>2380</v>
      </c>
      <c r="J140" s="30">
        <v>2142</v>
      </c>
      <c r="K140" s="64">
        <v>5050</v>
      </c>
      <c r="L140" s="64">
        <v>4550</v>
      </c>
      <c r="M140" s="64">
        <v>3870</v>
      </c>
      <c r="N140" s="68">
        <v>2350</v>
      </c>
      <c r="O140" s="68">
        <v>2140</v>
      </c>
      <c r="P140" s="68">
        <v>1850</v>
      </c>
      <c r="Q140" s="55" t="s">
        <v>41</v>
      </c>
      <c r="R140" s="55" t="s">
        <v>40</v>
      </c>
      <c r="S140" s="74">
        <v>0.2</v>
      </c>
      <c r="T140" s="64" t="s">
        <v>115</v>
      </c>
      <c r="U140" s="59" t="s">
        <v>612</v>
      </c>
      <c r="V140" s="76" t="s">
        <v>613</v>
      </c>
      <c r="W140" s="83">
        <v>137</v>
      </c>
      <c r="X140" s="76">
        <v>320500016</v>
      </c>
      <c r="Y140" s="77" t="s">
        <v>614</v>
      </c>
      <c r="Z140" s="77"/>
      <c r="AA140" s="77"/>
      <c r="AB140" s="77" t="s">
        <v>54</v>
      </c>
      <c r="AC140" s="77"/>
      <c r="AD140" s="88">
        <v>5050</v>
      </c>
      <c r="AE140" s="88">
        <v>4550</v>
      </c>
      <c r="AF140" s="88">
        <v>3870</v>
      </c>
    </row>
    <row r="141" s="44" customFormat="1" ht="38" customHeight="1" spans="1:32">
      <c r="A141" s="55"/>
      <c r="B141" s="55"/>
      <c r="C141" s="55"/>
      <c r="D141" s="55"/>
      <c r="E141" s="59"/>
      <c r="F141" s="59"/>
      <c r="G141" s="55"/>
      <c r="H141" s="59"/>
      <c r="I141" s="37"/>
      <c r="J141" s="37"/>
      <c r="K141" s="64"/>
      <c r="L141" s="64"/>
      <c r="M141" s="64"/>
      <c r="N141" s="68"/>
      <c r="O141" s="68"/>
      <c r="P141" s="68"/>
      <c r="Q141" s="55"/>
      <c r="R141" s="55"/>
      <c r="S141" s="74"/>
      <c r="T141" s="64"/>
      <c r="U141" s="59"/>
      <c r="V141" s="76" t="s">
        <v>615</v>
      </c>
      <c r="W141" s="83">
        <v>138</v>
      </c>
      <c r="X141" s="76">
        <v>320500012</v>
      </c>
      <c r="Y141" s="77" t="s">
        <v>616</v>
      </c>
      <c r="Z141" s="77" t="s">
        <v>372</v>
      </c>
      <c r="AA141" s="77"/>
      <c r="AB141" s="77" t="s">
        <v>54</v>
      </c>
      <c r="AC141" s="77" t="s">
        <v>40</v>
      </c>
      <c r="AD141" s="88"/>
      <c r="AE141" s="88"/>
      <c r="AF141" s="88"/>
    </row>
    <row r="142" s="44" customFormat="1" ht="38" customHeight="1" spans="1:32">
      <c r="A142" s="55" t="s">
        <v>55</v>
      </c>
      <c r="B142" s="55" t="s">
        <v>617</v>
      </c>
      <c r="C142" s="55" t="s">
        <v>618</v>
      </c>
      <c r="D142" s="55" t="s">
        <v>350</v>
      </c>
      <c r="E142" s="59" t="s">
        <v>40</v>
      </c>
      <c r="F142" s="59" t="s">
        <v>40</v>
      </c>
      <c r="G142" s="55" t="s">
        <v>54</v>
      </c>
      <c r="H142" s="59" t="s">
        <v>40</v>
      </c>
      <c r="I142" s="30">
        <v>714</v>
      </c>
      <c r="J142" s="30">
        <v>643</v>
      </c>
      <c r="K142" s="64"/>
      <c r="L142" s="64"/>
      <c r="M142" s="64"/>
      <c r="N142" s="35">
        <v>705</v>
      </c>
      <c r="O142" s="35">
        <v>640</v>
      </c>
      <c r="P142" s="35">
        <v>555</v>
      </c>
      <c r="Q142" s="55" t="s">
        <v>41</v>
      </c>
      <c r="R142" s="55" t="s">
        <v>40</v>
      </c>
      <c r="S142" s="74">
        <v>0.2</v>
      </c>
      <c r="T142" s="64"/>
      <c r="U142" s="59" t="s">
        <v>305</v>
      </c>
      <c r="V142" s="76" t="s">
        <v>619</v>
      </c>
      <c r="W142" s="83">
        <v>139</v>
      </c>
      <c r="X142" s="76">
        <v>32050001601</v>
      </c>
      <c r="Y142" s="77" t="s">
        <v>620</v>
      </c>
      <c r="Z142" s="77"/>
      <c r="AA142" s="77"/>
      <c r="AB142" s="77" t="s">
        <v>54</v>
      </c>
      <c r="AC142" s="77" t="s">
        <v>40</v>
      </c>
      <c r="AD142" s="88">
        <v>6565</v>
      </c>
      <c r="AE142" s="88">
        <v>5915</v>
      </c>
      <c r="AF142" s="88">
        <v>5030</v>
      </c>
    </row>
    <row r="143" s="44" customFormat="1" ht="38" customHeight="1" spans="1:32">
      <c r="A143" s="55">
        <v>39</v>
      </c>
      <c r="B143" s="55" t="s">
        <v>621</v>
      </c>
      <c r="C143" s="55" t="s">
        <v>622</v>
      </c>
      <c r="D143" s="55" t="s">
        <v>350</v>
      </c>
      <c r="E143" s="59" t="s">
        <v>623</v>
      </c>
      <c r="F143" s="59" t="s">
        <v>624</v>
      </c>
      <c r="G143" s="55" t="s">
        <v>54</v>
      </c>
      <c r="H143" s="59" t="s">
        <v>625</v>
      </c>
      <c r="I143" s="30">
        <v>2500</v>
      </c>
      <c r="J143" s="30">
        <v>2250</v>
      </c>
      <c r="K143" s="64">
        <v>2300</v>
      </c>
      <c r="L143" s="64">
        <v>2000</v>
      </c>
      <c r="M143" s="64">
        <v>1700</v>
      </c>
      <c r="N143" s="35">
        <v>2300</v>
      </c>
      <c r="O143" s="35">
        <v>2000</v>
      </c>
      <c r="P143" s="35">
        <v>1700</v>
      </c>
      <c r="Q143" s="55" t="s">
        <v>41</v>
      </c>
      <c r="R143" s="55" t="s">
        <v>40</v>
      </c>
      <c r="S143" s="74">
        <v>0.2</v>
      </c>
      <c r="T143" s="64" t="s">
        <v>183</v>
      </c>
      <c r="U143" s="59" t="s">
        <v>183</v>
      </c>
      <c r="V143" s="76" t="s">
        <v>626</v>
      </c>
      <c r="W143" s="83">
        <v>140</v>
      </c>
      <c r="X143" s="76">
        <v>310702004</v>
      </c>
      <c r="Y143" s="77" t="s">
        <v>627</v>
      </c>
      <c r="Z143" s="77" t="s">
        <v>628</v>
      </c>
      <c r="AA143" s="77" t="s">
        <v>629</v>
      </c>
      <c r="AB143" s="77" t="s">
        <v>54</v>
      </c>
      <c r="AC143" s="77" t="s">
        <v>157</v>
      </c>
      <c r="AD143" s="88">
        <v>2300</v>
      </c>
      <c r="AE143" s="88">
        <v>2000</v>
      </c>
      <c r="AF143" s="88">
        <v>1700</v>
      </c>
    </row>
    <row r="144" s="44" customFormat="1" ht="38" customHeight="1" spans="1:32">
      <c r="A144" s="55"/>
      <c r="B144" s="55"/>
      <c r="C144" s="55"/>
      <c r="D144" s="55"/>
      <c r="E144" s="59"/>
      <c r="F144" s="59"/>
      <c r="G144" s="55"/>
      <c r="H144" s="59"/>
      <c r="I144" s="37"/>
      <c r="J144" s="37"/>
      <c r="K144" s="64"/>
      <c r="L144" s="64"/>
      <c r="M144" s="64"/>
      <c r="N144" s="35"/>
      <c r="O144" s="35"/>
      <c r="P144" s="35"/>
      <c r="Q144" s="55"/>
      <c r="R144" s="55"/>
      <c r="S144" s="74"/>
      <c r="T144" s="64"/>
      <c r="U144" s="59"/>
      <c r="V144" s="76" t="s">
        <v>630</v>
      </c>
      <c r="W144" s="83">
        <v>141</v>
      </c>
      <c r="X144" s="76">
        <v>330803015</v>
      </c>
      <c r="Y144" s="77" t="s">
        <v>631</v>
      </c>
      <c r="Z144" s="77" t="s">
        <v>632</v>
      </c>
      <c r="AA144" s="77"/>
      <c r="AB144" s="77" t="s">
        <v>54</v>
      </c>
      <c r="AC144" s="77" t="s">
        <v>633</v>
      </c>
      <c r="AD144" s="88">
        <v>3500</v>
      </c>
      <c r="AE144" s="88">
        <v>3360</v>
      </c>
      <c r="AF144" s="88">
        <v>2856</v>
      </c>
    </row>
    <row r="145" s="44" customFormat="1" ht="38" customHeight="1" spans="1:32">
      <c r="A145" s="55"/>
      <c r="B145" s="55"/>
      <c r="C145" s="55"/>
      <c r="D145" s="55"/>
      <c r="E145" s="59"/>
      <c r="F145" s="59"/>
      <c r="G145" s="55"/>
      <c r="H145" s="59"/>
      <c r="I145" s="37"/>
      <c r="J145" s="37"/>
      <c r="K145" s="64"/>
      <c r="L145" s="64"/>
      <c r="M145" s="64"/>
      <c r="N145" s="35"/>
      <c r="O145" s="35"/>
      <c r="P145" s="35"/>
      <c r="Q145" s="55"/>
      <c r="R145" s="55"/>
      <c r="S145" s="74"/>
      <c r="T145" s="64"/>
      <c r="U145" s="59"/>
      <c r="V145" s="76" t="s">
        <v>634</v>
      </c>
      <c r="W145" s="83">
        <v>142</v>
      </c>
      <c r="X145" s="76">
        <v>33080301501</v>
      </c>
      <c r="Y145" s="77" t="s">
        <v>635</v>
      </c>
      <c r="Z145" s="77"/>
      <c r="AA145" s="77"/>
      <c r="AB145" s="77" t="s">
        <v>54</v>
      </c>
      <c r="AC145" s="77" t="s">
        <v>636</v>
      </c>
      <c r="AD145" s="88">
        <v>3750</v>
      </c>
      <c r="AE145" s="88">
        <v>3600</v>
      </c>
      <c r="AF145" s="88">
        <v>3060</v>
      </c>
    </row>
    <row r="146" s="44" customFormat="1" ht="38" customHeight="1" spans="1:32">
      <c r="A146" s="55" t="s">
        <v>55</v>
      </c>
      <c r="B146" s="55" t="s">
        <v>637</v>
      </c>
      <c r="C146" s="55" t="s">
        <v>638</v>
      </c>
      <c r="D146" s="55" t="s">
        <v>350</v>
      </c>
      <c r="E146" s="59" t="s">
        <v>40</v>
      </c>
      <c r="F146" s="59" t="s">
        <v>40</v>
      </c>
      <c r="G146" s="55" t="s">
        <v>54</v>
      </c>
      <c r="H146" s="59" t="s">
        <v>40</v>
      </c>
      <c r="I146" s="30">
        <v>750</v>
      </c>
      <c r="J146" s="30">
        <v>675</v>
      </c>
      <c r="K146" s="64"/>
      <c r="L146" s="64"/>
      <c r="M146" s="64"/>
      <c r="N146" s="35">
        <v>690</v>
      </c>
      <c r="O146" s="35">
        <v>600</v>
      </c>
      <c r="P146" s="35">
        <v>510</v>
      </c>
      <c r="Q146" s="55" t="s">
        <v>41</v>
      </c>
      <c r="R146" s="55" t="s">
        <v>40</v>
      </c>
      <c r="S146" s="74">
        <v>0.2</v>
      </c>
      <c r="T146" s="64"/>
      <c r="U146" s="59" t="s">
        <v>305</v>
      </c>
      <c r="V146" s="76" t="s">
        <v>639</v>
      </c>
      <c r="W146" s="83">
        <v>143</v>
      </c>
      <c r="X146" s="76">
        <v>33080301502</v>
      </c>
      <c r="Y146" s="77" t="s">
        <v>640</v>
      </c>
      <c r="Z146" s="77"/>
      <c r="AA146" s="77"/>
      <c r="AB146" s="77" t="s">
        <v>54</v>
      </c>
      <c r="AC146" s="77" t="s">
        <v>40</v>
      </c>
      <c r="AD146" s="88">
        <v>4550</v>
      </c>
      <c r="AE146" s="88">
        <v>4370</v>
      </c>
      <c r="AF146" s="88">
        <v>3715</v>
      </c>
    </row>
    <row r="147" s="44" customFormat="1" ht="38" customHeight="1" spans="1:32">
      <c r="A147" s="55"/>
      <c r="B147" s="55"/>
      <c r="C147" s="55"/>
      <c r="D147" s="55"/>
      <c r="E147" s="59"/>
      <c r="F147" s="59"/>
      <c r="G147" s="55"/>
      <c r="H147" s="59"/>
      <c r="I147" s="37"/>
      <c r="J147" s="37"/>
      <c r="K147" s="64"/>
      <c r="L147" s="64"/>
      <c r="M147" s="64"/>
      <c r="N147" s="35"/>
      <c r="O147" s="35"/>
      <c r="P147" s="35"/>
      <c r="Q147" s="55"/>
      <c r="R147" s="55"/>
      <c r="S147" s="74"/>
      <c r="T147" s="64"/>
      <c r="U147" s="59"/>
      <c r="V147" s="76" t="s">
        <v>641</v>
      </c>
      <c r="W147" s="83">
        <v>144</v>
      </c>
      <c r="X147" s="76">
        <v>33080301503</v>
      </c>
      <c r="Y147" s="77" t="s">
        <v>642</v>
      </c>
      <c r="Z147" s="77"/>
      <c r="AA147" s="77"/>
      <c r="AB147" s="77" t="s">
        <v>54</v>
      </c>
      <c r="AC147" s="77" t="s">
        <v>636</v>
      </c>
      <c r="AD147" s="88">
        <v>4875</v>
      </c>
      <c r="AE147" s="88">
        <v>4680</v>
      </c>
      <c r="AF147" s="88">
        <v>3980</v>
      </c>
    </row>
    <row r="148" s="44" customFormat="1" ht="38" customHeight="1" spans="1:33">
      <c r="A148" s="55">
        <v>40</v>
      </c>
      <c r="B148" s="55" t="s">
        <v>643</v>
      </c>
      <c r="C148" s="55" t="s">
        <v>644</v>
      </c>
      <c r="D148" s="55" t="s">
        <v>350</v>
      </c>
      <c r="E148" s="59" t="s">
        <v>645</v>
      </c>
      <c r="F148" s="59" t="s">
        <v>624</v>
      </c>
      <c r="G148" s="55" t="s">
        <v>54</v>
      </c>
      <c r="H148" s="59" t="s">
        <v>646</v>
      </c>
      <c r="I148" s="30">
        <v>3000</v>
      </c>
      <c r="J148" s="30">
        <v>2700</v>
      </c>
      <c r="K148" s="64"/>
      <c r="L148" s="64"/>
      <c r="M148" s="64"/>
      <c r="N148" s="35">
        <v>2760</v>
      </c>
      <c r="O148" s="35">
        <v>2400</v>
      </c>
      <c r="P148" s="35">
        <v>2040</v>
      </c>
      <c r="Q148" s="55" t="s">
        <v>41</v>
      </c>
      <c r="R148" s="55" t="s">
        <v>40</v>
      </c>
      <c r="S148" s="74">
        <v>0.2</v>
      </c>
      <c r="T148" s="64" t="s">
        <v>170</v>
      </c>
      <c r="U148" s="59" t="s">
        <v>647</v>
      </c>
      <c r="V148" s="107"/>
      <c r="W148" s="83">
        <v>145</v>
      </c>
      <c r="X148" s="107"/>
      <c r="Y148" s="108"/>
      <c r="Z148" s="108"/>
      <c r="AA148" s="108"/>
      <c r="AB148" s="108"/>
      <c r="AC148" s="108"/>
      <c r="AD148" s="109"/>
      <c r="AE148" s="109"/>
      <c r="AF148" s="109"/>
      <c r="AG148" s="121"/>
    </row>
    <row r="149" s="44" customFormat="1" ht="38" customHeight="1" spans="1:33">
      <c r="A149" s="55"/>
      <c r="B149" s="55"/>
      <c r="C149" s="55"/>
      <c r="D149" s="55"/>
      <c r="E149" s="59"/>
      <c r="F149" s="59"/>
      <c r="G149" s="55"/>
      <c r="H149" s="59"/>
      <c r="I149" s="37"/>
      <c r="J149" s="37"/>
      <c r="K149" s="64"/>
      <c r="L149" s="64"/>
      <c r="M149" s="64"/>
      <c r="N149" s="35"/>
      <c r="O149" s="35"/>
      <c r="P149" s="35"/>
      <c r="Q149" s="55"/>
      <c r="R149" s="55"/>
      <c r="S149" s="74"/>
      <c r="T149" s="64"/>
      <c r="U149" s="59"/>
      <c r="V149" s="107"/>
      <c r="W149" s="83">
        <v>146</v>
      </c>
      <c r="X149" s="107"/>
      <c r="Y149" s="108"/>
      <c r="Z149" s="108"/>
      <c r="AA149" s="108"/>
      <c r="AB149" s="108"/>
      <c r="AC149" s="108"/>
      <c r="AD149" s="109"/>
      <c r="AE149" s="109"/>
      <c r="AF149" s="109"/>
      <c r="AG149" s="121"/>
    </row>
    <row r="150" s="44" customFormat="1" ht="38" customHeight="1" spans="1:33">
      <c r="A150" s="55"/>
      <c r="B150" s="55"/>
      <c r="C150" s="55"/>
      <c r="D150" s="55"/>
      <c r="E150" s="59"/>
      <c r="F150" s="59"/>
      <c r="G150" s="55"/>
      <c r="H150" s="59"/>
      <c r="I150" s="37"/>
      <c r="J150" s="37"/>
      <c r="K150" s="64"/>
      <c r="L150" s="64"/>
      <c r="M150" s="64"/>
      <c r="N150" s="35"/>
      <c r="O150" s="35"/>
      <c r="P150" s="35"/>
      <c r="Q150" s="55"/>
      <c r="R150" s="55"/>
      <c r="S150" s="74"/>
      <c r="T150" s="64"/>
      <c r="U150" s="59"/>
      <c r="V150" s="107"/>
      <c r="W150" s="83">
        <v>147</v>
      </c>
      <c r="X150" s="107"/>
      <c r="Y150" s="108"/>
      <c r="Z150" s="108"/>
      <c r="AA150" s="108"/>
      <c r="AB150" s="108"/>
      <c r="AC150" s="108"/>
      <c r="AD150" s="109"/>
      <c r="AE150" s="109"/>
      <c r="AF150" s="109"/>
      <c r="AG150" s="121"/>
    </row>
    <row r="151" s="44" customFormat="1" ht="38" customHeight="1" spans="1:33">
      <c r="A151" s="55" t="s">
        <v>55</v>
      </c>
      <c r="B151" s="55" t="s">
        <v>648</v>
      </c>
      <c r="C151" s="55" t="s">
        <v>649</v>
      </c>
      <c r="D151" s="55" t="s">
        <v>350</v>
      </c>
      <c r="E151" s="59" t="s">
        <v>40</v>
      </c>
      <c r="F151" s="59" t="s">
        <v>40</v>
      </c>
      <c r="G151" s="55" t="s">
        <v>54</v>
      </c>
      <c r="H151" s="59" t="s">
        <v>40</v>
      </c>
      <c r="I151" s="30">
        <v>900</v>
      </c>
      <c r="J151" s="30">
        <v>810</v>
      </c>
      <c r="K151" s="64"/>
      <c r="L151" s="64"/>
      <c r="M151" s="64"/>
      <c r="N151" s="35">
        <v>825</v>
      </c>
      <c r="O151" s="35">
        <v>720</v>
      </c>
      <c r="P151" s="35">
        <v>610</v>
      </c>
      <c r="Q151" s="55" t="s">
        <v>650</v>
      </c>
      <c r="R151" s="55" t="s">
        <v>40</v>
      </c>
      <c r="S151" s="74">
        <v>0.2</v>
      </c>
      <c r="T151" s="64"/>
      <c r="U151" s="59"/>
      <c r="V151" s="107"/>
      <c r="W151" s="83">
        <v>148</v>
      </c>
      <c r="X151" s="107"/>
      <c r="Y151" s="108"/>
      <c r="Z151" s="108"/>
      <c r="AA151" s="108"/>
      <c r="AB151" s="108"/>
      <c r="AC151" s="108"/>
      <c r="AD151" s="109"/>
      <c r="AE151" s="109"/>
      <c r="AF151" s="109"/>
      <c r="AG151" s="121"/>
    </row>
    <row r="152" s="44" customFormat="1" ht="38" customHeight="1" spans="1:33">
      <c r="A152" s="55"/>
      <c r="B152" s="55"/>
      <c r="C152" s="55"/>
      <c r="D152" s="55"/>
      <c r="E152" s="59"/>
      <c r="F152" s="59"/>
      <c r="G152" s="55"/>
      <c r="H152" s="59"/>
      <c r="I152" s="37"/>
      <c r="J152" s="37"/>
      <c r="K152" s="64"/>
      <c r="L152" s="64"/>
      <c r="M152" s="64"/>
      <c r="N152" s="35"/>
      <c r="O152" s="35"/>
      <c r="P152" s="35"/>
      <c r="Q152" s="55"/>
      <c r="R152" s="55"/>
      <c r="S152" s="74"/>
      <c r="T152" s="64"/>
      <c r="U152" s="59"/>
      <c r="V152" s="107"/>
      <c r="W152" s="83">
        <v>149</v>
      </c>
      <c r="X152" s="107"/>
      <c r="Y152" s="108"/>
      <c r="Z152" s="108"/>
      <c r="AA152" s="108"/>
      <c r="AB152" s="108"/>
      <c r="AC152" s="108"/>
      <c r="AD152" s="109"/>
      <c r="AE152" s="109"/>
      <c r="AF152" s="109"/>
      <c r="AG152" s="121"/>
    </row>
    <row r="153" s="44" customFormat="1" ht="38" customHeight="1" spans="1:32">
      <c r="A153" s="97">
        <v>41</v>
      </c>
      <c r="B153" s="55" t="s">
        <v>651</v>
      </c>
      <c r="C153" s="55" t="s">
        <v>652</v>
      </c>
      <c r="D153" s="55" t="s">
        <v>350</v>
      </c>
      <c r="E153" s="59" t="s">
        <v>653</v>
      </c>
      <c r="F153" s="59" t="s">
        <v>654</v>
      </c>
      <c r="G153" s="55" t="s">
        <v>54</v>
      </c>
      <c r="H153" s="59" t="s">
        <v>40</v>
      </c>
      <c r="I153" s="30">
        <v>2600</v>
      </c>
      <c r="J153" s="30">
        <v>2340</v>
      </c>
      <c r="K153" s="64"/>
      <c r="L153" s="64"/>
      <c r="M153" s="64"/>
      <c r="N153" s="35">
        <v>2350</v>
      </c>
      <c r="O153" s="35">
        <v>2150</v>
      </c>
      <c r="P153" s="35">
        <v>1850</v>
      </c>
      <c r="Q153" s="55" t="s">
        <v>169</v>
      </c>
      <c r="R153" s="55" t="s">
        <v>40</v>
      </c>
      <c r="S153" s="74" t="s">
        <v>40</v>
      </c>
      <c r="T153" s="64" t="s">
        <v>170</v>
      </c>
      <c r="U153" s="59" t="s">
        <v>404</v>
      </c>
      <c r="V153" s="76"/>
      <c r="W153" s="83">
        <v>150</v>
      </c>
      <c r="X153" s="76"/>
      <c r="Y153" s="55"/>
      <c r="Z153" s="55"/>
      <c r="AA153" s="55"/>
      <c r="AB153" s="55"/>
      <c r="AC153" s="77"/>
      <c r="AD153" s="88"/>
      <c r="AE153" s="88"/>
      <c r="AF153" s="88"/>
    </row>
    <row r="154" s="44" customFormat="1" ht="38" customHeight="1" spans="1:32">
      <c r="A154" s="55" t="s">
        <v>55</v>
      </c>
      <c r="B154" s="55" t="s">
        <v>655</v>
      </c>
      <c r="C154" s="55" t="s">
        <v>656</v>
      </c>
      <c r="D154" s="55" t="s">
        <v>350</v>
      </c>
      <c r="E154" s="59" t="s">
        <v>40</v>
      </c>
      <c r="F154" s="59" t="s">
        <v>40</v>
      </c>
      <c r="G154" s="55" t="s">
        <v>54</v>
      </c>
      <c r="H154" s="59" t="s">
        <v>40</v>
      </c>
      <c r="I154" s="30">
        <v>780</v>
      </c>
      <c r="J154" s="30">
        <v>702</v>
      </c>
      <c r="K154" s="64"/>
      <c r="L154" s="64"/>
      <c r="M154" s="64"/>
      <c r="N154" s="35">
        <v>705</v>
      </c>
      <c r="O154" s="35">
        <v>645</v>
      </c>
      <c r="P154" s="35">
        <v>555</v>
      </c>
      <c r="Q154" s="55" t="s">
        <v>169</v>
      </c>
      <c r="R154" s="55" t="s">
        <v>40</v>
      </c>
      <c r="S154" s="74" t="s">
        <v>40</v>
      </c>
      <c r="T154" s="64"/>
      <c r="U154" s="59" t="s">
        <v>305</v>
      </c>
      <c r="V154" s="76"/>
      <c r="W154" s="83">
        <v>151</v>
      </c>
      <c r="X154" s="76"/>
      <c r="Y154" s="55"/>
      <c r="Z154" s="55"/>
      <c r="AA154" s="55"/>
      <c r="AB154" s="55"/>
      <c r="AC154" s="77"/>
      <c r="AD154" s="88"/>
      <c r="AE154" s="88"/>
      <c r="AF154" s="88"/>
    </row>
    <row r="155" s="44" customFormat="1" ht="38" customHeight="1" spans="1:32">
      <c r="A155" s="55">
        <v>42</v>
      </c>
      <c r="B155" s="55" t="s">
        <v>657</v>
      </c>
      <c r="C155" s="55" t="s">
        <v>658</v>
      </c>
      <c r="D155" s="55" t="s">
        <v>350</v>
      </c>
      <c r="E155" s="59" t="s">
        <v>659</v>
      </c>
      <c r="F155" s="59" t="s">
        <v>654</v>
      </c>
      <c r="G155" s="55" t="s">
        <v>54</v>
      </c>
      <c r="H155" s="59" t="s">
        <v>40</v>
      </c>
      <c r="I155" s="30">
        <v>2600</v>
      </c>
      <c r="J155" s="30">
        <v>2340</v>
      </c>
      <c r="K155" s="64"/>
      <c r="L155" s="64"/>
      <c r="M155" s="64"/>
      <c r="N155" s="35">
        <v>2350</v>
      </c>
      <c r="O155" s="35">
        <v>2150</v>
      </c>
      <c r="P155" s="35">
        <v>1850</v>
      </c>
      <c r="Q155" s="55" t="s">
        <v>169</v>
      </c>
      <c r="R155" s="55" t="s">
        <v>40</v>
      </c>
      <c r="S155" s="74" t="s">
        <v>40</v>
      </c>
      <c r="T155" s="64" t="s">
        <v>170</v>
      </c>
      <c r="U155" s="59" t="s">
        <v>404</v>
      </c>
      <c r="V155" s="76"/>
      <c r="W155" s="83">
        <v>152</v>
      </c>
      <c r="X155" s="76"/>
      <c r="Y155" s="55"/>
      <c r="Z155" s="55"/>
      <c r="AA155" s="55"/>
      <c r="AB155" s="55"/>
      <c r="AC155" s="77"/>
      <c r="AD155" s="88"/>
      <c r="AE155" s="88"/>
      <c r="AF155" s="88"/>
    </row>
    <row r="156" s="44" customFormat="1" ht="38" customHeight="1" spans="1:32">
      <c r="A156" s="55" t="s">
        <v>55</v>
      </c>
      <c r="B156" s="55" t="s">
        <v>660</v>
      </c>
      <c r="C156" s="55" t="s">
        <v>661</v>
      </c>
      <c r="D156" s="55" t="s">
        <v>350</v>
      </c>
      <c r="E156" s="59" t="s">
        <v>40</v>
      </c>
      <c r="F156" s="59" t="s">
        <v>40</v>
      </c>
      <c r="G156" s="55" t="s">
        <v>54</v>
      </c>
      <c r="H156" s="59" t="s">
        <v>40</v>
      </c>
      <c r="I156" s="30">
        <v>780</v>
      </c>
      <c r="J156" s="30">
        <v>702</v>
      </c>
      <c r="K156" s="64"/>
      <c r="L156" s="64"/>
      <c r="M156" s="64"/>
      <c r="N156" s="35">
        <v>705</v>
      </c>
      <c r="O156" s="35">
        <v>645</v>
      </c>
      <c r="P156" s="35">
        <v>555</v>
      </c>
      <c r="Q156" s="55" t="s">
        <v>169</v>
      </c>
      <c r="R156" s="55" t="s">
        <v>40</v>
      </c>
      <c r="S156" s="74" t="s">
        <v>40</v>
      </c>
      <c r="T156" s="64"/>
      <c r="U156" s="59" t="s">
        <v>305</v>
      </c>
      <c r="V156" s="76"/>
      <c r="W156" s="83">
        <v>153</v>
      </c>
      <c r="X156" s="76"/>
      <c r="Y156" s="77"/>
      <c r="Z156" s="77"/>
      <c r="AA156" s="77"/>
      <c r="AB156" s="77"/>
      <c r="AC156" s="77"/>
      <c r="AD156" s="88"/>
      <c r="AE156" s="88"/>
      <c r="AF156" s="88"/>
    </row>
    <row r="157" s="44" customFormat="1" ht="38" customHeight="1" spans="1:32">
      <c r="A157" s="55">
        <v>43</v>
      </c>
      <c r="B157" s="55" t="s">
        <v>662</v>
      </c>
      <c r="C157" s="55" t="s">
        <v>663</v>
      </c>
      <c r="D157" s="55" t="s">
        <v>36</v>
      </c>
      <c r="E157" s="59" t="s">
        <v>664</v>
      </c>
      <c r="F157" s="59" t="s">
        <v>665</v>
      </c>
      <c r="G157" s="55" t="s">
        <v>54</v>
      </c>
      <c r="H157" s="59" t="s">
        <v>40</v>
      </c>
      <c r="I157" s="30">
        <v>1170</v>
      </c>
      <c r="J157" s="30">
        <v>1053</v>
      </c>
      <c r="K157" s="64">
        <v>1035</v>
      </c>
      <c r="L157" s="64">
        <v>900</v>
      </c>
      <c r="M157" s="64">
        <v>765</v>
      </c>
      <c r="N157" s="35">
        <v>1035</v>
      </c>
      <c r="O157" s="35">
        <v>900</v>
      </c>
      <c r="P157" s="35">
        <v>765</v>
      </c>
      <c r="Q157" s="55" t="s">
        <v>41</v>
      </c>
      <c r="R157" s="55" t="s">
        <v>40</v>
      </c>
      <c r="S157" s="74" t="s">
        <v>40</v>
      </c>
      <c r="T157" s="64" t="s">
        <v>183</v>
      </c>
      <c r="U157" s="59" t="s">
        <v>183</v>
      </c>
      <c r="V157" s="76" t="s">
        <v>666</v>
      </c>
      <c r="W157" s="83">
        <v>154</v>
      </c>
      <c r="X157" s="76">
        <v>310702003</v>
      </c>
      <c r="Y157" s="77" t="s">
        <v>667</v>
      </c>
      <c r="Z157" s="77" t="s">
        <v>668</v>
      </c>
      <c r="AA157" s="77" t="s">
        <v>669</v>
      </c>
      <c r="AB157" s="77" t="s">
        <v>54</v>
      </c>
      <c r="AC157" s="77" t="s">
        <v>157</v>
      </c>
      <c r="AD157" s="88">
        <v>1035</v>
      </c>
      <c r="AE157" s="88">
        <v>900</v>
      </c>
      <c r="AF157" s="88">
        <v>765</v>
      </c>
    </row>
    <row r="158" s="44" customFormat="1" ht="38" customHeight="1" spans="1:32">
      <c r="A158" s="55"/>
      <c r="B158" s="55"/>
      <c r="C158" s="55"/>
      <c r="D158" s="55"/>
      <c r="E158" s="59"/>
      <c r="F158" s="59"/>
      <c r="G158" s="55"/>
      <c r="H158" s="59"/>
      <c r="I158" s="37"/>
      <c r="J158" s="37"/>
      <c r="K158" s="64"/>
      <c r="L158" s="64"/>
      <c r="M158" s="64"/>
      <c r="N158" s="35"/>
      <c r="O158" s="35"/>
      <c r="P158" s="35"/>
      <c r="Q158" s="55"/>
      <c r="R158" s="55"/>
      <c r="S158" s="74"/>
      <c r="T158" s="64"/>
      <c r="U158" s="59"/>
      <c r="V158" s="76" t="s">
        <v>670</v>
      </c>
      <c r="W158" s="83">
        <v>155</v>
      </c>
      <c r="X158" s="76">
        <v>31070200302</v>
      </c>
      <c r="Y158" s="77" t="s">
        <v>671</v>
      </c>
      <c r="Z158" s="77"/>
      <c r="AA158" s="77"/>
      <c r="AB158" s="77" t="s">
        <v>54</v>
      </c>
      <c r="AC158" s="77" t="s">
        <v>672</v>
      </c>
      <c r="AD158" s="88">
        <v>1035</v>
      </c>
      <c r="AE158" s="88">
        <v>900</v>
      </c>
      <c r="AF158" s="88">
        <v>765</v>
      </c>
    </row>
    <row r="159" s="44" customFormat="1" ht="38" customHeight="1" spans="1:32">
      <c r="A159" s="55" t="s">
        <v>55</v>
      </c>
      <c r="B159" s="55" t="s">
        <v>673</v>
      </c>
      <c r="C159" s="55" t="s">
        <v>674</v>
      </c>
      <c r="D159" s="55" t="s">
        <v>36</v>
      </c>
      <c r="E159" s="59" t="s">
        <v>40</v>
      </c>
      <c r="F159" s="59" t="s">
        <v>40</v>
      </c>
      <c r="G159" s="55" t="s">
        <v>54</v>
      </c>
      <c r="H159" s="59" t="s">
        <v>40</v>
      </c>
      <c r="I159" s="30">
        <v>351</v>
      </c>
      <c r="J159" s="30">
        <v>316</v>
      </c>
      <c r="K159" s="64"/>
      <c r="L159" s="64"/>
      <c r="M159" s="64"/>
      <c r="N159" s="35">
        <v>310</v>
      </c>
      <c r="O159" s="35">
        <v>270</v>
      </c>
      <c r="P159" s="35">
        <v>230</v>
      </c>
      <c r="Q159" s="55" t="s">
        <v>41</v>
      </c>
      <c r="R159" s="55" t="s">
        <v>40</v>
      </c>
      <c r="S159" s="74" t="s">
        <v>40</v>
      </c>
      <c r="T159" s="64"/>
      <c r="U159" s="59" t="s">
        <v>305</v>
      </c>
      <c r="V159" s="76"/>
      <c r="W159" s="83">
        <v>156</v>
      </c>
      <c r="X159" s="76"/>
      <c r="Y159" s="55"/>
      <c r="Z159" s="55"/>
      <c r="AA159" s="55"/>
      <c r="AB159" s="55"/>
      <c r="AC159" s="77"/>
      <c r="AD159" s="88"/>
      <c r="AE159" s="88"/>
      <c r="AF159" s="88"/>
    </row>
    <row r="160" s="44" customFormat="1" ht="38" customHeight="1" spans="1:32">
      <c r="A160" s="97">
        <v>44</v>
      </c>
      <c r="B160" s="55" t="s">
        <v>675</v>
      </c>
      <c r="C160" s="55" t="s">
        <v>676</v>
      </c>
      <c r="D160" s="55" t="s">
        <v>350</v>
      </c>
      <c r="E160" s="59" t="s">
        <v>677</v>
      </c>
      <c r="F160" s="59" t="s">
        <v>678</v>
      </c>
      <c r="G160" s="55" t="s">
        <v>54</v>
      </c>
      <c r="H160" s="59" t="s">
        <v>40</v>
      </c>
      <c r="I160" s="30">
        <v>800</v>
      </c>
      <c r="J160" s="30">
        <v>720</v>
      </c>
      <c r="K160" s="64">
        <v>720</v>
      </c>
      <c r="L160" s="64">
        <v>650</v>
      </c>
      <c r="M160" s="64">
        <v>550</v>
      </c>
      <c r="N160" s="35">
        <v>720</v>
      </c>
      <c r="O160" s="35">
        <v>650</v>
      </c>
      <c r="P160" s="35">
        <v>550</v>
      </c>
      <c r="Q160" s="55" t="s">
        <v>41</v>
      </c>
      <c r="R160" s="55" t="s">
        <v>40</v>
      </c>
      <c r="S160" s="74" t="s">
        <v>40</v>
      </c>
      <c r="T160" s="64" t="s">
        <v>183</v>
      </c>
      <c r="U160" s="59" t="s">
        <v>183</v>
      </c>
      <c r="V160" s="76" t="s">
        <v>679</v>
      </c>
      <c r="W160" s="83">
        <v>157</v>
      </c>
      <c r="X160" s="76">
        <v>310701031</v>
      </c>
      <c r="Y160" s="77" t="s">
        <v>680</v>
      </c>
      <c r="Z160" s="105" t="s">
        <v>681</v>
      </c>
      <c r="AA160" s="77" t="s">
        <v>682</v>
      </c>
      <c r="AB160" s="77" t="s">
        <v>54</v>
      </c>
      <c r="AC160" s="77" t="s">
        <v>40</v>
      </c>
      <c r="AD160" s="88">
        <v>720</v>
      </c>
      <c r="AE160" s="88">
        <v>650</v>
      </c>
      <c r="AF160" s="88">
        <v>550</v>
      </c>
    </row>
    <row r="161" s="44" customFormat="1" ht="38" customHeight="1" spans="1:32">
      <c r="A161" s="55" t="s">
        <v>55</v>
      </c>
      <c r="B161" s="55" t="s">
        <v>683</v>
      </c>
      <c r="C161" s="55" t="s">
        <v>684</v>
      </c>
      <c r="D161" s="55" t="s">
        <v>350</v>
      </c>
      <c r="E161" s="59" t="s">
        <v>40</v>
      </c>
      <c r="F161" s="59" t="s">
        <v>40</v>
      </c>
      <c r="G161" s="55" t="s">
        <v>54</v>
      </c>
      <c r="H161" s="59" t="s">
        <v>40</v>
      </c>
      <c r="I161" s="30">
        <v>240</v>
      </c>
      <c r="J161" s="30">
        <v>216</v>
      </c>
      <c r="K161" s="64"/>
      <c r="L161" s="64"/>
      <c r="M161" s="64"/>
      <c r="N161" s="35">
        <v>215</v>
      </c>
      <c r="O161" s="35">
        <v>195</v>
      </c>
      <c r="P161" s="35">
        <v>165</v>
      </c>
      <c r="Q161" s="55" t="s">
        <v>41</v>
      </c>
      <c r="R161" s="55" t="s">
        <v>40</v>
      </c>
      <c r="S161" s="74" t="s">
        <v>40</v>
      </c>
      <c r="T161" s="64"/>
      <c r="U161" s="59" t="s">
        <v>305</v>
      </c>
      <c r="V161" s="76"/>
      <c r="W161" s="83">
        <v>158</v>
      </c>
      <c r="X161" s="76"/>
      <c r="Y161" s="55"/>
      <c r="Z161" s="55"/>
      <c r="AA161" s="55"/>
      <c r="AB161" s="55"/>
      <c r="AC161" s="77"/>
      <c r="AD161" s="88"/>
      <c r="AE161" s="88"/>
      <c r="AF161" s="88"/>
    </row>
    <row r="162" s="44" customFormat="1" ht="38" customHeight="1" spans="1:32">
      <c r="A162" s="97">
        <v>45</v>
      </c>
      <c r="B162" s="55" t="s">
        <v>685</v>
      </c>
      <c r="C162" s="55" t="s">
        <v>686</v>
      </c>
      <c r="D162" s="55" t="s">
        <v>350</v>
      </c>
      <c r="E162" s="59" t="s">
        <v>687</v>
      </c>
      <c r="F162" s="59" t="s">
        <v>688</v>
      </c>
      <c r="G162" s="55" t="s">
        <v>54</v>
      </c>
      <c r="H162" s="59" t="s">
        <v>40</v>
      </c>
      <c r="I162" s="30">
        <v>300</v>
      </c>
      <c r="J162" s="30">
        <v>270</v>
      </c>
      <c r="K162" s="64">
        <v>270</v>
      </c>
      <c r="L162" s="64">
        <v>245</v>
      </c>
      <c r="M162" s="64">
        <v>210</v>
      </c>
      <c r="N162" s="35">
        <v>270</v>
      </c>
      <c r="O162" s="35">
        <v>245</v>
      </c>
      <c r="P162" s="35">
        <v>210</v>
      </c>
      <c r="Q162" s="55" t="s">
        <v>41</v>
      </c>
      <c r="R162" s="55" t="s">
        <v>40</v>
      </c>
      <c r="S162" s="74" t="s">
        <v>40</v>
      </c>
      <c r="T162" s="64" t="s">
        <v>183</v>
      </c>
      <c r="U162" s="59" t="s">
        <v>183</v>
      </c>
      <c r="V162" s="76" t="s">
        <v>689</v>
      </c>
      <c r="W162" s="83">
        <v>159</v>
      </c>
      <c r="X162" s="76">
        <v>310701032</v>
      </c>
      <c r="Y162" s="97" t="s">
        <v>690</v>
      </c>
      <c r="Z162" s="105" t="s">
        <v>691</v>
      </c>
      <c r="AA162" s="77"/>
      <c r="AB162" s="77" t="s">
        <v>54</v>
      </c>
      <c r="AC162" s="77" t="s">
        <v>40</v>
      </c>
      <c r="AD162" s="88">
        <v>270</v>
      </c>
      <c r="AE162" s="88">
        <v>245</v>
      </c>
      <c r="AF162" s="88">
        <v>210</v>
      </c>
    </row>
    <row r="163" s="44" customFormat="1" ht="38" customHeight="1" spans="1:32">
      <c r="A163" s="55" t="s">
        <v>55</v>
      </c>
      <c r="B163" s="55" t="s">
        <v>692</v>
      </c>
      <c r="C163" s="55" t="s">
        <v>693</v>
      </c>
      <c r="D163" s="55" t="s">
        <v>350</v>
      </c>
      <c r="E163" s="59" t="s">
        <v>40</v>
      </c>
      <c r="F163" s="59" t="s">
        <v>40</v>
      </c>
      <c r="G163" s="55" t="s">
        <v>54</v>
      </c>
      <c r="H163" s="59" t="s">
        <v>40</v>
      </c>
      <c r="I163" s="30">
        <v>90</v>
      </c>
      <c r="J163" s="30">
        <v>81</v>
      </c>
      <c r="K163" s="64"/>
      <c r="L163" s="64"/>
      <c r="M163" s="64"/>
      <c r="N163" s="35">
        <v>81</v>
      </c>
      <c r="O163" s="35">
        <v>74</v>
      </c>
      <c r="P163" s="35">
        <v>63</v>
      </c>
      <c r="Q163" s="55" t="s">
        <v>41</v>
      </c>
      <c r="R163" s="55" t="s">
        <v>40</v>
      </c>
      <c r="S163" s="74" t="s">
        <v>40</v>
      </c>
      <c r="T163" s="64"/>
      <c r="U163" s="59" t="s">
        <v>305</v>
      </c>
      <c r="V163" s="76"/>
      <c r="W163" s="83">
        <v>160</v>
      </c>
      <c r="X163" s="76"/>
      <c r="Y163" s="55"/>
      <c r="Z163" s="55"/>
      <c r="AA163" s="55"/>
      <c r="AB163" s="55"/>
      <c r="AC163" s="77"/>
      <c r="AD163" s="88"/>
      <c r="AE163" s="88"/>
      <c r="AF163" s="88"/>
    </row>
    <row r="164" s="44" customFormat="1" ht="63" customHeight="1" spans="1:32">
      <c r="A164" s="55">
        <v>46</v>
      </c>
      <c r="B164" s="55" t="s">
        <v>694</v>
      </c>
      <c r="C164" s="55" t="s">
        <v>695</v>
      </c>
      <c r="D164" s="55" t="s">
        <v>350</v>
      </c>
      <c r="E164" s="59" t="s">
        <v>696</v>
      </c>
      <c r="F164" s="59" t="s">
        <v>697</v>
      </c>
      <c r="G164" s="55" t="s">
        <v>54</v>
      </c>
      <c r="H164" s="59">
        <f>I168/I164</f>
        <v>0.96</v>
      </c>
      <c r="I164" s="30">
        <v>1500</v>
      </c>
      <c r="J164" s="30">
        <v>1350</v>
      </c>
      <c r="K164" s="64">
        <v>1150</v>
      </c>
      <c r="L164" s="64">
        <v>1000</v>
      </c>
      <c r="M164" s="64">
        <v>850</v>
      </c>
      <c r="N164" s="35">
        <v>1435</v>
      </c>
      <c r="O164" s="35">
        <v>1250</v>
      </c>
      <c r="P164" s="35">
        <v>1065</v>
      </c>
      <c r="Q164" s="55" t="s">
        <v>41</v>
      </c>
      <c r="R164" s="55" t="s">
        <v>40</v>
      </c>
      <c r="S164" s="74" t="s">
        <v>40</v>
      </c>
      <c r="T164" s="64" t="s">
        <v>698</v>
      </c>
      <c r="U164" s="59" t="s">
        <v>699</v>
      </c>
      <c r="V164" s="76" t="s">
        <v>700</v>
      </c>
      <c r="W164" s="83">
        <v>161</v>
      </c>
      <c r="X164" s="76">
        <v>310702007</v>
      </c>
      <c r="Y164" s="77" t="s">
        <v>701</v>
      </c>
      <c r="Z164" s="77" t="s">
        <v>702</v>
      </c>
      <c r="AA164" s="77" t="s">
        <v>703</v>
      </c>
      <c r="AB164" s="77" t="s">
        <v>54</v>
      </c>
      <c r="AC164" s="77" t="s">
        <v>704</v>
      </c>
      <c r="AD164" s="88">
        <v>1150</v>
      </c>
      <c r="AE164" s="88">
        <v>1000</v>
      </c>
      <c r="AF164" s="88">
        <v>850</v>
      </c>
    </row>
    <row r="165" s="44" customFormat="1" ht="38" customHeight="1" spans="1:32">
      <c r="A165" s="55" t="s">
        <v>55</v>
      </c>
      <c r="B165" s="55" t="s">
        <v>705</v>
      </c>
      <c r="C165" s="55" t="s">
        <v>706</v>
      </c>
      <c r="D165" s="55" t="s">
        <v>350</v>
      </c>
      <c r="E165" s="59" t="s">
        <v>40</v>
      </c>
      <c r="F165" s="59" t="s">
        <v>40</v>
      </c>
      <c r="G165" s="55" t="s">
        <v>54</v>
      </c>
      <c r="H165" s="59" t="s">
        <v>40</v>
      </c>
      <c r="I165" s="30">
        <v>450</v>
      </c>
      <c r="J165" s="30">
        <v>405</v>
      </c>
      <c r="K165" s="64"/>
      <c r="L165" s="64"/>
      <c r="M165" s="64"/>
      <c r="N165" s="35">
        <v>430</v>
      </c>
      <c r="O165" s="35">
        <v>375</v>
      </c>
      <c r="P165" s="35">
        <v>320</v>
      </c>
      <c r="Q165" s="35" t="e">
        <f>Q164*0.3</f>
        <v>#VALUE!</v>
      </c>
      <c r="R165" s="35" t="e">
        <f>R164*0.3</f>
        <v>#VALUE!</v>
      </c>
      <c r="S165" s="35" t="e">
        <f>S164*0.3</f>
        <v>#VALUE!</v>
      </c>
      <c r="T165" s="64"/>
      <c r="U165" s="59" t="s">
        <v>305</v>
      </c>
      <c r="V165" s="76"/>
      <c r="W165" s="83">
        <v>162</v>
      </c>
      <c r="X165" s="76"/>
      <c r="Y165" s="55"/>
      <c r="Z165" s="55"/>
      <c r="AA165" s="55"/>
      <c r="AB165" s="55"/>
      <c r="AC165" s="77"/>
      <c r="AD165" s="88" t="e">
        <f>AD164/#REF!</f>
        <v>#REF!</v>
      </c>
      <c r="AE165" s="88">
        <f>AE164/AD164</f>
        <v>0.869565217391304</v>
      </c>
      <c r="AF165" s="88">
        <f>AF164/AE164</f>
        <v>0.85</v>
      </c>
    </row>
    <row r="166" s="44" customFormat="1" ht="38" customHeight="1" spans="1:32">
      <c r="A166" s="55" t="s">
        <v>55</v>
      </c>
      <c r="B166" s="55" t="s">
        <v>707</v>
      </c>
      <c r="C166" s="55" t="s">
        <v>708</v>
      </c>
      <c r="D166" s="55" t="s">
        <v>350</v>
      </c>
      <c r="E166" s="59" t="s">
        <v>40</v>
      </c>
      <c r="F166" s="59" t="s">
        <v>40</v>
      </c>
      <c r="G166" s="55" t="s">
        <v>54</v>
      </c>
      <c r="H166" s="59" t="s">
        <v>40</v>
      </c>
      <c r="I166" s="30">
        <v>1500</v>
      </c>
      <c r="J166" s="30">
        <v>1350</v>
      </c>
      <c r="K166" s="64">
        <v>2300</v>
      </c>
      <c r="L166" s="64">
        <v>2000</v>
      </c>
      <c r="M166" s="64">
        <v>1700</v>
      </c>
      <c r="N166" s="35">
        <v>1435</v>
      </c>
      <c r="O166" s="35">
        <v>1250</v>
      </c>
      <c r="P166" s="35">
        <v>1065</v>
      </c>
      <c r="Q166" s="35" t="str">
        <f t="shared" ref="N166:S166" si="3">Q164</f>
        <v>医保</v>
      </c>
      <c r="R166" s="35" t="str">
        <f t="shared" si="3"/>
        <v/>
      </c>
      <c r="S166" s="35" t="str">
        <f t="shared" si="3"/>
        <v/>
      </c>
      <c r="T166" s="64"/>
      <c r="U166" s="59" t="s">
        <v>105</v>
      </c>
      <c r="V166" s="76" t="s">
        <v>709</v>
      </c>
      <c r="W166" s="83">
        <v>163</v>
      </c>
      <c r="X166" s="76">
        <v>310702009</v>
      </c>
      <c r="Y166" s="77" t="s">
        <v>710</v>
      </c>
      <c r="Z166" s="77" t="s">
        <v>711</v>
      </c>
      <c r="AA166" s="77" t="s">
        <v>712</v>
      </c>
      <c r="AB166" s="77" t="s">
        <v>54</v>
      </c>
      <c r="AC166" s="77" t="s">
        <v>157</v>
      </c>
      <c r="AD166" s="88">
        <v>2300</v>
      </c>
      <c r="AE166" s="88">
        <v>2000</v>
      </c>
      <c r="AF166" s="88">
        <v>1700</v>
      </c>
    </row>
    <row r="167" s="44" customFormat="1" ht="38" customHeight="1" spans="1:32">
      <c r="A167" s="55" t="s">
        <v>55</v>
      </c>
      <c r="B167" s="55" t="s">
        <v>713</v>
      </c>
      <c r="C167" s="55" t="s">
        <v>714</v>
      </c>
      <c r="D167" s="55" t="s">
        <v>350</v>
      </c>
      <c r="E167" s="59" t="s">
        <v>40</v>
      </c>
      <c r="F167" s="59" t="s">
        <v>40</v>
      </c>
      <c r="G167" s="55" t="s">
        <v>54</v>
      </c>
      <c r="H167" s="59">
        <f>I168/I164</f>
        <v>0.96</v>
      </c>
      <c r="I167" s="30">
        <v>1500</v>
      </c>
      <c r="J167" s="30">
        <v>1350</v>
      </c>
      <c r="K167" s="64"/>
      <c r="L167" s="64"/>
      <c r="M167" s="64"/>
      <c r="N167" s="35">
        <v>1435</v>
      </c>
      <c r="O167" s="35">
        <v>1250</v>
      </c>
      <c r="P167" s="35">
        <v>1065</v>
      </c>
      <c r="Q167" s="35" t="str">
        <f t="shared" ref="N167:S167" si="4">Q164</f>
        <v>医保</v>
      </c>
      <c r="R167" s="35" t="str">
        <f t="shared" si="4"/>
        <v/>
      </c>
      <c r="S167" s="35" t="str">
        <f t="shared" si="4"/>
        <v/>
      </c>
      <c r="T167" s="64"/>
      <c r="U167" s="59" t="s">
        <v>105</v>
      </c>
      <c r="V167" s="76"/>
      <c r="W167" s="83">
        <v>164</v>
      </c>
      <c r="X167" s="76"/>
      <c r="Y167" s="55"/>
      <c r="Z167" s="55"/>
      <c r="AA167" s="55"/>
      <c r="AB167" s="55"/>
      <c r="AC167" s="77"/>
      <c r="AD167" s="88"/>
      <c r="AE167" s="88"/>
      <c r="AF167" s="88"/>
    </row>
    <row r="168" s="44" customFormat="1" ht="38" customHeight="1" spans="1:32">
      <c r="A168" s="55">
        <v>47</v>
      </c>
      <c r="B168" s="55" t="s">
        <v>715</v>
      </c>
      <c r="C168" s="55" t="s">
        <v>716</v>
      </c>
      <c r="D168" s="55" t="s">
        <v>350</v>
      </c>
      <c r="E168" s="59" t="s">
        <v>717</v>
      </c>
      <c r="F168" s="59" t="s">
        <v>718</v>
      </c>
      <c r="G168" s="55" t="s">
        <v>54</v>
      </c>
      <c r="H168" s="59" t="s">
        <v>40</v>
      </c>
      <c r="I168" s="30">
        <v>1440</v>
      </c>
      <c r="J168" s="30">
        <v>1296</v>
      </c>
      <c r="K168" s="64">
        <v>1380</v>
      </c>
      <c r="L168" s="64">
        <v>1200</v>
      </c>
      <c r="M168" s="64">
        <v>1020</v>
      </c>
      <c r="N168" s="35">
        <v>1380</v>
      </c>
      <c r="O168" s="35">
        <v>1200</v>
      </c>
      <c r="P168" s="35">
        <v>1020</v>
      </c>
      <c r="Q168" s="55" t="s">
        <v>41</v>
      </c>
      <c r="R168" s="55" t="s">
        <v>40</v>
      </c>
      <c r="S168" s="74" t="s">
        <v>40</v>
      </c>
      <c r="T168" s="64" t="s">
        <v>183</v>
      </c>
      <c r="U168" s="59" t="s">
        <v>183</v>
      </c>
      <c r="V168" s="76" t="s">
        <v>719</v>
      </c>
      <c r="W168" s="83">
        <v>165</v>
      </c>
      <c r="X168" s="76">
        <v>31070200802</v>
      </c>
      <c r="Y168" s="55" t="s">
        <v>720</v>
      </c>
      <c r="Z168" s="55"/>
      <c r="AA168" s="55"/>
      <c r="AB168" s="55" t="s">
        <v>54</v>
      </c>
      <c r="AC168" s="77" t="s">
        <v>721</v>
      </c>
      <c r="AD168" s="88">
        <v>1380</v>
      </c>
      <c r="AE168" s="88">
        <v>1200</v>
      </c>
      <c r="AF168" s="88">
        <v>1020</v>
      </c>
    </row>
    <row r="169" s="44" customFormat="1" ht="38" customHeight="1" spans="1:32">
      <c r="A169" s="55" t="s">
        <v>55</v>
      </c>
      <c r="B169" s="55" t="s">
        <v>722</v>
      </c>
      <c r="C169" s="55" t="s">
        <v>723</v>
      </c>
      <c r="D169" s="55" t="s">
        <v>350</v>
      </c>
      <c r="E169" s="59" t="s">
        <v>40</v>
      </c>
      <c r="F169" s="59" t="s">
        <v>40</v>
      </c>
      <c r="G169" s="55" t="s">
        <v>54</v>
      </c>
      <c r="H169" s="59" t="s">
        <v>40</v>
      </c>
      <c r="I169" s="30">
        <v>432</v>
      </c>
      <c r="J169" s="30">
        <v>389</v>
      </c>
      <c r="K169" s="64"/>
      <c r="L169" s="64"/>
      <c r="M169" s="64"/>
      <c r="N169" s="35">
        <v>415</v>
      </c>
      <c r="O169" s="35">
        <v>360</v>
      </c>
      <c r="P169" s="35">
        <v>305</v>
      </c>
      <c r="Q169" s="35" t="e">
        <f>Q168*0.3</f>
        <v>#VALUE!</v>
      </c>
      <c r="R169" s="35" t="e">
        <f>R168*0.3</f>
        <v>#VALUE!</v>
      </c>
      <c r="S169" s="35" t="e">
        <f>S168*0.3</f>
        <v>#VALUE!</v>
      </c>
      <c r="T169" s="64"/>
      <c r="U169" s="59" t="s">
        <v>305</v>
      </c>
      <c r="V169" s="76"/>
      <c r="W169" s="83">
        <v>166</v>
      </c>
      <c r="X169" s="76"/>
      <c r="Y169" s="55"/>
      <c r="Z169" s="55"/>
      <c r="AA169" s="55"/>
      <c r="AB169" s="55"/>
      <c r="AC169" s="77"/>
      <c r="AD169" s="88"/>
      <c r="AE169" s="88"/>
      <c r="AF169" s="88"/>
    </row>
    <row r="170" s="44" customFormat="1" ht="38" customHeight="1" spans="1:32">
      <c r="A170" s="55" t="s">
        <v>55</v>
      </c>
      <c r="B170" s="55" t="s">
        <v>724</v>
      </c>
      <c r="C170" s="55" t="s">
        <v>725</v>
      </c>
      <c r="D170" s="55" t="s">
        <v>350</v>
      </c>
      <c r="E170" s="59" t="s">
        <v>40</v>
      </c>
      <c r="F170" s="59" t="s">
        <v>40</v>
      </c>
      <c r="G170" s="55" t="s">
        <v>54</v>
      </c>
      <c r="H170" s="59" t="s">
        <v>40</v>
      </c>
      <c r="I170" s="30">
        <v>1440</v>
      </c>
      <c r="J170" s="30">
        <v>1296</v>
      </c>
      <c r="K170" s="64"/>
      <c r="L170" s="64"/>
      <c r="M170" s="64"/>
      <c r="N170" s="35">
        <v>1380</v>
      </c>
      <c r="O170" s="35">
        <v>1200</v>
      </c>
      <c r="P170" s="35">
        <v>1020</v>
      </c>
      <c r="Q170" s="55" t="s">
        <v>41</v>
      </c>
      <c r="R170" s="55" t="s">
        <v>40</v>
      </c>
      <c r="S170" s="74" t="s">
        <v>40</v>
      </c>
      <c r="T170" s="64"/>
      <c r="U170" s="59" t="s">
        <v>105</v>
      </c>
      <c r="V170" s="76"/>
      <c r="W170" s="83">
        <v>167</v>
      </c>
      <c r="X170" s="76"/>
      <c r="Y170" s="77"/>
      <c r="Z170" s="77"/>
      <c r="AA170" s="77"/>
      <c r="AB170" s="77"/>
      <c r="AC170" s="77"/>
      <c r="AD170" s="88"/>
      <c r="AE170" s="88"/>
      <c r="AF170" s="88"/>
    </row>
    <row r="171" s="44" customFormat="1" ht="38" customHeight="1" spans="1:32">
      <c r="A171" s="55" t="s">
        <v>55</v>
      </c>
      <c r="B171" s="55" t="s">
        <v>726</v>
      </c>
      <c r="C171" s="55" t="s">
        <v>727</v>
      </c>
      <c r="D171" s="55" t="s">
        <v>350</v>
      </c>
      <c r="E171" s="59" t="s">
        <v>40</v>
      </c>
      <c r="F171" s="59" t="s">
        <v>40</v>
      </c>
      <c r="G171" s="55" t="s">
        <v>54</v>
      </c>
      <c r="H171" s="59" t="s">
        <v>40</v>
      </c>
      <c r="I171" s="30">
        <v>1440</v>
      </c>
      <c r="J171" s="30">
        <v>1296</v>
      </c>
      <c r="K171" s="64"/>
      <c r="L171" s="64"/>
      <c r="M171" s="64"/>
      <c r="N171" s="35">
        <v>1380</v>
      </c>
      <c r="O171" s="35">
        <v>1200</v>
      </c>
      <c r="P171" s="35">
        <v>1020</v>
      </c>
      <c r="Q171" s="55" t="s">
        <v>41</v>
      </c>
      <c r="R171" s="55" t="s">
        <v>40</v>
      </c>
      <c r="S171" s="74" t="s">
        <v>40</v>
      </c>
      <c r="T171" s="64"/>
      <c r="U171" s="59" t="s">
        <v>105</v>
      </c>
      <c r="V171" s="76"/>
      <c r="W171" s="83">
        <v>168</v>
      </c>
      <c r="X171" s="76"/>
      <c r="Y171" s="77"/>
      <c r="Z171" s="77"/>
      <c r="AA171" s="77"/>
      <c r="AB171" s="77"/>
      <c r="AC171" s="77"/>
      <c r="AD171" s="88"/>
      <c r="AE171" s="88"/>
      <c r="AF171" s="88"/>
    </row>
    <row r="172" s="44" customFormat="1" ht="79" customHeight="1" spans="1:32">
      <c r="A172" s="55">
        <v>48</v>
      </c>
      <c r="B172" s="55" t="s">
        <v>728</v>
      </c>
      <c r="C172" s="55" t="s">
        <v>729</v>
      </c>
      <c r="D172" s="55" t="s">
        <v>350</v>
      </c>
      <c r="E172" s="59" t="s">
        <v>730</v>
      </c>
      <c r="F172" s="59" t="s">
        <v>731</v>
      </c>
      <c r="G172" s="55" t="s">
        <v>54</v>
      </c>
      <c r="H172" s="59" t="s">
        <v>732</v>
      </c>
      <c r="I172" s="30">
        <v>1080</v>
      </c>
      <c r="J172" s="30">
        <v>972</v>
      </c>
      <c r="K172" s="64">
        <v>1150</v>
      </c>
      <c r="L172" s="64">
        <v>1000</v>
      </c>
      <c r="M172" s="64">
        <v>850</v>
      </c>
      <c r="N172" s="68">
        <v>1035</v>
      </c>
      <c r="O172" s="68">
        <v>900</v>
      </c>
      <c r="P172" s="68">
        <v>765</v>
      </c>
      <c r="Q172" s="55" t="s">
        <v>41</v>
      </c>
      <c r="R172" s="55" t="s">
        <v>40</v>
      </c>
      <c r="S172" s="74" t="s">
        <v>40</v>
      </c>
      <c r="T172" s="64" t="s">
        <v>115</v>
      </c>
      <c r="U172" s="59" t="s">
        <v>733</v>
      </c>
      <c r="V172" s="76" t="s">
        <v>734</v>
      </c>
      <c r="W172" s="83">
        <v>169</v>
      </c>
      <c r="X172" s="76">
        <v>310702008</v>
      </c>
      <c r="Y172" s="77" t="s">
        <v>735</v>
      </c>
      <c r="Z172" s="77" t="s">
        <v>736</v>
      </c>
      <c r="AA172" s="77" t="s">
        <v>703</v>
      </c>
      <c r="AB172" s="77" t="s">
        <v>54</v>
      </c>
      <c r="AC172" s="77" t="s">
        <v>737</v>
      </c>
      <c r="AD172" s="88">
        <v>1150</v>
      </c>
      <c r="AE172" s="88">
        <v>1000</v>
      </c>
      <c r="AF172" s="88">
        <v>850</v>
      </c>
    </row>
    <row r="173" s="44" customFormat="1" ht="38" customHeight="1" spans="1:32">
      <c r="A173" s="55" t="s">
        <v>55</v>
      </c>
      <c r="B173" s="55" t="s">
        <v>738</v>
      </c>
      <c r="C173" s="55" t="s">
        <v>739</v>
      </c>
      <c r="D173" s="55" t="s">
        <v>350</v>
      </c>
      <c r="E173" s="59" t="s">
        <v>40</v>
      </c>
      <c r="F173" s="59" t="s">
        <v>40</v>
      </c>
      <c r="G173" s="55" t="s">
        <v>54</v>
      </c>
      <c r="H173" s="59" t="s">
        <v>40</v>
      </c>
      <c r="I173" s="30">
        <v>324</v>
      </c>
      <c r="J173" s="30">
        <v>292</v>
      </c>
      <c r="K173" s="64"/>
      <c r="L173" s="64"/>
      <c r="M173" s="64"/>
      <c r="N173" s="35">
        <v>310</v>
      </c>
      <c r="O173" s="35">
        <v>270</v>
      </c>
      <c r="P173" s="35">
        <v>230</v>
      </c>
      <c r="Q173" s="55" t="s">
        <v>41</v>
      </c>
      <c r="R173" s="55" t="s">
        <v>40</v>
      </c>
      <c r="S173" s="74" t="s">
        <v>40</v>
      </c>
      <c r="T173" s="64"/>
      <c r="U173" s="59" t="s">
        <v>305</v>
      </c>
      <c r="V173" s="76"/>
      <c r="W173" s="83">
        <v>170</v>
      </c>
      <c r="X173" s="76"/>
      <c r="Y173" s="77"/>
      <c r="Z173" s="77"/>
      <c r="AA173" s="77"/>
      <c r="AB173" s="77"/>
      <c r="AC173" s="77"/>
      <c r="AD173" s="88"/>
      <c r="AE173" s="88"/>
      <c r="AF173" s="88"/>
    </row>
    <row r="174" s="44" customFormat="1" ht="38" customHeight="1" spans="1:32">
      <c r="A174" s="55" t="s">
        <v>55</v>
      </c>
      <c r="B174" s="55" t="s">
        <v>740</v>
      </c>
      <c r="C174" s="55" t="s">
        <v>741</v>
      </c>
      <c r="D174" s="55" t="s">
        <v>350</v>
      </c>
      <c r="E174" s="59" t="s">
        <v>40</v>
      </c>
      <c r="F174" s="59" t="s">
        <v>40</v>
      </c>
      <c r="G174" s="55" t="s">
        <v>54</v>
      </c>
      <c r="H174" s="59" t="s">
        <v>40</v>
      </c>
      <c r="I174" s="30">
        <v>1080</v>
      </c>
      <c r="J174" s="30">
        <v>972</v>
      </c>
      <c r="K174" s="64"/>
      <c r="L174" s="64"/>
      <c r="M174" s="64"/>
      <c r="N174" s="35">
        <v>1035</v>
      </c>
      <c r="O174" s="35">
        <v>900</v>
      </c>
      <c r="P174" s="35">
        <v>765</v>
      </c>
      <c r="Q174" s="55" t="s">
        <v>41</v>
      </c>
      <c r="R174" s="55" t="s">
        <v>40</v>
      </c>
      <c r="S174" s="74" t="s">
        <v>40</v>
      </c>
      <c r="T174" s="64"/>
      <c r="U174" s="59" t="s">
        <v>105</v>
      </c>
      <c r="V174" s="76"/>
      <c r="W174" s="83">
        <v>171</v>
      </c>
      <c r="X174" s="76"/>
      <c r="Y174" s="77"/>
      <c r="Z174" s="77"/>
      <c r="AA174" s="77"/>
      <c r="AB174" s="77"/>
      <c r="AC174" s="77"/>
      <c r="AD174" s="88"/>
      <c r="AE174" s="88"/>
      <c r="AF174" s="88"/>
    </row>
    <row r="175" s="44" customFormat="1" ht="38" customHeight="1" spans="1:32">
      <c r="A175" s="55" t="s">
        <v>55</v>
      </c>
      <c r="B175" s="55" t="s">
        <v>742</v>
      </c>
      <c r="C175" s="55" t="s">
        <v>743</v>
      </c>
      <c r="D175" s="55" t="s">
        <v>350</v>
      </c>
      <c r="E175" s="59" t="s">
        <v>40</v>
      </c>
      <c r="F175" s="59" t="s">
        <v>40</v>
      </c>
      <c r="G175" s="55" t="s">
        <v>54</v>
      </c>
      <c r="H175" s="59" t="s">
        <v>40</v>
      </c>
      <c r="I175" s="30">
        <v>1080</v>
      </c>
      <c r="J175" s="30">
        <v>972</v>
      </c>
      <c r="K175" s="64"/>
      <c r="L175" s="64"/>
      <c r="M175" s="64"/>
      <c r="N175" s="35">
        <v>1035</v>
      </c>
      <c r="O175" s="35">
        <v>900</v>
      </c>
      <c r="P175" s="35">
        <v>765</v>
      </c>
      <c r="Q175" s="55" t="s">
        <v>41</v>
      </c>
      <c r="R175" s="55" t="s">
        <v>40</v>
      </c>
      <c r="S175" s="74" t="s">
        <v>40</v>
      </c>
      <c r="T175" s="64"/>
      <c r="U175" s="59" t="s">
        <v>105</v>
      </c>
      <c r="V175" s="76"/>
      <c r="W175" s="83">
        <v>172</v>
      </c>
      <c r="X175" s="76"/>
      <c r="Y175" s="77"/>
      <c r="Z175" s="77"/>
      <c r="AA175" s="77"/>
      <c r="AB175" s="77"/>
      <c r="AC175" s="77"/>
      <c r="AD175" s="88"/>
      <c r="AE175" s="88"/>
      <c r="AF175" s="88"/>
    </row>
    <row r="176" s="44" customFormat="1" ht="63" customHeight="1" spans="1:32">
      <c r="A176" s="55">
        <v>49</v>
      </c>
      <c r="B176" s="55" t="s">
        <v>744</v>
      </c>
      <c r="C176" s="55" t="s">
        <v>745</v>
      </c>
      <c r="D176" s="55" t="s">
        <v>350</v>
      </c>
      <c r="E176" s="59" t="s">
        <v>746</v>
      </c>
      <c r="F176" s="59" t="s">
        <v>747</v>
      </c>
      <c r="G176" s="55" t="s">
        <v>54</v>
      </c>
      <c r="H176" s="59" t="s">
        <v>40</v>
      </c>
      <c r="I176" s="30">
        <v>120</v>
      </c>
      <c r="J176" s="30">
        <v>108</v>
      </c>
      <c r="K176" s="64"/>
      <c r="L176" s="64"/>
      <c r="M176" s="64"/>
      <c r="N176" s="35">
        <v>115</v>
      </c>
      <c r="O176" s="35">
        <v>100</v>
      </c>
      <c r="P176" s="35">
        <v>85</v>
      </c>
      <c r="Q176" s="35" t="e">
        <f>#REF!*0.1</f>
        <v>#REF!</v>
      </c>
      <c r="R176" s="35" t="e">
        <f>#REF!*0.1</f>
        <v>#REF!</v>
      </c>
      <c r="S176" s="35">
        <f>AG176*0.1</f>
        <v>0</v>
      </c>
      <c r="T176" s="64" t="s">
        <v>170</v>
      </c>
      <c r="U176" s="59" t="s">
        <v>748</v>
      </c>
      <c r="V176" s="76"/>
      <c r="W176" s="83">
        <v>173</v>
      </c>
      <c r="X176" s="76"/>
      <c r="Y176" s="77"/>
      <c r="Z176" s="77"/>
      <c r="AA176" s="77"/>
      <c r="AB176" s="77"/>
      <c r="AC176" s="77"/>
      <c r="AD176" s="88"/>
      <c r="AE176" s="88"/>
      <c r="AF176" s="88"/>
    </row>
    <row r="177" s="44" customFormat="1" ht="38" customHeight="1" spans="1:32">
      <c r="A177" s="55" t="s">
        <v>55</v>
      </c>
      <c r="B177" s="55" t="s">
        <v>749</v>
      </c>
      <c r="C177" s="55" t="s">
        <v>750</v>
      </c>
      <c r="D177" s="55" t="s">
        <v>350</v>
      </c>
      <c r="E177" s="59" t="s">
        <v>40</v>
      </c>
      <c r="F177" s="59" t="s">
        <v>40</v>
      </c>
      <c r="G177" s="55" t="s">
        <v>54</v>
      </c>
      <c r="H177" s="59" t="s">
        <v>40</v>
      </c>
      <c r="I177" s="30">
        <v>36</v>
      </c>
      <c r="J177" s="30">
        <v>32</v>
      </c>
      <c r="K177" s="64"/>
      <c r="L177" s="64"/>
      <c r="M177" s="64"/>
      <c r="N177" s="35">
        <v>35</v>
      </c>
      <c r="O177" s="35">
        <v>30</v>
      </c>
      <c r="P177" s="35">
        <v>26</v>
      </c>
      <c r="Q177" s="55" t="s">
        <v>41</v>
      </c>
      <c r="R177" s="55" t="s">
        <v>40</v>
      </c>
      <c r="S177" s="74" t="s">
        <v>40</v>
      </c>
      <c r="T177" s="64"/>
      <c r="U177" s="59" t="s">
        <v>305</v>
      </c>
      <c r="V177" s="76"/>
      <c r="W177" s="83">
        <v>174</v>
      </c>
      <c r="X177" s="76"/>
      <c r="Y177" s="77"/>
      <c r="Z177" s="77"/>
      <c r="AA177" s="77"/>
      <c r="AB177" s="77"/>
      <c r="AC177" s="77"/>
      <c r="AD177" s="88"/>
      <c r="AE177" s="88"/>
      <c r="AF177" s="88"/>
    </row>
    <row r="178" s="44" customFormat="1" ht="38" customHeight="1" spans="1:32">
      <c r="A178" s="55" t="s">
        <v>55</v>
      </c>
      <c r="B178" s="55" t="s">
        <v>751</v>
      </c>
      <c r="C178" s="55" t="s">
        <v>752</v>
      </c>
      <c r="D178" s="55" t="s">
        <v>350</v>
      </c>
      <c r="E178" s="59" t="s">
        <v>40</v>
      </c>
      <c r="F178" s="59" t="s">
        <v>40</v>
      </c>
      <c r="G178" s="55" t="s">
        <v>54</v>
      </c>
      <c r="H178" s="59" t="s">
        <v>40</v>
      </c>
      <c r="I178" s="30">
        <v>600</v>
      </c>
      <c r="J178" s="30">
        <v>540</v>
      </c>
      <c r="K178" s="64">
        <v>575</v>
      </c>
      <c r="L178" s="64">
        <v>500</v>
      </c>
      <c r="M178" s="64">
        <v>425</v>
      </c>
      <c r="N178" s="35">
        <v>575</v>
      </c>
      <c r="O178" s="35">
        <v>500</v>
      </c>
      <c r="P178" s="35">
        <v>425</v>
      </c>
      <c r="Q178" s="55" t="s">
        <v>41</v>
      </c>
      <c r="R178" s="55" t="s">
        <v>40</v>
      </c>
      <c r="S178" s="74" t="s">
        <v>40</v>
      </c>
      <c r="T178" s="64" t="s">
        <v>183</v>
      </c>
      <c r="U178" s="59" t="s">
        <v>183</v>
      </c>
      <c r="V178" s="76" t="s">
        <v>753</v>
      </c>
      <c r="W178" s="83">
        <v>175</v>
      </c>
      <c r="X178" s="76">
        <v>31070200702</v>
      </c>
      <c r="Y178" s="77" t="s">
        <v>754</v>
      </c>
      <c r="Z178" s="77"/>
      <c r="AA178" s="77"/>
      <c r="AB178" s="77" t="s">
        <v>54</v>
      </c>
      <c r="AC178" s="77" t="s">
        <v>755</v>
      </c>
      <c r="AD178" s="88">
        <v>575</v>
      </c>
      <c r="AE178" s="88">
        <v>500</v>
      </c>
      <c r="AF178" s="88">
        <v>425</v>
      </c>
    </row>
    <row r="179" s="44" customFormat="1" ht="38" customHeight="1" spans="1:32">
      <c r="A179" s="55" t="s">
        <v>55</v>
      </c>
      <c r="B179" s="55" t="s">
        <v>756</v>
      </c>
      <c r="C179" s="55" t="s">
        <v>757</v>
      </c>
      <c r="D179" s="55" t="s">
        <v>350</v>
      </c>
      <c r="E179" s="59" t="s">
        <v>40</v>
      </c>
      <c r="F179" s="59" t="s">
        <v>40</v>
      </c>
      <c r="G179" s="55" t="s">
        <v>54</v>
      </c>
      <c r="H179" s="59" t="s">
        <v>40</v>
      </c>
      <c r="I179" s="30">
        <v>120</v>
      </c>
      <c r="J179" s="30">
        <v>108</v>
      </c>
      <c r="K179" s="64"/>
      <c r="L179" s="64"/>
      <c r="M179" s="64"/>
      <c r="N179" s="35">
        <v>115</v>
      </c>
      <c r="O179" s="35">
        <v>100</v>
      </c>
      <c r="P179" s="35">
        <v>85</v>
      </c>
      <c r="Q179" s="55" t="s">
        <v>41</v>
      </c>
      <c r="R179" s="55" t="s">
        <v>40</v>
      </c>
      <c r="S179" s="74" t="s">
        <v>40</v>
      </c>
      <c r="T179" s="64"/>
      <c r="U179" s="59" t="s">
        <v>105</v>
      </c>
      <c r="V179" s="76"/>
      <c r="W179" s="83">
        <v>176</v>
      </c>
      <c r="X179" s="76"/>
      <c r="Y179" s="77"/>
      <c r="Z179" s="77"/>
      <c r="AA179" s="77"/>
      <c r="AB179" s="77"/>
      <c r="AC179" s="77"/>
      <c r="AD179" s="88"/>
      <c r="AE179" s="88"/>
      <c r="AF179" s="88"/>
    </row>
    <row r="180" s="44" customFormat="1" ht="38" customHeight="1" spans="1:32">
      <c r="A180" s="55" t="s">
        <v>55</v>
      </c>
      <c r="B180" s="55" t="s">
        <v>758</v>
      </c>
      <c r="C180" s="55" t="s">
        <v>759</v>
      </c>
      <c r="D180" s="55" t="s">
        <v>350</v>
      </c>
      <c r="E180" s="59" t="s">
        <v>40</v>
      </c>
      <c r="F180" s="59" t="s">
        <v>40</v>
      </c>
      <c r="G180" s="55" t="s">
        <v>54</v>
      </c>
      <c r="H180" s="59" t="s">
        <v>40</v>
      </c>
      <c r="I180" s="30">
        <v>120</v>
      </c>
      <c r="J180" s="30">
        <v>108</v>
      </c>
      <c r="K180" s="64"/>
      <c r="L180" s="64"/>
      <c r="M180" s="64"/>
      <c r="N180" s="35">
        <v>115</v>
      </c>
      <c r="O180" s="35">
        <v>100</v>
      </c>
      <c r="P180" s="35">
        <v>85</v>
      </c>
      <c r="Q180" s="55" t="s">
        <v>41</v>
      </c>
      <c r="R180" s="55" t="s">
        <v>40</v>
      </c>
      <c r="S180" s="74" t="s">
        <v>40</v>
      </c>
      <c r="T180" s="64"/>
      <c r="U180" s="59" t="s">
        <v>105</v>
      </c>
      <c r="V180" s="76"/>
      <c r="W180" s="83">
        <v>177</v>
      </c>
      <c r="X180" s="76"/>
      <c r="Y180" s="77"/>
      <c r="Z180" s="77"/>
      <c r="AA180" s="77"/>
      <c r="AB180" s="77"/>
      <c r="AC180" s="77"/>
      <c r="AD180" s="88"/>
      <c r="AE180" s="88"/>
      <c r="AF180" s="88"/>
    </row>
    <row r="181" s="44" customFormat="1" ht="38" customHeight="1" spans="1:32">
      <c r="A181" s="55">
        <v>50</v>
      </c>
      <c r="B181" s="55" t="s">
        <v>760</v>
      </c>
      <c r="C181" s="55" t="s">
        <v>761</v>
      </c>
      <c r="D181" s="55" t="s">
        <v>350</v>
      </c>
      <c r="E181" s="59" t="s">
        <v>762</v>
      </c>
      <c r="F181" s="59" t="s">
        <v>763</v>
      </c>
      <c r="G181" s="55" t="s">
        <v>54</v>
      </c>
      <c r="H181" s="59" t="s">
        <v>40</v>
      </c>
      <c r="I181" s="30">
        <v>480</v>
      </c>
      <c r="J181" s="30">
        <v>432</v>
      </c>
      <c r="K181" s="64">
        <v>472.139461172742</v>
      </c>
      <c r="L181" s="64">
        <v>450</v>
      </c>
      <c r="M181" s="64" t="e">
        <v>#DIV/0!</v>
      </c>
      <c r="N181" s="35">
        <v>470</v>
      </c>
      <c r="O181" s="35">
        <v>430</v>
      </c>
      <c r="P181" s="35">
        <v>370</v>
      </c>
      <c r="Q181" s="55" t="s">
        <v>41</v>
      </c>
      <c r="R181" s="55" t="s">
        <v>40</v>
      </c>
      <c r="S181" s="74" t="s">
        <v>40</v>
      </c>
      <c r="T181" s="64" t="s">
        <v>42</v>
      </c>
      <c r="U181" s="59" t="s">
        <v>579</v>
      </c>
      <c r="V181" s="76" t="s">
        <v>764</v>
      </c>
      <c r="W181" s="83">
        <v>178</v>
      </c>
      <c r="X181" s="76" t="s">
        <v>765</v>
      </c>
      <c r="Y181" s="77" t="s">
        <v>766</v>
      </c>
      <c r="Z181" s="77"/>
      <c r="AA181" s="77" t="s">
        <v>767</v>
      </c>
      <c r="AB181" s="77" t="s">
        <v>54</v>
      </c>
      <c r="AC181" s="77" t="s">
        <v>157</v>
      </c>
      <c r="AD181" s="88">
        <v>517.5</v>
      </c>
      <c r="AE181" s="88">
        <v>450</v>
      </c>
      <c r="AF181" s="88">
        <v>382.5</v>
      </c>
    </row>
    <row r="182" s="44" customFormat="1" ht="38" customHeight="1" spans="1:32">
      <c r="A182" s="55"/>
      <c r="B182" s="55"/>
      <c r="C182" s="55"/>
      <c r="D182" s="55"/>
      <c r="E182" s="59"/>
      <c r="F182" s="59"/>
      <c r="G182" s="55"/>
      <c r="H182" s="59"/>
      <c r="I182" s="37"/>
      <c r="J182" s="37"/>
      <c r="K182" s="64"/>
      <c r="L182" s="64"/>
      <c r="M182" s="64"/>
      <c r="N182" s="35"/>
      <c r="O182" s="35"/>
      <c r="P182" s="35"/>
      <c r="Q182" s="55"/>
      <c r="R182" s="55"/>
      <c r="S182" s="74"/>
      <c r="T182" s="64"/>
      <c r="U182" s="59"/>
      <c r="V182" s="77" t="s">
        <v>768</v>
      </c>
      <c r="W182" s="83">
        <v>179</v>
      </c>
      <c r="X182" s="77">
        <v>330803017</v>
      </c>
      <c r="Y182" s="77" t="s">
        <v>769</v>
      </c>
      <c r="Z182" s="77"/>
      <c r="AA182" s="77" t="s">
        <v>770</v>
      </c>
      <c r="AB182" s="77" t="s">
        <v>54</v>
      </c>
      <c r="AC182" s="77" t="s">
        <v>771</v>
      </c>
      <c r="AD182" s="88">
        <v>250</v>
      </c>
      <c r="AE182" s="88">
        <v>240</v>
      </c>
      <c r="AF182" s="88">
        <v>204</v>
      </c>
    </row>
    <row r="183" s="44" customFormat="1" ht="38" customHeight="1" spans="1:32">
      <c r="A183" s="55" t="s">
        <v>55</v>
      </c>
      <c r="B183" s="55" t="s">
        <v>772</v>
      </c>
      <c r="C183" s="55" t="s">
        <v>773</v>
      </c>
      <c r="D183" s="55" t="s">
        <v>350</v>
      </c>
      <c r="E183" s="59" t="s">
        <v>40</v>
      </c>
      <c r="F183" s="59" t="s">
        <v>40</v>
      </c>
      <c r="G183" s="55" t="s">
        <v>54</v>
      </c>
      <c r="H183" s="59" t="s">
        <v>40</v>
      </c>
      <c r="I183" s="30">
        <v>144</v>
      </c>
      <c r="J183" s="30">
        <v>130</v>
      </c>
      <c r="K183" s="64"/>
      <c r="L183" s="64"/>
      <c r="M183" s="64"/>
      <c r="N183" s="35">
        <v>140</v>
      </c>
      <c r="O183" s="35">
        <v>130</v>
      </c>
      <c r="P183" s="35">
        <v>110</v>
      </c>
      <c r="Q183" s="55" t="s">
        <v>41</v>
      </c>
      <c r="R183" s="55" t="s">
        <v>40</v>
      </c>
      <c r="S183" s="74" t="s">
        <v>40</v>
      </c>
      <c r="T183" s="64"/>
      <c r="U183" s="59" t="s">
        <v>305</v>
      </c>
      <c r="V183" s="76" t="s">
        <v>774</v>
      </c>
      <c r="W183" s="83">
        <v>180</v>
      </c>
      <c r="X183" s="76">
        <v>33080301702</v>
      </c>
      <c r="Y183" s="77" t="s">
        <v>775</v>
      </c>
      <c r="Z183" s="77"/>
      <c r="AA183" s="77"/>
      <c r="AB183" s="77" t="s">
        <v>54</v>
      </c>
      <c r="AC183" s="77" t="s">
        <v>40</v>
      </c>
      <c r="AD183" s="88">
        <v>325</v>
      </c>
      <c r="AE183" s="88">
        <v>310</v>
      </c>
      <c r="AF183" s="88">
        <v>265</v>
      </c>
    </row>
    <row r="184" s="44" customFormat="1" ht="66" customHeight="1" spans="1:32">
      <c r="A184" s="97">
        <v>51</v>
      </c>
      <c r="B184" s="55" t="s">
        <v>776</v>
      </c>
      <c r="C184" s="55" t="s">
        <v>777</v>
      </c>
      <c r="D184" s="55" t="s">
        <v>350</v>
      </c>
      <c r="E184" s="59" t="s">
        <v>778</v>
      </c>
      <c r="F184" s="59" t="s">
        <v>779</v>
      </c>
      <c r="G184" s="55" t="s">
        <v>54</v>
      </c>
      <c r="H184" s="59" t="s">
        <v>780</v>
      </c>
      <c r="I184" s="30">
        <v>50</v>
      </c>
      <c r="J184" s="30">
        <v>45</v>
      </c>
      <c r="K184" s="64"/>
      <c r="L184" s="64"/>
      <c r="M184" s="64"/>
      <c r="N184" s="35">
        <v>45</v>
      </c>
      <c r="O184" s="35">
        <v>41</v>
      </c>
      <c r="P184" s="35">
        <v>35</v>
      </c>
      <c r="Q184" s="55" t="s">
        <v>41</v>
      </c>
      <c r="R184" s="55" t="s">
        <v>40</v>
      </c>
      <c r="S184" s="74" t="s">
        <v>40</v>
      </c>
      <c r="T184" s="64" t="s">
        <v>170</v>
      </c>
      <c r="U184" s="59" t="s">
        <v>404</v>
      </c>
      <c r="V184" s="76"/>
      <c r="W184" s="83">
        <v>181</v>
      </c>
      <c r="X184" s="76"/>
      <c r="Y184" s="55"/>
      <c r="Z184" s="55"/>
      <c r="AA184" s="55"/>
      <c r="AB184" s="55"/>
      <c r="AC184" s="77"/>
      <c r="AD184" s="88"/>
      <c r="AE184" s="88"/>
      <c r="AF184" s="88"/>
    </row>
    <row r="185" s="44" customFormat="1" ht="38" customHeight="1" spans="1:32">
      <c r="A185" s="55" t="s">
        <v>55</v>
      </c>
      <c r="B185" s="55" t="s">
        <v>781</v>
      </c>
      <c r="C185" s="55" t="s">
        <v>782</v>
      </c>
      <c r="D185" s="55" t="s">
        <v>350</v>
      </c>
      <c r="E185" s="59" t="s">
        <v>40</v>
      </c>
      <c r="F185" s="59" t="s">
        <v>40</v>
      </c>
      <c r="G185" s="55" t="s">
        <v>54</v>
      </c>
      <c r="H185" s="59" t="s">
        <v>40</v>
      </c>
      <c r="I185" s="30">
        <v>15</v>
      </c>
      <c r="J185" s="30">
        <v>14</v>
      </c>
      <c r="K185" s="64"/>
      <c r="L185" s="64"/>
      <c r="M185" s="64"/>
      <c r="N185" s="35">
        <v>14</v>
      </c>
      <c r="O185" s="35">
        <v>13</v>
      </c>
      <c r="P185" s="35">
        <v>11</v>
      </c>
      <c r="Q185" s="35" t="e">
        <f>Q184*0.3</f>
        <v>#VALUE!</v>
      </c>
      <c r="R185" s="35" t="e">
        <f>R184*0.3</f>
        <v>#VALUE!</v>
      </c>
      <c r="S185" s="35" t="e">
        <f>S184*0.3</f>
        <v>#VALUE!</v>
      </c>
      <c r="T185" s="64"/>
      <c r="U185" s="59" t="s">
        <v>305</v>
      </c>
      <c r="V185" s="76"/>
      <c r="W185" s="83">
        <v>182</v>
      </c>
      <c r="X185" s="76"/>
      <c r="Y185" s="77"/>
      <c r="Z185" s="77"/>
      <c r="AA185" s="77"/>
      <c r="AB185" s="77"/>
      <c r="AC185" s="77"/>
      <c r="AD185" s="88"/>
      <c r="AE185" s="88"/>
      <c r="AF185" s="88"/>
    </row>
    <row r="186" s="44" customFormat="1" ht="38" customHeight="1" spans="1:32">
      <c r="A186" s="55">
        <v>52</v>
      </c>
      <c r="B186" s="55" t="s">
        <v>783</v>
      </c>
      <c r="C186" s="96" t="s">
        <v>784</v>
      </c>
      <c r="D186" s="55" t="s">
        <v>151</v>
      </c>
      <c r="E186" s="99" t="s">
        <v>785</v>
      </c>
      <c r="F186" s="59" t="s">
        <v>786</v>
      </c>
      <c r="G186" s="96" t="s">
        <v>39</v>
      </c>
      <c r="H186" s="99" t="s">
        <v>40</v>
      </c>
      <c r="I186" s="100">
        <v>5</v>
      </c>
      <c r="J186" s="100">
        <v>5</v>
      </c>
      <c r="K186" s="63">
        <v>9.03302916043819</v>
      </c>
      <c r="L186" s="64">
        <v>5</v>
      </c>
      <c r="M186" s="64" t="e">
        <v>#DIV/0!</v>
      </c>
      <c r="N186" s="120">
        <v>5</v>
      </c>
      <c r="O186" s="120">
        <v>4.5</v>
      </c>
      <c r="P186" s="120">
        <v>4.3</v>
      </c>
      <c r="Q186" s="96" t="s">
        <v>41</v>
      </c>
      <c r="R186" s="96" t="s">
        <v>40</v>
      </c>
      <c r="S186" s="103" t="s">
        <v>40</v>
      </c>
      <c r="T186" s="64" t="s">
        <v>355</v>
      </c>
      <c r="U186" s="59" t="s">
        <v>787</v>
      </c>
      <c r="V186" s="76" t="s">
        <v>788</v>
      </c>
      <c r="W186" s="83">
        <v>183</v>
      </c>
      <c r="X186" s="76">
        <v>310702006</v>
      </c>
      <c r="Y186" s="77" t="s">
        <v>789</v>
      </c>
      <c r="Z186" s="77"/>
      <c r="AA186" s="77"/>
      <c r="AB186" s="77" t="s">
        <v>39</v>
      </c>
      <c r="AC186" s="77" t="s">
        <v>157</v>
      </c>
      <c r="AD186" s="88">
        <v>5.8</v>
      </c>
      <c r="AE186" s="88">
        <v>5</v>
      </c>
      <c r="AF186" s="88">
        <v>4.3</v>
      </c>
    </row>
    <row r="187" s="44" customFormat="1" ht="38" customHeight="1" spans="1:32">
      <c r="A187" s="55"/>
      <c r="B187" s="55"/>
      <c r="C187" s="96"/>
      <c r="D187" s="55"/>
      <c r="E187" s="99"/>
      <c r="F187" s="59"/>
      <c r="G187" s="96"/>
      <c r="H187" s="99"/>
      <c r="I187" s="101"/>
      <c r="J187" s="101"/>
      <c r="K187" s="63"/>
      <c r="L187" s="64"/>
      <c r="M187" s="64"/>
      <c r="N187" s="120"/>
      <c r="O187" s="120"/>
      <c r="P187" s="120"/>
      <c r="Q187" s="96"/>
      <c r="R187" s="96"/>
      <c r="S187" s="103"/>
      <c r="T187" s="64"/>
      <c r="U187" s="59"/>
      <c r="V187" s="104" t="s">
        <v>790</v>
      </c>
      <c r="W187" s="83">
        <v>184</v>
      </c>
      <c r="X187" s="104">
        <v>33080301701</v>
      </c>
      <c r="Y187" s="77" t="s">
        <v>791</v>
      </c>
      <c r="Z187" s="77" t="s">
        <v>792</v>
      </c>
      <c r="AA187" s="106"/>
      <c r="AB187" s="77" t="s">
        <v>39</v>
      </c>
      <c r="AC187" s="77" t="s">
        <v>792</v>
      </c>
      <c r="AD187" s="88">
        <v>12.5</v>
      </c>
      <c r="AE187" s="88">
        <v>12</v>
      </c>
      <c r="AF187" s="88">
        <v>10.2</v>
      </c>
    </row>
    <row r="188" s="44" customFormat="1" ht="47" customHeight="1" spans="1:32">
      <c r="A188" s="55">
        <v>53</v>
      </c>
      <c r="B188" s="122" t="s">
        <v>793</v>
      </c>
      <c r="C188" s="55" t="s">
        <v>794</v>
      </c>
      <c r="D188" s="55" t="s">
        <v>350</v>
      </c>
      <c r="E188" s="59" t="s">
        <v>795</v>
      </c>
      <c r="F188" s="59" t="s">
        <v>796</v>
      </c>
      <c r="G188" s="55" t="s">
        <v>39</v>
      </c>
      <c r="H188" s="59" t="s">
        <v>797</v>
      </c>
      <c r="I188" s="30">
        <v>1000</v>
      </c>
      <c r="J188" s="30">
        <v>900</v>
      </c>
      <c r="K188" s="63">
        <v>998.268156424581</v>
      </c>
      <c r="L188" s="64"/>
      <c r="M188" s="64"/>
      <c r="N188" s="35">
        <v>990</v>
      </c>
      <c r="O188" s="35">
        <v>890</v>
      </c>
      <c r="P188" s="35">
        <v>760</v>
      </c>
      <c r="Q188" s="55" t="s">
        <v>41</v>
      </c>
      <c r="R188" s="55" t="s">
        <v>40</v>
      </c>
      <c r="S188" s="74" t="s">
        <v>40</v>
      </c>
      <c r="T188" s="64" t="s">
        <v>115</v>
      </c>
      <c r="U188" s="59" t="s">
        <v>579</v>
      </c>
      <c r="V188" s="76" t="s">
        <v>798</v>
      </c>
      <c r="W188" s="83">
        <v>185</v>
      </c>
      <c r="X188" s="76">
        <v>330100017</v>
      </c>
      <c r="Y188" s="77" t="s">
        <v>799</v>
      </c>
      <c r="Z188" s="77"/>
      <c r="AA188" s="77" t="s">
        <v>800</v>
      </c>
      <c r="AB188" s="77" t="s">
        <v>801</v>
      </c>
      <c r="AC188" s="85" t="s">
        <v>802</v>
      </c>
      <c r="AD188" s="88">
        <v>1000</v>
      </c>
      <c r="AE188" s="88">
        <v>960</v>
      </c>
      <c r="AF188" s="88">
        <v>816</v>
      </c>
    </row>
    <row r="189" s="44" customFormat="1" ht="47" customHeight="1" spans="1:32">
      <c r="A189" s="55"/>
      <c r="B189" s="55"/>
      <c r="C189" s="55"/>
      <c r="D189" s="55"/>
      <c r="E189" s="59"/>
      <c r="F189" s="59"/>
      <c r="G189" s="55"/>
      <c r="H189" s="59"/>
      <c r="I189" s="37"/>
      <c r="J189" s="37"/>
      <c r="K189" s="63"/>
      <c r="L189" s="64"/>
      <c r="M189" s="64"/>
      <c r="N189" s="35"/>
      <c r="O189" s="35"/>
      <c r="P189" s="35"/>
      <c r="Q189" s="55"/>
      <c r="R189" s="55"/>
      <c r="S189" s="74"/>
      <c r="T189" s="64"/>
      <c r="U189" s="59"/>
      <c r="V189" s="76" t="s">
        <v>803</v>
      </c>
      <c r="W189" s="83">
        <v>186</v>
      </c>
      <c r="X189" s="76">
        <v>330803028</v>
      </c>
      <c r="Y189" s="77" t="s">
        <v>804</v>
      </c>
      <c r="Z189" s="77" t="s">
        <v>805</v>
      </c>
      <c r="AA189" s="77"/>
      <c r="AB189" s="77" t="s">
        <v>54</v>
      </c>
      <c r="AC189" s="77" t="s">
        <v>40</v>
      </c>
      <c r="AD189" s="88">
        <v>845</v>
      </c>
      <c r="AE189" s="88">
        <v>760</v>
      </c>
      <c r="AF189" s="88">
        <v>645</v>
      </c>
    </row>
    <row r="190" s="44" customFormat="1" ht="60" customHeight="1" spans="1:32">
      <c r="A190" s="55" t="s">
        <v>55</v>
      </c>
      <c r="B190" s="122" t="s">
        <v>793</v>
      </c>
      <c r="C190" s="55" t="s">
        <v>806</v>
      </c>
      <c r="D190" s="55" t="s">
        <v>350</v>
      </c>
      <c r="E190" s="59" t="s">
        <v>40</v>
      </c>
      <c r="F190" s="59" t="s">
        <v>40</v>
      </c>
      <c r="G190" s="55" t="s">
        <v>39</v>
      </c>
      <c r="H190" s="59" t="s">
        <v>40</v>
      </c>
      <c r="I190" s="30">
        <v>250</v>
      </c>
      <c r="J190" s="30">
        <v>225</v>
      </c>
      <c r="K190" s="63">
        <v>125.092592592593</v>
      </c>
      <c r="L190" s="64"/>
      <c r="M190" s="64"/>
      <c r="N190" s="35">
        <v>230</v>
      </c>
      <c r="O190" s="35">
        <v>205</v>
      </c>
      <c r="P190" s="35">
        <v>175</v>
      </c>
      <c r="Q190" s="55" t="s">
        <v>41</v>
      </c>
      <c r="R190" s="55" t="s">
        <v>40</v>
      </c>
      <c r="S190" s="74" t="s">
        <v>40</v>
      </c>
      <c r="T190" s="64"/>
      <c r="U190" s="59" t="s">
        <v>807</v>
      </c>
      <c r="V190" s="76" t="s">
        <v>808</v>
      </c>
      <c r="W190" s="83">
        <v>187</v>
      </c>
      <c r="X190" s="76">
        <v>33010001701</v>
      </c>
      <c r="Y190" s="77" t="s">
        <v>809</v>
      </c>
      <c r="Z190" s="77"/>
      <c r="AA190" s="77"/>
      <c r="AB190" s="77" t="s">
        <v>810</v>
      </c>
      <c r="AC190" s="77" t="s">
        <v>811</v>
      </c>
      <c r="AD190" s="88">
        <v>125</v>
      </c>
      <c r="AE190" s="88">
        <v>120</v>
      </c>
      <c r="AF190" s="88">
        <v>102</v>
      </c>
    </row>
    <row r="191" s="44" customFormat="1" ht="38" customHeight="1" spans="1:32">
      <c r="A191" s="55"/>
      <c r="B191" s="55"/>
      <c r="C191" s="55"/>
      <c r="D191" s="55"/>
      <c r="E191" s="59"/>
      <c r="F191" s="59"/>
      <c r="G191" s="55"/>
      <c r="H191" s="59"/>
      <c r="I191" s="37"/>
      <c r="J191" s="37"/>
      <c r="K191" s="63"/>
      <c r="L191" s="64"/>
      <c r="M191" s="64"/>
      <c r="N191" s="35"/>
      <c r="O191" s="35"/>
      <c r="P191" s="35"/>
      <c r="Q191" s="55"/>
      <c r="R191" s="55"/>
      <c r="S191" s="74"/>
      <c r="T191" s="64"/>
      <c r="U191" s="59"/>
      <c r="V191" s="76" t="s">
        <v>812</v>
      </c>
      <c r="W191" s="83">
        <v>188</v>
      </c>
      <c r="X191" s="76">
        <v>33010001703</v>
      </c>
      <c r="Y191" s="77" t="s">
        <v>813</v>
      </c>
      <c r="Z191" s="77"/>
      <c r="AA191" s="77"/>
      <c r="AB191" s="77" t="s">
        <v>810</v>
      </c>
      <c r="AC191" s="77" t="s">
        <v>811</v>
      </c>
      <c r="AD191" s="88">
        <v>165</v>
      </c>
      <c r="AE191" s="88">
        <v>155</v>
      </c>
      <c r="AF191" s="88">
        <v>130</v>
      </c>
    </row>
    <row r="192" s="44" customFormat="1" ht="59" customHeight="1" spans="1:32">
      <c r="A192" s="55" t="s">
        <v>55</v>
      </c>
      <c r="B192" s="55" t="s">
        <v>814</v>
      </c>
      <c r="C192" s="55" t="s">
        <v>815</v>
      </c>
      <c r="D192" s="55" t="s">
        <v>350</v>
      </c>
      <c r="E192" s="59" t="s">
        <v>40</v>
      </c>
      <c r="F192" s="59" t="s">
        <v>40</v>
      </c>
      <c r="G192" s="55" t="s">
        <v>39</v>
      </c>
      <c r="H192" s="59" t="s">
        <v>816</v>
      </c>
      <c r="I192" s="30">
        <v>150</v>
      </c>
      <c r="J192" s="30">
        <v>135</v>
      </c>
      <c r="K192" s="64"/>
      <c r="L192" s="64"/>
      <c r="M192" s="64"/>
      <c r="N192" s="35">
        <v>149</v>
      </c>
      <c r="O192" s="35">
        <v>134</v>
      </c>
      <c r="P192" s="35">
        <v>114</v>
      </c>
      <c r="Q192" s="55" t="s">
        <v>41</v>
      </c>
      <c r="R192" s="55" t="s">
        <v>40</v>
      </c>
      <c r="S192" s="74" t="s">
        <v>40</v>
      </c>
      <c r="T192" s="64"/>
      <c r="U192" s="59" t="s">
        <v>817</v>
      </c>
      <c r="V192" s="76"/>
      <c r="W192" s="83">
        <v>189</v>
      </c>
      <c r="X192" s="76"/>
      <c r="Y192" s="77"/>
      <c r="Z192" s="77"/>
      <c r="AA192" s="77"/>
      <c r="AB192" s="77"/>
      <c r="AC192" s="77"/>
      <c r="AD192" s="88"/>
      <c r="AE192" s="88"/>
      <c r="AF192" s="88"/>
    </row>
    <row r="193" s="44" customFormat="1" ht="38" customHeight="1" spans="1:32">
      <c r="A193" s="55" t="s">
        <v>55</v>
      </c>
      <c r="B193" s="55" t="s">
        <v>818</v>
      </c>
      <c r="C193" s="55" t="s">
        <v>819</v>
      </c>
      <c r="D193" s="55" t="s">
        <v>350</v>
      </c>
      <c r="E193" s="59" t="s">
        <v>40</v>
      </c>
      <c r="F193" s="59" t="s">
        <v>40</v>
      </c>
      <c r="G193" s="55" t="s">
        <v>39</v>
      </c>
      <c r="H193" s="59" t="s">
        <v>40</v>
      </c>
      <c r="I193" s="30">
        <v>300</v>
      </c>
      <c r="J193" s="30">
        <v>270</v>
      </c>
      <c r="K193" s="64">
        <v>300</v>
      </c>
      <c r="L193" s="64"/>
      <c r="M193" s="64"/>
      <c r="N193" s="35">
        <v>295</v>
      </c>
      <c r="O193" s="35">
        <v>265</v>
      </c>
      <c r="P193" s="35">
        <v>230</v>
      </c>
      <c r="Q193" s="55" t="s">
        <v>41</v>
      </c>
      <c r="R193" s="55" t="s">
        <v>40</v>
      </c>
      <c r="S193" s="74" t="s">
        <v>40</v>
      </c>
      <c r="T193" s="64"/>
      <c r="U193" s="59" t="s">
        <v>305</v>
      </c>
      <c r="V193" s="76" t="s">
        <v>820</v>
      </c>
      <c r="W193" s="83">
        <v>190</v>
      </c>
      <c r="X193" s="76">
        <v>33010001702</v>
      </c>
      <c r="Y193" s="77" t="s">
        <v>821</v>
      </c>
      <c r="Z193" s="77"/>
      <c r="AA193" s="77"/>
      <c r="AB193" s="77" t="s">
        <v>801</v>
      </c>
      <c r="AC193" s="77" t="s">
        <v>40</v>
      </c>
      <c r="AD193" s="88">
        <v>1300</v>
      </c>
      <c r="AE193" s="88">
        <v>1250</v>
      </c>
      <c r="AF193" s="88">
        <v>1065</v>
      </c>
    </row>
    <row r="194" s="44" customFormat="1" ht="38" customHeight="1" spans="1:32">
      <c r="A194" s="55"/>
      <c r="B194" s="55"/>
      <c r="C194" s="55"/>
      <c r="D194" s="55"/>
      <c r="E194" s="59"/>
      <c r="F194" s="59"/>
      <c r="G194" s="55"/>
      <c r="H194" s="59"/>
      <c r="I194" s="37"/>
      <c r="J194" s="37"/>
      <c r="K194" s="64"/>
      <c r="L194" s="64"/>
      <c r="M194" s="64"/>
      <c r="N194" s="35"/>
      <c r="O194" s="35"/>
      <c r="P194" s="35"/>
      <c r="Q194" s="55"/>
      <c r="R194" s="55"/>
      <c r="S194" s="74"/>
      <c r="T194" s="64"/>
      <c r="U194" s="59"/>
      <c r="V194" s="76" t="s">
        <v>822</v>
      </c>
      <c r="W194" s="83">
        <v>191</v>
      </c>
      <c r="X194" s="76">
        <v>33080302801</v>
      </c>
      <c r="Y194" s="77" t="s">
        <v>823</v>
      </c>
      <c r="Z194" s="77"/>
      <c r="AA194" s="77"/>
      <c r="AB194" s="77" t="s">
        <v>54</v>
      </c>
      <c r="AC194" s="77" t="s">
        <v>40</v>
      </c>
      <c r="AD194" s="88">
        <v>1100</v>
      </c>
      <c r="AE194" s="88">
        <v>990</v>
      </c>
      <c r="AF194" s="88">
        <v>840</v>
      </c>
    </row>
    <row r="195" s="44" customFormat="1" ht="84" customHeight="1" spans="1:32">
      <c r="A195" s="55">
        <v>54</v>
      </c>
      <c r="B195" s="55" t="s">
        <v>824</v>
      </c>
      <c r="C195" s="55" t="s">
        <v>825</v>
      </c>
      <c r="D195" s="55" t="s">
        <v>151</v>
      </c>
      <c r="E195" s="59" t="s">
        <v>826</v>
      </c>
      <c r="F195" s="59" t="s">
        <v>827</v>
      </c>
      <c r="G195" s="55" t="s">
        <v>54</v>
      </c>
      <c r="H195" s="59" t="s">
        <v>828</v>
      </c>
      <c r="I195" s="30">
        <v>2400</v>
      </c>
      <c r="J195" s="30">
        <v>2160</v>
      </c>
      <c r="K195" s="64">
        <v>2280</v>
      </c>
      <c r="L195" s="64">
        <v>2055</v>
      </c>
      <c r="M195" s="64">
        <v>1745</v>
      </c>
      <c r="N195" s="35">
        <v>2280</v>
      </c>
      <c r="O195" s="35">
        <v>2055</v>
      </c>
      <c r="P195" s="35">
        <v>1745</v>
      </c>
      <c r="Q195" s="55" t="s">
        <v>41</v>
      </c>
      <c r="R195" s="55" t="s">
        <v>40</v>
      </c>
      <c r="S195" s="74">
        <v>0.2</v>
      </c>
      <c r="T195" s="64" t="s">
        <v>183</v>
      </c>
      <c r="U195" s="59" t="s">
        <v>829</v>
      </c>
      <c r="V195" s="76" t="s">
        <v>830</v>
      </c>
      <c r="W195" s="83">
        <v>192</v>
      </c>
      <c r="X195" s="76">
        <v>33080302502</v>
      </c>
      <c r="Y195" s="77" t="s">
        <v>831</v>
      </c>
      <c r="Z195" s="77" t="s">
        <v>832</v>
      </c>
      <c r="AA195" s="77" t="s">
        <v>833</v>
      </c>
      <c r="AB195" s="77" t="s">
        <v>54</v>
      </c>
      <c r="AC195" s="77" t="s">
        <v>40</v>
      </c>
      <c r="AD195" s="88">
        <v>3800</v>
      </c>
      <c r="AE195" s="88">
        <v>3420</v>
      </c>
      <c r="AF195" s="88">
        <v>2910</v>
      </c>
    </row>
    <row r="196" s="44" customFormat="1" ht="42" customHeight="1" spans="1:32">
      <c r="A196" s="55" t="s">
        <v>55</v>
      </c>
      <c r="B196" s="55" t="s">
        <v>834</v>
      </c>
      <c r="C196" s="55" t="s">
        <v>835</v>
      </c>
      <c r="D196" s="55" t="s">
        <v>151</v>
      </c>
      <c r="E196" s="59" t="s">
        <v>40</v>
      </c>
      <c r="F196" s="59" t="s">
        <v>40</v>
      </c>
      <c r="G196" s="55" t="s">
        <v>54</v>
      </c>
      <c r="H196" s="59" t="s">
        <v>40</v>
      </c>
      <c r="I196" s="30">
        <v>720</v>
      </c>
      <c r="J196" s="30">
        <v>648</v>
      </c>
      <c r="K196" s="64"/>
      <c r="L196" s="64"/>
      <c r="M196" s="64"/>
      <c r="N196" s="35">
        <v>685</v>
      </c>
      <c r="O196" s="35">
        <v>615</v>
      </c>
      <c r="P196" s="35">
        <v>525</v>
      </c>
      <c r="Q196" s="55" t="s">
        <v>41</v>
      </c>
      <c r="R196" s="55" t="s">
        <v>40</v>
      </c>
      <c r="S196" s="74">
        <v>0.2</v>
      </c>
      <c r="T196" s="64"/>
      <c r="U196" s="59" t="s">
        <v>305</v>
      </c>
      <c r="V196" s="76" t="s">
        <v>836</v>
      </c>
      <c r="W196" s="83">
        <v>193</v>
      </c>
      <c r="X196" s="76">
        <v>33080302503</v>
      </c>
      <c r="Y196" s="77" t="s">
        <v>837</v>
      </c>
      <c r="Z196" s="77"/>
      <c r="AA196" s="77" t="s">
        <v>833</v>
      </c>
      <c r="AB196" s="77" t="s">
        <v>54</v>
      </c>
      <c r="AC196" s="77" t="s">
        <v>40</v>
      </c>
      <c r="AD196" s="88">
        <v>4940</v>
      </c>
      <c r="AE196" s="88">
        <v>4445</v>
      </c>
      <c r="AF196" s="88">
        <v>3785</v>
      </c>
    </row>
    <row r="197" s="44" customFormat="1" ht="42" customHeight="1" spans="1:32">
      <c r="A197" s="55" t="s">
        <v>55</v>
      </c>
      <c r="B197" s="55" t="s">
        <v>838</v>
      </c>
      <c r="C197" s="55" t="s">
        <v>839</v>
      </c>
      <c r="D197" s="55" t="s">
        <v>151</v>
      </c>
      <c r="E197" s="59" t="s">
        <v>40</v>
      </c>
      <c r="F197" s="59" t="s">
        <v>40</v>
      </c>
      <c r="G197" s="55" t="s">
        <v>54</v>
      </c>
      <c r="H197" s="59" t="s">
        <v>828</v>
      </c>
      <c r="I197" s="30">
        <v>2400</v>
      </c>
      <c r="J197" s="30">
        <v>2160</v>
      </c>
      <c r="K197" s="64"/>
      <c r="L197" s="64"/>
      <c r="M197" s="64"/>
      <c r="N197" s="35">
        <v>2280</v>
      </c>
      <c r="O197" s="35">
        <v>2055</v>
      </c>
      <c r="P197" s="35">
        <v>1745</v>
      </c>
      <c r="Q197" s="55" t="s">
        <v>41</v>
      </c>
      <c r="R197" s="55" t="s">
        <v>40</v>
      </c>
      <c r="S197" s="74">
        <v>0.2</v>
      </c>
      <c r="T197" s="64"/>
      <c r="U197" s="59" t="s">
        <v>840</v>
      </c>
      <c r="V197" s="76"/>
      <c r="W197" s="83">
        <v>194</v>
      </c>
      <c r="X197" s="76"/>
      <c r="Y197" s="55"/>
      <c r="Z197" s="55"/>
      <c r="AA197" s="55"/>
      <c r="AB197" s="55"/>
      <c r="AC197" s="77"/>
      <c r="AD197" s="88"/>
      <c r="AE197" s="88"/>
      <c r="AF197" s="88"/>
    </row>
    <row r="198" s="44" customFormat="1" ht="75" customHeight="1" spans="1:32">
      <c r="A198" s="55">
        <v>55</v>
      </c>
      <c r="B198" s="55" t="s">
        <v>841</v>
      </c>
      <c r="C198" s="55" t="s">
        <v>842</v>
      </c>
      <c r="D198" s="55" t="s">
        <v>151</v>
      </c>
      <c r="E198" s="59" t="s">
        <v>843</v>
      </c>
      <c r="F198" s="59" t="s">
        <v>844</v>
      </c>
      <c r="G198" s="55" t="s">
        <v>54</v>
      </c>
      <c r="H198" s="59" t="s">
        <v>828</v>
      </c>
      <c r="I198" s="30">
        <v>1600</v>
      </c>
      <c r="J198" s="30">
        <v>1440</v>
      </c>
      <c r="K198" s="64">
        <v>1520</v>
      </c>
      <c r="L198" s="64">
        <v>1365</v>
      </c>
      <c r="M198" s="64">
        <v>1165</v>
      </c>
      <c r="N198" s="35">
        <v>1520</v>
      </c>
      <c r="O198" s="35">
        <v>1365</v>
      </c>
      <c r="P198" s="35">
        <v>1165</v>
      </c>
      <c r="Q198" s="55" t="s">
        <v>41</v>
      </c>
      <c r="R198" s="55" t="s">
        <v>40</v>
      </c>
      <c r="S198" s="74">
        <v>0.2</v>
      </c>
      <c r="T198" s="64" t="s">
        <v>183</v>
      </c>
      <c r="U198" s="59" t="s">
        <v>845</v>
      </c>
      <c r="V198" s="76" t="s">
        <v>830</v>
      </c>
      <c r="W198" s="83">
        <v>195</v>
      </c>
      <c r="X198" s="76">
        <v>33080302502</v>
      </c>
      <c r="Y198" s="77" t="s">
        <v>831</v>
      </c>
      <c r="Z198" s="77" t="s">
        <v>832</v>
      </c>
      <c r="AA198" s="77" t="s">
        <v>833</v>
      </c>
      <c r="AB198" s="77" t="s">
        <v>54</v>
      </c>
      <c r="AC198" s="77" t="s">
        <v>40</v>
      </c>
      <c r="AD198" s="88">
        <v>3800</v>
      </c>
      <c r="AE198" s="88">
        <v>3420</v>
      </c>
      <c r="AF198" s="88">
        <v>2910</v>
      </c>
    </row>
    <row r="199" s="44" customFormat="1" ht="38" customHeight="1" spans="1:32">
      <c r="A199" s="55" t="s">
        <v>55</v>
      </c>
      <c r="B199" s="55" t="s">
        <v>846</v>
      </c>
      <c r="C199" s="55" t="s">
        <v>847</v>
      </c>
      <c r="D199" s="55" t="s">
        <v>151</v>
      </c>
      <c r="E199" s="59" t="s">
        <v>40</v>
      </c>
      <c r="F199" s="59" t="s">
        <v>40</v>
      </c>
      <c r="G199" s="55" t="s">
        <v>54</v>
      </c>
      <c r="H199" s="59" t="s">
        <v>40</v>
      </c>
      <c r="I199" s="30">
        <v>480</v>
      </c>
      <c r="J199" s="30">
        <v>432</v>
      </c>
      <c r="K199" s="64"/>
      <c r="L199" s="64"/>
      <c r="M199" s="64"/>
      <c r="N199" s="35">
        <v>455</v>
      </c>
      <c r="O199" s="35">
        <v>410</v>
      </c>
      <c r="P199" s="35">
        <v>350</v>
      </c>
      <c r="Q199" s="55" t="s">
        <v>41</v>
      </c>
      <c r="R199" s="55" t="s">
        <v>40</v>
      </c>
      <c r="S199" s="74">
        <v>0.2</v>
      </c>
      <c r="T199" s="64"/>
      <c r="U199" s="59" t="s">
        <v>305</v>
      </c>
      <c r="V199" s="76"/>
      <c r="W199" s="83">
        <v>196</v>
      </c>
      <c r="X199" s="76"/>
      <c r="Y199" s="77"/>
      <c r="Z199" s="77"/>
      <c r="AA199" s="77"/>
      <c r="AB199" s="77"/>
      <c r="AC199" s="77"/>
      <c r="AD199" s="88"/>
      <c r="AE199" s="88"/>
      <c r="AF199" s="88"/>
    </row>
    <row r="200" s="44" customFormat="1" ht="57" customHeight="1" spans="1:32">
      <c r="A200" s="55" t="s">
        <v>55</v>
      </c>
      <c r="B200" s="55" t="s">
        <v>848</v>
      </c>
      <c r="C200" s="55" t="s">
        <v>849</v>
      </c>
      <c r="D200" s="55" t="s">
        <v>151</v>
      </c>
      <c r="E200" s="59" t="s">
        <v>40</v>
      </c>
      <c r="F200" s="59" t="s">
        <v>40</v>
      </c>
      <c r="G200" s="55" t="s">
        <v>54</v>
      </c>
      <c r="H200" s="59" t="s">
        <v>828</v>
      </c>
      <c r="I200" s="30">
        <v>1600</v>
      </c>
      <c r="J200" s="30">
        <v>1440</v>
      </c>
      <c r="K200" s="64"/>
      <c r="L200" s="64"/>
      <c r="M200" s="64"/>
      <c r="N200" s="35">
        <v>1520</v>
      </c>
      <c r="O200" s="35">
        <v>1365</v>
      </c>
      <c r="P200" s="35">
        <v>1165</v>
      </c>
      <c r="Q200" s="55" t="s">
        <v>41</v>
      </c>
      <c r="R200" s="55" t="s">
        <v>40</v>
      </c>
      <c r="S200" s="74">
        <v>0.2</v>
      </c>
      <c r="T200" s="64"/>
      <c r="U200" s="59" t="s">
        <v>105</v>
      </c>
      <c r="V200" s="76"/>
      <c r="W200" s="83">
        <v>197</v>
      </c>
      <c r="X200" s="76"/>
      <c r="Y200" s="77"/>
      <c r="Z200" s="77"/>
      <c r="AA200" s="77"/>
      <c r="AB200" s="77"/>
      <c r="AC200" s="77"/>
      <c r="AD200" s="88"/>
      <c r="AE200" s="88"/>
      <c r="AF200" s="88"/>
    </row>
    <row r="201" s="44" customFormat="1" ht="38" customHeight="1" spans="1:32">
      <c r="A201" s="55">
        <v>56</v>
      </c>
      <c r="B201" s="55" t="s">
        <v>850</v>
      </c>
      <c r="C201" s="55" t="s">
        <v>851</v>
      </c>
      <c r="D201" s="55" t="s">
        <v>36</v>
      </c>
      <c r="E201" s="59" t="s">
        <v>852</v>
      </c>
      <c r="F201" s="59" t="s">
        <v>853</v>
      </c>
      <c r="G201" s="55" t="s">
        <v>39</v>
      </c>
      <c r="H201" s="59" t="s">
        <v>828</v>
      </c>
      <c r="I201" s="30">
        <v>100</v>
      </c>
      <c r="J201" s="30">
        <v>90</v>
      </c>
      <c r="K201" s="64">
        <v>95</v>
      </c>
      <c r="L201" s="64">
        <v>90</v>
      </c>
      <c r="M201" s="64">
        <v>75</v>
      </c>
      <c r="N201" s="35">
        <v>95</v>
      </c>
      <c r="O201" s="35">
        <v>90</v>
      </c>
      <c r="P201" s="35">
        <v>75</v>
      </c>
      <c r="Q201" s="55" t="s">
        <v>41</v>
      </c>
      <c r="R201" s="55" t="s">
        <v>40</v>
      </c>
      <c r="S201" s="74">
        <v>0.2</v>
      </c>
      <c r="T201" s="64" t="s">
        <v>183</v>
      </c>
      <c r="U201" s="59" t="s">
        <v>183</v>
      </c>
      <c r="V201" s="76" t="s">
        <v>854</v>
      </c>
      <c r="W201" s="83">
        <v>198</v>
      </c>
      <c r="X201" s="76">
        <v>330803025</v>
      </c>
      <c r="Y201" s="77" t="s">
        <v>855</v>
      </c>
      <c r="Z201" s="77" t="s">
        <v>856</v>
      </c>
      <c r="AA201" s="77" t="s">
        <v>833</v>
      </c>
      <c r="AB201" s="77" t="s">
        <v>39</v>
      </c>
      <c r="AC201" s="77" t="s">
        <v>857</v>
      </c>
      <c r="AD201" s="88">
        <v>95</v>
      </c>
      <c r="AE201" s="88">
        <v>90</v>
      </c>
      <c r="AF201" s="88">
        <v>75</v>
      </c>
    </row>
    <row r="202" s="44" customFormat="1" ht="38" customHeight="1" spans="1:32">
      <c r="A202" s="55"/>
      <c r="B202" s="55"/>
      <c r="C202" s="55"/>
      <c r="D202" s="55"/>
      <c r="E202" s="59"/>
      <c r="F202" s="59"/>
      <c r="G202" s="55"/>
      <c r="H202" s="59"/>
      <c r="I202" s="37"/>
      <c r="J202" s="37"/>
      <c r="K202" s="64"/>
      <c r="L202" s="64"/>
      <c r="M202" s="64"/>
      <c r="N202" s="35"/>
      <c r="O202" s="35"/>
      <c r="P202" s="35"/>
      <c r="Q202" s="55"/>
      <c r="R202" s="55"/>
      <c r="S202" s="74"/>
      <c r="T202" s="64"/>
      <c r="U202" s="59"/>
      <c r="V202" s="76" t="s">
        <v>858</v>
      </c>
      <c r="W202" s="83">
        <v>199</v>
      </c>
      <c r="X202" s="76">
        <v>33080302501</v>
      </c>
      <c r="Y202" s="77" t="s">
        <v>859</v>
      </c>
      <c r="Z202" s="77"/>
      <c r="AA202" s="77"/>
      <c r="AB202" s="77" t="s">
        <v>39</v>
      </c>
      <c r="AC202" s="77" t="s">
        <v>40</v>
      </c>
      <c r="AD202" s="88">
        <v>125</v>
      </c>
      <c r="AE202" s="88">
        <v>115</v>
      </c>
      <c r="AF202" s="88">
        <v>98</v>
      </c>
    </row>
    <row r="203" s="44" customFormat="1" ht="38" customHeight="1" spans="1:32">
      <c r="A203" s="55" t="s">
        <v>55</v>
      </c>
      <c r="B203" s="55" t="s">
        <v>860</v>
      </c>
      <c r="C203" s="55" t="s">
        <v>861</v>
      </c>
      <c r="D203" s="55" t="s">
        <v>36</v>
      </c>
      <c r="E203" s="59" t="s">
        <v>40</v>
      </c>
      <c r="F203" s="59" t="s">
        <v>40</v>
      </c>
      <c r="G203" s="55" t="s">
        <v>39</v>
      </c>
      <c r="H203" s="59" t="s">
        <v>828</v>
      </c>
      <c r="I203" s="30">
        <v>100</v>
      </c>
      <c r="J203" s="30">
        <v>90</v>
      </c>
      <c r="K203" s="64">
        <v>50</v>
      </c>
      <c r="L203" s="64">
        <v>45</v>
      </c>
      <c r="M203" s="64">
        <v>40</v>
      </c>
      <c r="N203" s="68">
        <v>95</v>
      </c>
      <c r="O203" s="68">
        <v>90</v>
      </c>
      <c r="P203" s="68">
        <v>75</v>
      </c>
      <c r="Q203" s="55" t="s">
        <v>41</v>
      </c>
      <c r="R203" s="55" t="s">
        <v>40</v>
      </c>
      <c r="S203" s="74">
        <v>0.2</v>
      </c>
      <c r="T203" s="64"/>
      <c r="U203" s="59" t="s">
        <v>105</v>
      </c>
      <c r="V203" s="76" t="s">
        <v>862</v>
      </c>
      <c r="W203" s="83">
        <v>200</v>
      </c>
      <c r="X203" s="76">
        <v>330803026</v>
      </c>
      <c r="Y203" s="77" t="s">
        <v>863</v>
      </c>
      <c r="Z203" s="77"/>
      <c r="AA203" s="77"/>
      <c r="AB203" s="77" t="s">
        <v>39</v>
      </c>
      <c r="AC203" s="77" t="s">
        <v>40</v>
      </c>
      <c r="AD203" s="88">
        <v>50</v>
      </c>
      <c r="AE203" s="88">
        <v>45</v>
      </c>
      <c r="AF203" s="88">
        <v>40</v>
      </c>
    </row>
    <row r="204" s="44" customFormat="1" ht="38" customHeight="1" spans="1:32">
      <c r="A204" s="55"/>
      <c r="B204" s="55"/>
      <c r="C204" s="55"/>
      <c r="D204" s="55"/>
      <c r="E204" s="59"/>
      <c r="F204" s="59"/>
      <c r="G204" s="55"/>
      <c r="H204" s="59"/>
      <c r="I204" s="37"/>
      <c r="J204" s="37"/>
      <c r="K204" s="64"/>
      <c r="L204" s="64"/>
      <c r="M204" s="64"/>
      <c r="N204" s="68"/>
      <c r="O204" s="68"/>
      <c r="P204" s="68"/>
      <c r="Q204" s="55"/>
      <c r="R204" s="55"/>
      <c r="S204" s="74"/>
      <c r="T204" s="64"/>
      <c r="U204" s="59"/>
      <c r="V204" s="76" t="s">
        <v>864</v>
      </c>
      <c r="W204" s="83">
        <v>201</v>
      </c>
      <c r="X204" s="76">
        <v>33080302601</v>
      </c>
      <c r="Y204" s="77" t="s">
        <v>865</v>
      </c>
      <c r="Z204" s="77"/>
      <c r="AA204" s="77"/>
      <c r="AB204" s="77" t="s">
        <v>39</v>
      </c>
      <c r="AC204" s="77" t="s">
        <v>40</v>
      </c>
      <c r="AD204" s="88">
        <v>65</v>
      </c>
      <c r="AE204" s="88">
        <v>59</v>
      </c>
      <c r="AF204" s="88">
        <v>50</v>
      </c>
    </row>
    <row r="205" s="44" customFormat="1" ht="38" customHeight="1" spans="1:32">
      <c r="A205" s="55">
        <v>57</v>
      </c>
      <c r="B205" s="55" t="s">
        <v>866</v>
      </c>
      <c r="C205" s="55" t="s">
        <v>867</v>
      </c>
      <c r="D205" s="55" t="s">
        <v>151</v>
      </c>
      <c r="E205" s="59" t="s">
        <v>868</v>
      </c>
      <c r="F205" s="59" t="s">
        <v>869</v>
      </c>
      <c r="G205" s="55" t="s">
        <v>54</v>
      </c>
      <c r="H205" s="59" t="s">
        <v>828</v>
      </c>
      <c r="I205" s="30">
        <v>1100</v>
      </c>
      <c r="J205" s="30">
        <v>990</v>
      </c>
      <c r="K205" s="64">
        <v>1045</v>
      </c>
      <c r="L205" s="64">
        <v>940</v>
      </c>
      <c r="M205" s="64">
        <v>800</v>
      </c>
      <c r="N205" s="35">
        <v>1045</v>
      </c>
      <c r="O205" s="35">
        <v>940</v>
      </c>
      <c r="P205" s="35">
        <v>800</v>
      </c>
      <c r="Q205" s="55" t="s">
        <v>41</v>
      </c>
      <c r="R205" s="55" t="s">
        <v>40</v>
      </c>
      <c r="S205" s="74">
        <v>0.2</v>
      </c>
      <c r="T205" s="64" t="s">
        <v>183</v>
      </c>
      <c r="U205" s="59" t="s">
        <v>183</v>
      </c>
      <c r="V205" s="76" t="s">
        <v>870</v>
      </c>
      <c r="W205" s="83">
        <v>202</v>
      </c>
      <c r="X205" s="76">
        <v>33080302504</v>
      </c>
      <c r="Y205" s="77" t="s">
        <v>871</v>
      </c>
      <c r="Z205" s="77"/>
      <c r="AA205" s="77" t="s">
        <v>872</v>
      </c>
      <c r="AB205" s="77" t="s">
        <v>54</v>
      </c>
      <c r="AC205" s="77" t="s">
        <v>40</v>
      </c>
      <c r="AD205" s="88">
        <v>1045</v>
      </c>
      <c r="AE205" s="88">
        <v>940</v>
      </c>
      <c r="AF205" s="88">
        <v>800</v>
      </c>
    </row>
    <row r="206" s="44" customFormat="1" ht="38" customHeight="1" spans="1:32">
      <c r="A206" s="55"/>
      <c r="B206" s="55"/>
      <c r="C206" s="55"/>
      <c r="D206" s="55"/>
      <c r="E206" s="59"/>
      <c r="F206" s="59"/>
      <c r="G206" s="55"/>
      <c r="H206" s="59"/>
      <c r="I206" s="37"/>
      <c r="J206" s="37"/>
      <c r="K206" s="64"/>
      <c r="L206" s="64"/>
      <c r="M206" s="64"/>
      <c r="N206" s="35"/>
      <c r="O206" s="35"/>
      <c r="P206" s="35"/>
      <c r="Q206" s="55"/>
      <c r="R206" s="55"/>
      <c r="S206" s="74"/>
      <c r="T206" s="64"/>
      <c r="U206" s="59"/>
      <c r="V206" s="76" t="s">
        <v>873</v>
      </c>
      <c r="W206" s="83">
        <v>203</v>
      </c>
      <c r="X206" s="76">
        <v>33080302506</v>
      </c>
      <c r="Y206" s="77" t="s">
        <v>874</v>
      </c>
      <c r="Z206" s="77"/>
      <c r="AA206" s="77" t="s">
        <v>875</v>
      </c>
      <c r="AB206" s="77" t="s">
        <v>54</v>
      </c>
      <c r="AC206" s="77" t="s">
        <v>40</v>
      </c>
      <c r="AD206" s="88">
        <v>1045</v>
      </c>
      <c r="AE206" s="88">
        <v>940</v>
      </c>
      <c r="AF206" s="88">
        <v>800</v>
      </c>
    </row>
    <row r="207" s="44" customFormat="1" ht="38" customHeight="1" spans="1:32">
      <c r="A207" s="55" t="s">
        <v>55</v>
      </c>
      <c r="B207" s="55" t="s">
        <v>876</v>
      </c>
      <c r="C207" s="55" t="s">
        <v>877</v>
      </c>
      <c r="D207" s="55" t="s">
        <v>151</v>
      </c>
      <c r="E207" s="59" t="s">
        <v>40</v>
      </c>
      <c r="F207" s="59" t="s">
        <v>40</v>
      </c>
      <c r="G207" s="55" t="s">
        <v>54</v>
      </c>
      <c r="H207" s="59" t="s">
        <v>40</v>
      </c>
      <c r="I207" s="30">
        <v>330</v>
      </c>
      <c r="J207" s="30">
        <v>297</v>
      </c>
      <c r="K207" s="64"/>
      <c r="L207" s="64"/>
      <c r="M207" s="64"/>
      <c r="N207" s="35">
        <v>315</v>
      </c>
      <c r="O207" s="35">
        <v>280</v>
      </c>
      <c r="P207" s="35">
        <v>240</v>
      </c>
      <c r="Q207" s="55" t="s">
        <v>41</v>
      </c>
      <c r="R207" s="55" t="s">
        <v>40</v>
      </c>
      <c r="S207" s="74">
        <v>0.2</v>
      </c>
      <c r="T207" s="64"/>
      <c r="U207" s="59" t="s">
        <v>305</v>
      </c>
      <c r="V207" s="76" t="s">
        <v>878</v>
      </c>
      <c r="W207" s="83">
        <v>204</v>
      </c>
      <c r="X207" s="76">
        <v>33080302505</v>
      </c>
      <c r="Y207" s="77" t="s">
        <v>879</v>
      </c>
      <c r="Z207" s="77"/>
      <c r="AA207" s="77" t="s">
        <v>872</v>
      </c>
      <c r="AB207" s="77" t="s">
        <v>54</v>
      </c>
      <c r="AC207" s="77" t="s">
        <v>40</v>
      </c>
      <c r="AD207" s="88">
        <v>1360</v>
      </c>
      <c r="AE207" s="88">
        <v>1220</v>
      </c>
      <c r="AF207" s="88">
        <v>1040</v>
      </c>
    </row>
    <row r="208" s="44" customFormat="1" ht="38" customHeight="1" spans="1:32">
      <c r="A208" s="55"/>
      <c r="B208" s="55"/>
      <c r="C208" s="55"/>
      <c r="D208" s="55"/>
      <c r="E208" s="59"/>
      <c r="F208" s="59"/>
      <c r="G208" s="55"/>
      <c r="H208" s="59"/>
      <c r="I208" s="37"/>
      <c r="J208" s="37"/>
      <c r="K208" s="64"/>
      <c r="L208" s="64"/>
      <c r="M208" s="64"/>
      <c r="N208" s="35"/>
      <c r="O208" s="35"/>
      <c r="P208" s="35"/>
      <c r="Q208" s="55"/>
      <c r="R208" s="55"/>
      <c r="S208" s="74"/>
      <c r="T208" s="64"/>
      <c r="U208" s="59"/>
      <c r="V208" s="76" t="s">
        <v>880</v>
      </c>
      <c r="W208" s="83">
        <v>205</v>
      </c>
      <c r="X208" s="76">
        <v>33080302507</v>
      </c>
      <c r="Y208" s="77" t="s">
        <v>881</v>
      </c>
      <c r="Z208" s="77"/>
      <c r="AA208" s="77" t="s">
        <v>875</v>
      </c>
      <c r="AB208" s="77" t="s">
        <v>54</v>
      </c>
      <c r="AC208" s="77" t="s">
        <v>40</v>
      </c>
      <c r="AD208" s="88">
        <v>1360</v>
      </c>
      <c r="AE208" s="88">
        <v>1220</v>
      </c>
      <c r="AF208" s="88">
        <v>1040</v>
      </c>
    </row>
    <row r="209" s="44" customFormat="1" ht="46" customHeight="1" spans="1:32">
      <c r="A209" s="55" t="s">
        <v>55</v>
      </c>
      <c r="B209" s="55" t="s">
        <v>882</v>
      </c>
      <c r="C209" s="55" t="s">
        <v>883</v>
      </c>
      <c r="D209" s="55" t="s">
        <v>151</v>
      </c>
      <c r="E209" s="59" t="s">
        <v>40</v>
      </c>
      <c r="F209" s="59" t="s">
        <v>40</v>
      </c>
      <c r="G209" s="55" t="s">
        <v>54</v>
      </c>
      <c r="H209" s="59" t="s">
        <v>828</v>
      </c>
      <c r="I209" s="30">
        <v>1100</v>
      </c>
      <c r="J209" s="30">
        <v>990</v>
      </c>
      <c r="K209" s="64"/>
      <c r="L209" s="64"/>
      <c r="M209" s="64"/>
      <c r="N209" s="35">
        <v>1045</v>
      </c>
      <c r="O209" s="35">
        <v>940</v>
      </c>
      <c r="P209" s="35">
        <v>800</v>
      </c>
      <c r="Q209" s="55" t="s">
        <v>41</v>
      </c>
      <c r="R209" s="55" t="s">
        <v>40</v>
      </c>
      <c r="S209" s="74">
        <v>0.2</v>
      </c>
      <c r="T209" s="64"/>
      <c r="U209" s="59" t="s">
        <v>105</v>
      </c>
      <c r="V209" s="76"/>
      <c r="W209" s="83">
        <v>206</v>
      </c>
      <c r="X209" s="76"/>
      <c r="Y209" s="55"/>
      <c r="Z209" s="55"/>
      <c r="AA209" s="55"/>
      <c r="AB209" s="55"/>
      <c r="AC209" s="77"/>
      <c r="AD209" s="88"/>
      <c r="AE209" s="88"/>
      <c r="AF209" s="88"/>
    </row>
    <row r="210" s="44" customFormat="1" ht="38" customHeight="1" spans="1:32">
      <c r="A210" s="55">
        <v>58</v>
      </c>
      <c r="B210" s="122" t="s">
        <v>884</v>
      </c>
      <c r="C210" s="55" t="s">
        <v>885</v>
      </c>
      <c r="D210" s="55" t="s">
        <v>350</v>
      </c>
      <c r="E210" s="59" t="s">
        <v>886</v>
      </c>
      <c r="F210" s="59" t="s">
        <v>887</v>
      </c>
      <c r="G210" s="55" t="s">
        <v>54</v>
      </c>
      <c r="H210" s="59" t="s">
        <v>40</v>
      </c>
      <c r="I210" s="30">
        <v>7000</v>
      </c>
      <c r="J210" s="30">
        <v>6300</v>
      </c>
      <c r="K210" s="64"/>
      <c r="L210" s="64"/>
      <c r="M210" s="64"/>
      <c r="N210" s="35">
        <v>6300</v>
      </c>
      <c r="O210" s="35">
        <v>5700</v>
      </c>
      <c r="P210" s="35">
        <v>4850</v>
      </c>
      <c r="Q210" s="55" t="s">
        <v>41</v>
      </c>
      <c r="R210" s="55" t="s">
        <v>40</v>
      </c>
      <c r="S210" s="74" t="s">
        <v>40</v>
      </c>
      <c r="T210" s="64" t="s">
        <v>698</v>
      </c>
      <c r="U210" s="59" t="s">
        <v>888</v>
      </c>
      <c r="V210" s="76" t="s">
        <v>889</v>
      </c>
      <c r="W210" s="83">
        <v>207</v>
      </c>
      <c r="X210" s="83">
        <v>330803022</v>
      </c>
      <c r="Y210" s="77" t="s">
        <v>890</v>
      </c>
      <c r="Z210" s="77" t="s">
        <v>891</v>
      </c>
      <c r="AA210" s="77" t="s">
        <v>892</v>
      </c>
      <c r="AB210" s="77" t="s">
        <v>54</v>
      </c>
      <c r="AC210" s="77" t="s">
        <v>40</v>
      </c>
      <c r="AD210" s="88">
        <v>1010</v>
      </c>
      <c r="AE210" s="88">
        <v>910</v>
      </c>
      <c r="AF210" s="88">
        <v>775</v>
      </c>
    </row>
    <row r="211" s="44" customFormat="1" ht="38" customHeight="1" spans="1:32">
      <c r="A211" s="55"/>
      <c r="B211" s="55"/>
      <c r="C211" s="55"/>
      <c r="D211" s="55"/>
      <c r="E211" s="59"/>
      <c r="F211" s="59"/>
      <c r="G211" s="55"/>
      <c r="H211" s="59"/>
      <c r="I211" s="37"/>
      <c r="J211" s="37"/>
      <c r="K211" s="64"/>
      <c r="L211" s="64"/>
      <c r="M211" s="64"/>
      <c r="N211" s="35"/>
      <c r="O211" s="35"/>
      <c r="P211" s="35"/>
      <c r="Q211" s="55"/>
      <c r="R211" s="55"/>
      <c r="S211" s="74"/>
      <c r="T211" s="64"/>
      <c r="U211" s="59"/>
      <c r="V211" s="77" t="s">
        <v>893</v>
      </c>
      <c r="W211" s="83">
        <v>208</v>
      </c>
      <c r="X211" s="77">
        <v>330803024</v>
      </c>
      <c r="Y211" s="77" t="s">
        <v>890</v>
      </c>
      <c r="Z211" s="77" t="s">
        <v>894</v>
      </c>
      <c r="AA211" s="77" t="s">
        <v>892</v>
      </c>
      <c r="AB211" s="77" t="s">
        <v>54</v>
      </c>
      <c r="AC211" s="77" t="s">
        <v>40</v>
      </c>
      <c r="AD211" s="88">
        <v>4730</v>
      </c>
      <c r="AE211" s="88">
        <v>4260</v>
      </c>
      <c r="AF211" s="88">
        <v>3620</v>
      </c>
    </row>
    <row r="212" s="44" customFormat="1" ht="38" customHeight="1" spans="1:32">
      <c r="A212" s="55" t="s">
        <v>895</v>
      </c>
      <c r="B212" s="122" t="s">
        <v>884</v>
      </c>
      <c r="C212" s="55" t="s">
        <v>896</v>
      </c>
      <c r="D212" s="55" t="s">
        <v>350</v>
      </c>
      <c r="E212" s="59" t="s">
        <v>40</v>
      </c>
      <c r="F212" s="59" t="s">
        <v>40</v>
      </c>
      <c r="G212" s="55" t="s">
        <v>54</v>
      </c>
      <c r="H212" s="59" t="s">
        <v>897</v>
      </c>
      <c r="I212" s="30">
        <v>1150</v>
      </c>
      <c r="J212" s="30">
        <v>1035</v>
      </c>
      <c r="K212" s="64"/>
      <c r="L212" s="64"/>
      <c r="M212" s="64"/>
      <c r="N212" s="35">
        <v>1035</v>
      </c>
      <c r="O212" s="35">
        <v>940</v>
      </c>
      <c r="P212" s="35">
        <v>800</v>
      </c>
      <c r="Q212" s="55" t="s">
        <v>41</v>
      </c>
      <c r="R212" s="55" t="s">
        <v>40</v>
      </c>
      <c r="S212" s="74" t="s">
        <v>40</v>
      </c>
      <c r="T212" s="64"/>
      <c r="U212" s="59" t="s">
        <v>898</v>
      </c>
      <c r="V212" s="76"/>
      <c r="W212" s="83">
        <v>209</v>
      </c>
      <c r="X212" s="76"/>
      <c r="Y212" s="77"/>
      <c r="Z212" s="77"/>
      <c r="AA212" s="77"/>
      <c r="AB212" s="77"/>
      <c r="AC212" s="77"/>
      <c r="AD212" s="88"/>
      <c r="AE212" s="88"/>
      <c r="AF212" s="88"/>
    </row>
    <row r="213" s="44" customFormat="1" ht="38" customHeight="1" spans="1:32">
      <c r="A213" s="55" t="s">
        <v>55</v>
      </c>
      <c r="B213" s="55" t="s">
        <v>899</v>
      </c>
      <c r="C213" s="55" t="s">
        <v>900</v>
      </c>
      <c r="D213" s="55" t="s">
        <v>350</v>
      </c>
      <c r="E213" s="59" t="s">
        <v>40</v>
      </c>
      <c r="F213" s="59" t="s">
        <v>40</v>
      </c>
      <c r="G213" s="55" t="s">
        <v>54</v>
      </c>
      <c r="H213" s="59"/>
      <c r="I213" s="30">
        <v>2100</v>
      </c>
      <c r="J213" s="30">
        <v>1890</v>
      </c>
      <c r="K213" s="64"/>
      <c r="L213" s="64"/>
      <c r="M213" s="64"/>
      <c r="N213" s="35">
        <v>1890</v>
      </c>
      <c r="O213" s="35">
        <v>1710</v>
      </c>
      <c r="P213" s="35">
        <v>1455</v>
      </c>
      <c r="Q213" s="55" t="s">
        <v>41</v>
      </c>
      <c r="R213" s="55" t="s">
        <v>40</v>
      </c>
      <c r="S213" s="74" t="s">
        <v>40</v>
      </c>
      <c r="T213" s="64"/>
      <c r="U213" s="59" t="s">
        <v>305</v>
      </c>
      <c r="V213" s="77" t="s">
        <v>901</v>
      </c>
      <c r="W213" s="83">
        <v>210</v>
      </c>
      <c r="X213" s="77">
        <v>33080302201</v>
      </c>
      <c r="Y213" s="77" t="s">
        <v>902</v>
      </c>
      <c r="Z213" s="77"/>
      <c r="AA213" s="77"/>
      <c r="AB213" s="77" t="s">
        <v>54</v>
      </c>
      <c r="AC213" s="77" t="s">
        <v>40</v>
      </c>
      <c r="AD213" s="88">
        <v>1315</v>
      </c>
      <c r="AE213" s="88">
        <v>1185</v>
      </c>
      <c r="AF213" s="88">
        <v>1005</v>
      </c>
    </row>
    <row r="214" s="44" customFormat="1" ht="38" customHeight="1" spans="1:32">
      <c r="A214" s="55"/>
      <c r="B214" s="55"/>
      <c r="C214" s="55"/>
      <c r="D214" s="55"/>
      <c r="E214" s="59"/>
      <c r="F214" s="59"/>
      <c r="G214" s="55"/>
      <c r="H214" s="59"/>
      <c r="I214" s="37"/>
      <c r="J214" s="37"/>
      <c r="K214" s="64"/>
      <c r="L214" s="64"/>
      <c r="M214" s="64"/>
      <c r="N214" s="35"/>
      <c r="O214" s="35"/>
      <c r="P214" s="35"/>
      <c r="Q214" s="55"/>
      <c r="R214" s="55"/>
      <c r="S214" s="74"/>
      <c r="T214" s="64"/>
      <c r="U214" s="59"/>
      <c r="V214" s="76" t="s">
        <v>903</v>
      </c>
      <c r="W214" s="83">
        <v>211</v>
      </c>
      <c r="X214" s="76">
        <v>33080302401</v>
      </c>
      <c r="Y214" s="77" t="s">
        <v>902</v>
      </c>
      <c r="Z214" s="77"/>
      <c r="AA214" s="77"/>
      <c r="AB214" s="77" t="s">
        <v>54</v>
      </c>
      <c r="AC214" s="77" t="s">
        <v>40</v>
      </c>
      <c r="AD214" s="88">
        <v>6150</v>
      </c>
      <c r="AE214" s="88">
        <v>5540</v>
      </c>
      <c r="AF214" s="88">
        <v>4710</v>
      </c>
    </row>
    <row r="215" s="44" customFormat="1" ht="38" customHeight="1" spans="1:32">
      <c r="A215" s="55" t="s">
        <v>895</v>
      </c>
      <c r="B215" s="55" t="s">
        <v>899</v>
      </c>
      <c r="C215" s="55" t="s">
        <v>904</v>
      </c>
      <c r="D215" s="55" t="s">
        <v>350</v>
      </c>
      <c r="E215" s="59" t="s">
        <v>40</v>
      </c>
      <c r="F215" s="59" t="s">
        <v>40</v>
      </c>
      <c r="G215" s="55" t="s">
        <v>54</v>
      </c>
      <c r="H215" s="59" t="s">
        <v>40</v>
      </c>
      <c r="I215" s="30">
        <v>345</v>
      </c>
      <c r="J215" s="30">
        <v>311</v>
      </c>
      <c r="K215" s="64"/>
      <c r="L215" s="64"/>
      <c r="M215" s="64"/>
      <c r="N215" s="35">
        <v>310</v>
      </c>
      <c r="O215" s="35">
        <v>280</v>
      </c>
      <c r="P215" s="35">
        <v>240</v>
      </c>
      <c r="Q215" s="55" t="s">
        <v>41</v>
      </c>
      <c r="R215" s="55" t="s">
        <v>40</v>
      </c>
      <c r="S215" s="74" t="s">
        <v>40</v>
      </c>
      <c r="T215" s="64"/>
      <c r="U215" s="59" t="s">
        <v>305</v>
      </c>
      <c r="V215" s="76"/>
      <c r="W215" s="83">
        <v>212</v>
      </c>
      <c r="X215" s="76"/>
      <c r="Y215" s="77"/>
      <c r="Z215" s="77"/>
      <c r="AA215" s="77"/>
      <c r="AB215" s="77"/>
      <c r="AC215" s="77"/>
      <c r="AD215" s="88"/>
      <c r="AE215" s="88"/>
      <c r="AF215" s="88"/>
    </row>
    <row r="216" s="44" customFormat="1" ht="38" customHeight="1" spans="1:32">
      <c r="A216" s="55" t="s">
        <v>55</v>
      </c>
      <c r="B216" s="55" t="s">
        <v>905</v>
      </c>
      <c r="C216" s="55" t="s">
        <v>906</v>
      </c>
      <c r="D216" s="55" t="s">
        <v>350</v>
      </c>
      <c r="E216" s="59" t="s">
        <v>40</v>
      </c>
      <c r="F216" s="59" t="s">
        <v>40</v>
      </c>
      <c r="G216" s="55" t="s">
        <v>54</v>
      </c>
      <c r="H216" s="59"/>
      <c r="I216" s="30">
        <v>1050</v>
      </c>
      <c r="J216" s="30">
        <v>945</v>
      </c>
      <c r="K216" s="64"/>
      <c r="L216" s="64"/>
      <c r="M216" s="64"/>
      <c r="N216" s="35">
        <v>945</v>
      </c>
      <c r="O216" s="35">
        <v>855</v>
      </c>
      <c r="P216" s="35">
        <v>728</v>
      </c>
      <c r="Q216" s="55" t="s">
        <v>41</v>
      </c>
      <c r="R216" s="55" t="s">
        <v>40</v>
      </c>
      <c r="S216" s="74" t="s">
        <v>40</v>
      </c>
      <c r="T216" s="64"/>
      <c r="U216" s="59" t="s">
        <v>907</v>
      </c>
      <c r="V216" s="76"/>
      <c r="W216" s="83">
        <v>213</v>
      </c>
      <c r="X216" s="76"/>
      <c r="Y216" s="77"/>
      <c r="Z216" s="77"/>
      <c r="AA216" s="77"/>
      <c r="AB216" s="77"/>
      <c r="AC216" s="77"/>
      <c r="AD216" s="88"/>
      <c r="AE216" s="88"/>
      <c r="AF216" s="88"/>
    </row>
    <row r="217" s="44" customFormat="1" ht="38" customHeight="1" spans="1:32">
      <c r="A217" s="55" t="s">
        <v>895</v>
      </c>
      <c r="B217" s="55" t="s">
        <v>905</v>
      </c>
      <c r="C217" s="55" t="s">
        <v>908</v>
      </c>
      <c r="D217" s="55" t="s">
        <v>350</v>
      </c>
      <c r="E217" s="59" t="s">
        <v>40</v>
      </c>
      <c r="F217" s="59" t="s">
        <v>40</v>
      </c>
      <c r="G217" s="55" t="s">
        <v>54</v>
      </c>
      <c r="H217" s="59"/>
      <c r="I217" s="30">
        <v>173</v>
      </c>
      <c r="J217" s="30">
        <v>155</v>
      </c>
      <c r="K217" s="64"/>
      <c r="L217" s="64"/>
      <c r="M217" s="64"/>
      <c r="N217" s="35">
        <v>155</v>
      </c>
      <c r="O217" s="35">
        <v>141</v>
      </c>
      <c r="P217" s="35">
        <v>120</v>
      </c>
      <c r="Q217" s="55" t="s">
        <v>41</v>
      </c>
      <c r="R217" s="55" t="s">
        <v>40</v>
      </c>
      <c r="S217" s="74" t="s">
        <v>40</v>
      </c>
      <c r="T217" s="64"/>
      <c r="U217" s="59" t="s">
        <v>907</v>
      </c>
      <c r="V217" s="76"/>
      <c r="W217" s="83">
        <v>214</v>
      </c>
      <c r="X217" s="76"/>
      <c r="Y217" s="77"/>
      <c r="Z217" s="77"/>
      <c r="AA217" s="77"/>
      <c r="AB217" s="77"/>
      <c r="AC217" s="77"/>
      <c r="AD217" s="88"/>
      <c r="AE217" s="88"/>
      <c r="AF217" s="88"/>
    </row>
    <row r="218" s="44" customFormat="1" ht="68" customHeight="1" spans="1:32">
      <c r="A218" s="55">
        <v>59</v>
      </c>
      <c r="B218" s="55" t="s">
        <v>909</v>
      </c>
      <c r="C218" s="55" t="s">
        <v>910</v>
      </c>
      <c r="D218" s="55" t="s">
        <v>350</v>
      </c>
      <c r="E218" s="59" t="s">
        <v>911</v>
      </c>
      <c r="F218" s="59" t="s">
        <v>912</v>
      </c>
      <c r="G218" s="55" t="s">
        <v>54</v>
      </c>
      <c r="H218" s="59" t="s">
        <v>913</v>
      </c>
      <c r="I218" s="30">
        <v>4300</v>
      </c>
      <c r="J218" s="30">
        <v>3870</v>
      </c>
      <c r="K218" s="64"/>
      <c r="L218" s="64"/>
      <c r="M218" s="64"/>
      <c r="N218" s="35">
        <v>3900</v>
      </c>
      <c r="O218" s="35">
        <v>3500</v>
      </c>
      <c r="P218" s="35">
        <v>3000</v>
      </c>
      <c r="Q218" s="55" t="s">
        <v>41</v>
      </c>
      <c r="R218" s="55" t="s">
        <v>40</v>
      </c>
      <c r="S218" s="74">
        <v>0.2</v>
      </c>
      <c r="T218" s="64" t="s">
        <v>170</v>
      </c>
      <c r="U218" s="59" t="s">
        <v>404</v>
      </c>
      <c r="V218" s="76"/>
      <c r="W218" s="83">
        <v>215</v>
      </c>
      <c r="X218" s="76"/>
      <c r="Y218" s="77"/>
      <c r="Z218" s="77"/>
      <c r="AA218" s="77"/>
      <c r="AB218" s="77"/>
      <c r="AC218" s="77"/>
      <c r="AD218" s="88"/>
      <c r="AE218" s="88"/>
      <c r="AF218" s="88"/>
    </row>
    <row r="219" s="44" customFormat="1" ht="38" customHeight="1" spans="1:32">
      <c r="A219" s="55" t="s">
        <v>55</v>
      </c>
      <c r="B219" s="55" t="s">
        <v>914</v>
      </c>
      <c r="C219" s="55" t="s">
        <v>915</v>
      </c>
      <c r="D219" s="55" t="s">
        <v>350</v>
      </c>
      <c r="E219" s="59" t="s">
        <v>40</v>
      </c>
      <c r="F219" s="59" t="s">
        <v>40</v>
      </c>
      <c r="G219" s="55" t="s">
        <v>54</v>
      </c>
      <c r="H219" s="59" t="s">
        <v>40</v>
      </c>
      <c r="I219" s="30">
        <v>1290</v>
      </c>
      <c r="J219" s="30">
        <v>1161</v>
      </c>
      <c r="K219" s="64"/>
      <c r="L219" s="64"/>
      <c r="M219" s="64"/>
      <c r="N219" s="35">
        <v>1170</v>
      </c>
      <c r="O219" s="35">
        <v>1050</v>
      </c>
      <c r="P219" s="35">
        <v>900</v>
      </c>
      <c r="Q219" s="55" t="s">
        <v>41</v>
      </c>
      <c r="R219" s="55" t="s">
        <v>40</v>
      </c>
      <c r="S219" s="74">
        <v>0.2</v>
      </c>
      <c r="T219" s="64"/>
      <c r="U219" s="59"/>
      <c r="V219" s="76"/>
      <c r="W219" s="83">
        <v>216</v>
      </c>
      <c r="X219" s="76"/>
      <c r="Y219" s="55"/>
      <c r="Z219" s="55"/>
      <c r="AA219" s="55"/>
      <c r="AB219" s="55"/>
      <c r="AC219" s="77"/>
      <c r="AD219" s="88"/>
      <c r="AE219" s="88"/>
      <c r="AF219" s="88"/>
    </row>
    <row r="220" s="44" customFormat="1" ht="38" customHeight="1" spans="1:32">
      <c r="A220" s="55">
        <v>60</v>
      </c>
      <c r="B220" s="55" t="s">
        <v>916</v>
      </c>
      <c r="C220" s="55" t="s">
        <v>917</v>
      </c>
      <c r="D220" s="55" t="s">
        <v>350</v>
      </c>
      <c r="E220" s="59" t="s">
        <v>918</v>
      </c>
      <c r="F220" s="59" t="s">
        <v>919</v>
      </c>
      <c r="G220" s="55" t="s">
        <v>54</v>
      </c>
      <c r="H220" s="59" t="s">
        <v>40</v>
      </c>
      <c r="I220" s="30">
        <v>8727</v>
      </c>
      <c r="J220" s="30">
        <v>7854</v>
      </c>
      <c r="K220" s="63">
        <v>7945.85365853659</v>
      </c>
      <c r="L220" s="63"/>
      <c r="M220" s="63"/>
      <c r="N220" s="35">
        <v>7950</v>
      </c>
      <c r="O220" s="35">
        <v>7160</v>
      </c>
      <c r="P220" s="35">
        <v>6090</v>
      </c>
      <c r="Q220" s="55" t="s">
        <v>41</v>
      </c>
      <c r="R220" s="55" t="s">
        <v>40</v>
      </c>
      <c r="S220" s="74" t="s">
        <v>40</v>
      </c>
      <c r="T220" s="63" t="s">
        <v>42</v>
      </c>
      <c r="U220" s="59" t="s">
        <v>920</v>
      </c>
      <c r="V220" s="76" t="s">
        <v>921</v>
      </c>
      <c r="W220" s="83">
        <v>217</v>
      </c>
      <c r="X220" s="76">
        <v>330802003</v>
      </c>
      <c r="Y220" s="77" t="s">
        <v>922</v>
      </c>
      <c r="Z220" s="77" t="s">
        <v>923</v>
      </c>
      <c r="AA220" s="77"/>
      <c r="AB220" s="77" t="s">
        <v>924</v>
      </c>
      <c r="AC220" s="77" t="s">
        <v>925</v>
      </c>
      <c r="AD220" s="88">
        <v>7980</v>
      </c>
      <c r="AE220" s="88">
        <v>7180</v>
      </c>
      <c r="AF220" s="88">
        <v>5740</v>
      </c>
    </row>
    <row r="221" s="44" customFormat="1" ht="38" customHeight="1" spans="1:32">
      <c r="A221" s="55"/>
      <c r="B221" s="55"/>
      <c r="C221" s="55"/>
      <c r="D221" s="55"/>
      <c r="E221" s="59"/>
      <c r="F221" s="59"/>
      <c r="G221" s="55"/>
      <c r="H221" s="59"/>
      <c r="I221" s="37"/>
      <c r="J221" s="37"/>
      <c r="K221" s="63"/>
      <c r="L221" s="63"/>
      <c r="M221" s="63"/>
      <c r="N221" s="35"/>
      <c r="O221" s="35"/>
      <c r="P221" s="35"/>
      <c r="Q221" s="55"/>
      <c r="R221" s="55"/>
      <c r="S221" s="74"/>
      <c r="T221" s="63"/>
      <c r="U221" s="59"/>
      <c r="V221" s="76" t="s">
        <v>926</v>
      </c>
      <c r="W221" s="83">
        <v>218</v>
      </c>
      <c r="X221" s="76">
        <v>330802006</v>
      </c>
      <c r="Y221" s="77" t="s">
        <v>927</v>
      </c>
      <c r="Z221" s="77"/>
      <c r="AA221" s="77"/>
      <c r="AB221" s="77" t="s">
        <v>924</v>
      </c>
      <c r="AC221" s="77" t="s">
        <v>928</v>
      </c>
      <c r="AD221" s="88">
        <v>7630</v>
      </c>
      <c r="AE221" s="88">
        <v>6870</v>
      </c>
      <c r="AF221" s="88">
        <v>5840</v>
      </c>
    </row>
    <row r="222" s="44" customFormat="1" ht="38" customHeight="1" spans="1:32">
      <c r="A222" s="55" t="s">
        <v>55</v>
      </c>
      <c r="B222" s="55" t="s">
        <v>929</v>
      </c>
      <c r="C222" s="55" t="s">
        <v>930</v>
      </c>
      <c r="D222" s="55" t="s">
        <v>350</v>
      </c>
      <c r="E222" s="59" t="s">
        <v>40</v>
      </c>
      <c r="F222" s="59" t="s">
        <v>40</v>
      </c>
      <c r="G222" s="55" t="s">
        <v>54</v>
      </c>
      <c r="H222" s="59" t="s">
        <v>40</v>
      </c>
      <c r="I222" s="30">
        <v>2618</v>
      </c>
      <c r="J222" s="30">
        <v>2356</v>
      </c>
      <c r="K222" s="64"/>
      <c r="L222" s="64"/>
      <c r="M222" s="64"/>
      <c r="N222" s="35">
        <v>2385</v>
      </c>
      <c r="O222" s="35">
        <v>2150</v>
      </c>
      <c r="P222" s="35">
        <v>1825</v>
      </c>
      <c r="Q222" s="55" t="s">
        <v>41</v>
      </c>
      <c r="R222" s="55" t="s">
        <v>40</v>
      </c>
      <c r="S222" s="74" t="s">
        <v>40</v>
      </c>
      <c r="T222" s="64"/>
      <c r="U222" s="59" t="s">
        <v>305</v>
      </c>
      <c r="V222" s="76" t="s">
        <v>931</v>
      </c>
      <c r="W222" s="83">
        <v>219</v>
      </c>
      <c r="X222" s="76">
        <v>33080200302</v>
      </c>
      <c r="Y222" s="77" t="s">
        <v>932</v>
      </c>
      <c r="Z222" s="77"/>
      <c r="AA222" s="77"/>
      <c r="AB222" s="77" t="s">
        <v>924</v>
      </c>
      <c r="AC222" s="77" t="s">
        <v>40</v>
      </c>
      <c r="AD222" s="88">
        <v>10375</v>
      </c>
      <c r="AE222" s="88">
        <v>9335</v>
      </c>
      <c r="AF222" s="88">
        <v>7460</v>
      </c>
    </row>
    <row r="223" s="44" customFormat="1" ht="38" customHeight="1" spans="1:32">
      <c r="A223" s="55"/>
      <c r="B223" s="55"/>
      <c r="C223" s="55"/>
      <c r="D223" s="55"/>
      <c r="E223" s="59"/>
      <c r="F223" s="59"/>
      <c r="G223" s="55"/>
      <c r="H223" s="59"/>
      <c r="I223" s="37"/>
      <c r="J223" s="37"/>
      <c r="K223" s="64"/>
      <c r="L223" s="64"/>
      <c r="M223" s="64"/>
      <c r="N223" s="35"/>
      <c r="O223" s="35"/>
      <c r="P223" s="35"/>
      <c r="Q223" s="55"/>
      <c r="R223" s="55"/>
      <c r="S223" s="74"/>
      <c r="T223" s="64"/>
      <c r="U223" s="59"/>
      <c r="V223" s="76" t="s">
        <v>933</v>
      </c>
      <c r="W223" s="83">
        <v>220</v>
      </c>
      <c r="X223" s="76">
        <v>33080200602</v>
      </c>
      <c r="Y223" s="77" t="s">
        <v>934</v>
      </c>
      <c r="Z223" s="77"/>
      <c r="AA223" s="77"/>
      <c r="AB223" s="77" t="s">
        <v>924</v>
      </c>
      <c r="AC223" s="77" t="s">
        <v>40</v>
      </c>
      <c r="AD223" s="88">
        <v>9920</v>
      </c>
      <c r="AE223" s="88">
        <v>8930</v>
      </c>
      <c r="AF223" s="88">
        <v>7590</v>
      </c>
    </row>
    <row r="224" s="44" customFormat="1" ht="38" customHeight="1" spans="1:32">
      <c r="A224" s="55" t="s">
        <v>55</v>
      </c>
      <c r="B224" s="55" t="s">
        <v>935</v>
      </c>
      <c r="C224" s="55" t="s">
        <v>936</v>
      </c>
      <c r="D224" s="55" t="s">
        <v>350</v>
      </c>
      <c r="E224" s="59" t="s">
        <v>40</v>
      </c>
      <c r="F224" s="59" t="s">
        <v>40</v>
      </c>
      <c r="G224" s="55" t="s">
        <v>54</v>
      </c>
      <c r="H224" s="59" t="s">
        <v>40</v>
      </c>
      <c r="I224" s="30">
        <v>800</v>
      </c>
      <c r="J224" s="30">
        <v>720</v>
      </c>
      <c r="K224" s="64"/>
      <c r="L224" s="64"/>
      <c r="M224" s="64"/>
      <c r="N224" s="35">
        <v>720</v>
      </c>
      <c r="O224" s="35">
        <v>650</v>
      </c>
      <c r="P224" s="35">
        <v>550</v>
      </c>
      <c r="Q224" s="55" t="s">
        <v>41</v>
      </c>
      <c r="R224" s="55" t="s">
        <v>40</v>
      </c>
      <c r="S224" s="74" t="s">
        <v>40</v>
      </c>
      <c r="T224" s="64"/>
      <c r="U224" s="59" t="s">
        <v>937</v>
      </c>
      <c r="V224" s="76" t="s">
        <v>938</v>
      </c>
      <c r="W224" s="83">
        <v>221</v>
      </c>
      <c r="X224" s="76">
        <v>330802007</v>
      </c>
      <c r="Y224" s="77" t="s">
        <v>939</v>
      </c>
      <c r="Z224" s="77" t="s">
        <v>940</v>
      </c>
      <c r="AA224" s="77"/>
      <c r="AB224" s="77" t="s">
        <v>924</v>
      </c>
      <c r="AC224" s="77" t="s">
        <v>40</v>
      </c>
      <c r="AD224" s="88">
        <v>7630</v>
      </c>
      <c r="AE224" s="88">
        <v>6870</v>
      </c>
      <c r="AF224" s="88">
        <v>5840</v>
      </c>
    </row>
    <row r="225" s="44" customFormat="1" ht="38" customHeight="1" spans="1:32">
      <c r="A225" s="55"/>
      <c r="B225" s="55"/>
      <c r="C225" s="55"/>
      <c r="D225" s="55"/>
      <c r="E225" s="59"/>
      <c r="F225" s="59"/>
      <c r="G225" s="55"/>
      <c r="H225" s="59"/>
      <c r="I225" s="37"/>
      <c r="J225" s="37"/>
      <c r="K225" s="64"/>
      <c r="L225" s="64"/>
      <c r="M225" s="64"/>
      <c r="N225" s="35"/>
      <c r="O225" s="35"/>
      <c r="P225" s="35"/>
      <c r="Q225" s="55"/>
      <c r="R225" s="55"/>
      <c r="S225" s="74"/>
      <c r="T225" s="64"/>
      <c r="U225" s="59"/>
      <c r="V225" s="76" t="s">
        <v>941</v>
      </c>
      <c r="W225" s="83">
        <v>222</v>
      </c>
      <c r="X225" s="76">
        <v>33080200701</v>
      </c>
      <c r="Y225" s="77" t="s">
        <v>942</v>
      </c>
      <c r="Z225" s="77"/>
      <c r="AA225" s="77"/>
      <c r="AB225" s="77" t="s">
        <v>924</v>
      </c>
      <c r="AC225" s="77" t="s">
        <v>40</v>
      </c>
      <c r="AD225" s="88">
        <v>9920</v>
      </c>
      <c r="AE225" s="88">
        <v>8930</v>
      </c>
      <c r="AF225" s="88">
        <v>7590</v>
      </c>
    </row>
    <row r="226" s="44" customFormat="1" ht="38" customHeight="1" spans="1:32">
      <c r="A226" s="55" t="s">
        <v>55</v>
      </c>
      <c r="B226" s="55" t="s">
        <v>943</v>
      </c>
      <c r="C226" s="55" t="s">
        <v>944</v>
      </c>
      <c r="D226" s="55" t="s">
        <v>350</v>
      </c>
      <c r="E226" s="59" t="s">
        <v>40</v>
      </c>
      <c r="F226" s="59" t="s">
        <v>40</v>
      </c>
      <c r="G226" s="55" t="s">
        <v>54</v>
      </c>
      <c r="H226" s="59"/>
      <c r="I226" s="30">
        <v>2618</v>
      </c>
      <c r="J226" s="30">
        <v>2356</v>
      </c>
      <c r="K226" s="64"/>
      <c r="L226" s="64"/>
      <c r="M226" s="64"/>
      <c r="N226" s="35">
        <v>2385</v>
      </c>
      <c r="O226" s="35">
        <v>2150</v>
      </c>
      <c r="P226" s="35">
        <v>1825</v>
      </c>
      <c r="Q226" s="55" t="s">
        <v>41</v>
      </c>
      <c r="R226" s="55" t="s">
        <v>40</v>
      </c>
      <c r="S226" s="74" t="s">
        <v>40</v>
      </c>
      <c r="T226" s="64"/>
      <c r="U226" s="59" t="s">
        <v>945</v>
      </c>
      <c r="V226" s="76"/>
      <c r="W226" s="83">
        <v>223</v>
      </c>
      <c r="X226" s="76"/>
      <c r="Y226" s="55"/>
      <c r="Z226" s="55"/>
      <c r="AA226" s="55"/>
      <c r="AB226" s="55"/>
      <c r="AC226" s="77"/>
      <c r="AD226" s="88"/>
      <c r="AE226" s="88"/>
      <c r="AF226" s="88"/>
    </row>
    <row r="227" s="44" customFormat="1" ht="22" customHeight="1" spans="1:32">
      <c r="A227" s="55" t="s">
        <v>55</v>
      </c>
      <c r="B227" s="55" t="s">
        <v>946</v>
      </c>
      <c r="C227" s="55" t="s">
        <v>947</v>
      </c>
      <c r="D227" s="55" t="s">
        <v>350</v>
      </c>
      <c r="E227" s="59" t="s">
        <v>40</v>
      </c>
      <c r="F227" s="59" t="s">
        <v>40</v>
      </c>
      <c r="G227" s="55" t="s">
        <v>54</v>
      </c>
      <c r="H227" s="59" t="s">
        <v>40</v>
      </c>
      <c r="I227" s="30">
        <v>600</v>
      </c>
      <c r="J227" s="30">
        <v>540</v>
      </c>
      <c r="K227" s="63">
        <v>555.714285714286</v>
      </c>
      <c r="L227" s="64"/>
      <c r="M227" s="64"/>
      <c r="N227" s="35">
        <v>555</v>
      </c>
      <c r="O227" s="35">
        <v>500</v>
      </c>
      <c r="P227" s="35">
        <v>425</v>
      </c>
      <c r="Q227" s="55" t="s">
        <v>41</v>
      </c>
      <c r="R227" s="55" t="s">
        <v>40</v>
      </c>
      <c r="S227" s="74" t="s">
        <v>40</v>
      </c>
      <c r="T227" s="64"/>
      <c r="U227" s="59" t="s">
        <v>948</v>
      </c>
      <c r="V227" s="76" t="s">
        <v>949</v>
      </c>
      <c r="W227" s="83">
        <v>224</v>
      </c>
      <c r="X227" s="76">
        <v>33080200301</v>
      </c>
      <c r="Y227" s="77" t="s">
        <v>950</v>
      </c>
      <c r="Z227" s="77"/>
      <c r="AA227" s="77"/>
      <c r="AB227" s="77" t="s">
        <v>924</v>
      </c>
      <c r="AC227" s="77" t="s">
        <v>951</v>
      </c>
      <c r="AD227" s="88">
        <v>570</v>
      </c>
      <c r="AE227" s="88">
        <v>510</v>
      </c>
      <c r="AF227" s="88">
        <v>405</v>
      </c>
    </row>
    <row r="228" s="44" customFormat="1" ht="22" customHeight="1" spans="1:32">
      <c r="A228" s="55"/>
      <c r="B228" s="55"/>
      <c r="C228" s="55"/>
      <c r="D228" s="55"/>
      <c r="E228" s="59"/>
      <c r="F228" s="59"/>
      <c r="G228" s="55"/>
      <c r="H228" s="59"/>
      <c r="I228" s="37"/>
      <c r="J228" s="37"/>
      <c r="K228" s="63"/>
      <c r="L228" s="64"/>
      <c r="M228" s="64"/>
      <c r="N228" s="35"/>
      <c r="O228" s="35"/>
      <c r="P228" s="35"/>
      <c r="Q228" s="55"/>
      <c r="R228" s="55"/>
      <c r="S228" s="74"/>
      <c r="T228" s="64"/>
      <c r="U228" s="59"/>
      <c r="V228" s="76" t="s">
        <v>952</v>
      </c>
      <c r="W228" s="83">
        <v>225</v>
      </c>
      <c r="X228" s="76">
        <v>33080200303</v>
      </c>
      <c r="Y228" s="77" t="s">
        <v>953</v>
      </c>
      <c r="Z228" s="77"/>
      <c r="AA228" s="77"/>
      <c r="AB228" s="77" t="s">
        <v>924</v>
      </c>
      <c r="AC228" s="77" t="s">
        <v>951</v>
      </c>
      <c r="AD228" s="88">
        <v>740</v>
      </c>
      <c r="AE228" s="88">
        <v>665</v>
      </c>
      <c r="AF228" s="88">
        <v>525</v>
      </c>
    </row>
    <row r="229" s="44" customFormat="1" ht="22" customHeight="1" spans="1:32">
      <c r="A229" s="55"/>
      <c r="B229" s="55"/>
      <c r="C229" s="55"/>
      <c r="D229" s="55"/>
      <c r="E229" s="59"/>
      <c r="F229" s="59"/>
      <c r="G229" s="55"/>
      <c r="H229" s="59"/>
      <c r="I229" s="37"/>
      <c r="J229" s="37"/>
      <c r="K229" s="63"/>
      <c r="L229" s="64"/>
      <c r="M229" s="64"/>
      <c r="N229" s="35"/>
      <c r="O229" s="35"/>
      <c r="P229" s="35"/>
      <c r="Q229" s="55"/>
      <c r="R229" s="55"/>
      <c r="S229" s="74"/>
      <c r="T229" s="64"/>
      <c r="U229" s="59"/>
      <c r="V229" s="76" t="s">
        <v>954</v>
      </c>
      <c r="W229" s="83">
        <v>226</v>
      </c>
      <c r="X229" s="76">
        <v>33080200401</v>
      </c>
      <c r="Y229" s="77" t="s">
        <v>955</v>
      </c>
      <c r="Z229" s="77"/>
      <c r="AA229" s="77"/>
      <c r="AB229" s="77" t="s">
        <v>924</v>
      </c>
      <c r="AC229" s="77" t="s">
        <v>951</v>
      </c>
      <c r="AD229" s="88">
        <v>540</v>
      </c>
      <c r="AE229" s="88">
        <v>485</v>
      </c>
      <c r="AF229" s="88">
        <v>415</v>
      </c>
    </row>
    <row r="230" s="44" customFormat="1" ht="22" customHeight="1" spans="1:32">
      <c r="A230" s="55"/>
      <c r="B230" s="55"/>
      <c r="C230" s="55"/>
      <c r="D230" s="55"/>
      <c r="E230" s="59"/>
      <c r="F230" s="59"/>
      <c r="G230" s="55"/>
      <c r="H230" s="59"/>
      <c r="I230" s="37"/>
      <c r="J230" s="37"/>
      <c r="K230" s="63"/>
      <c r="L230" s="64"/>
      <c r="M230" s="64"/>
      <c r="N230" s="35"/>
      <c r="O230" s="35"/>
      <c r="P230" s="35"/>
      <c r="Q230" s="55"/>
      <c r="R230" s="55"/>
      <c r="S230" s="74"/>
      <c r="T230" s="64"/>
      <c r="U230" s="59"/>
      <c r="V230" s="76" t="s">
        <v>956</v>
      </c>
      <c r="W230" s="83">
        <v>227</v>
      </c>
      <c r="X230" s="76">
        <v>33080200403</v>
      </c>
      <c r="Y230" s="77" t="s">
        <v>957</v>
      </c>
      <c r="Z230" s="77"/>
      <c r="AA230" s="77"/>
      <c r="AB230" s="77" t="s">
        <v>924</v>
      </c>
      <c r="AC230" s="77" t="s">
        <v>951</v>
      </c>
      <c r="AD230" s="88">
        <v>700</v>
      </c>
      <c r="AE230" s="88">
        <v>630</v>
      </c>
      <c r="AF230" s="88">
        <v>535</v>
      </c>
    </row>
    <row r="231" s="44" customFormat="1" ht="22" customHeight="1" spans="1:32">
      <c r="A231" s="55"/>
      <c r="B231" s="55"/>
      <c r="C231" s="55"/>
      <c r="D231" s="55"/>
      <c r="E231" s="59"/>
      <c r="F231" s="59"/>
      <c r="G231" s="55"/>
      <c r="H231" s="59"/>
      <c r="I231" s="37"/>
      <c r="J231" s="37"/>
      <c r="K231" s="63"/>
      <c r="L231" s="64"/>
      <c r="M231" s="64"/>
      <c r="N231" s="35"/>
      <c r="O231" s="35"/>
      <c r="P231" s="35"/>
      <c r="Q231" s="55"/>
      <c r="R231" s="55"/>
      <c r="S231" s="74"/>
      <c r="T231" s="64"/>
      <c r="U231" s="59"/>
      <c r="V231" s="76" t="s">
        <v>958</v>
      </c>
      <c r="W231" s="83">
        <v>228</v>
      </c>
      <c r="X231" s="76">
        <v>33080200501</v>
      </c>
      <c r="Y231" s="77" t="s">
        <v>959</v>
      </c>
      <c r="Z231" s="77"/>
      <c r="AA231" s="77"/>
      <c r="AB231" s="77" t="s">
        <v>924</v>
      </c>
      <c r="AC231" s="77" t="s">
        <v>951</v>
      </c>
      <c r="AD231" s="88">
        <v>540</v>
      </c>
      <c r="AE231" s="88">
        <v>485</v>
      </c>
      <c r="AF231" s="88">
        <v>415</v>
      </c>
    </row>
    <row r="232" s="44" customFormat="1" ht="22" customHeight="1" spans="1:32">
      <c r="A232" s="55"/>
      <c r="B232" s="55"/>
      <c r="C232" s="55"/>
      <c r="D232" s="55"/>
      <c r="E232" s="59"/>
      <c r="F232" s="59"/>
      <c r="G232" s="55"/>
      <c r="H232" s="59"/>
      <c r="I232" s="37"/>
      <c r="J232" s="37"/>
      <c r="K232" s="63"/>
      <c r="L232" s="64"/>
      <c r="M232" s="64"/>
      <c r="N232" s="35"/>
      <c r="O232" s="35"/>
      <c r="P232" s="35"/>
      <c r="Q232" s="55"/>
      <c r="R232" s="55"/>
      <c r="S232" s="74"/>
      <c r="T232" s="64"/>
      <c r="U232" s="59"/>
      <c r="V232" s="76" t="s">
        <v>960</v>
      </c>
      <c r="W232" s="83">
        <v>229</v>
      </c>
      <c r="X232" s="76">
        <v>33080200503</v>
      </c>
      <c r="Y232" s="77" t="s">
        <v>961</v>
      </c>
      <c r="Z232" s="77"/>
      <c r="AA232" s="77"/>
      <c r="AB232" s="77" t="s">
        <v>924</v>
      </c>
      <c r="AC232" s="77" t="s">
        <v>951</v>
      </c>
      <c r="AD232" s="88">
        <v>700</v>
      </c>
      <c r="AE232" s="88">
        <v>630</v>
      </c>
      <c r="AF232" s="88">
        <v>535</v>
      </c>
    </row>
    <row r="233" s="44" customFormat="1" ht="22" customHeight="1" spans="1:32">
      <c r="A233" s="55"/>
      <c r="B233" s="55"/>
      <c r="C233" s="55"/>
      <c r="D233" s="55"/>
      <c r="E233" s="59"/>
      <c r="F233" s="59"/>
      <c r="G233" s="55"/>
      <c r="H233" s="59"/>
      <c r="I233" s="37"/>
      <c r="J233" s="37"/>
      <c r="K233" s="63"/>
      <c r="L233" s="64"/>
      <c r="M233" s="64"/>
      <c r="N233" s="35"/>
      <c r="O233" s="35"/>
      <c r="P233" s="35"/>
      <c r="Q233" s="55"/>
      <c r="R233" s="55"/>
      <c r="S233" s="74"/>
      <c r="T233" s="64"/>
      <c r="U233" s="59"/>
      <c r="V233" s="76" t="s">
        <v>962</v>
      </c>
      <c r="W233" s="83">
        <v>230</v>
      </c>
      <c r="X233" s="76">
        <v>33080200601</v>
      </c>
      <c r="Y233" s="77" t="s">
        <v>963</v>
      </c>
      <c r="Z233" s="77"/>
      <c r="AA233" s="77"/>
      <c r="AB233" s="77" t="s">
        <v>924</v>
      </c>
      <c r="AC233" s="77" t="s">
        <v>951</v>
      </c>
      <c r="AD233" s="88">
        <v>540</v>
      </c>
      <c r="AE233" s="88">
        <v>485</v>
      </c>
      <c r="AF233" s="88">
        <v>415</v>
      </c>
    </row>
    <row r="234" s="44" customFormat="1" ht="22" customHeight="1" spans="1:32">
      <c r="A234" s="55"/>
      <c r="B234" s="55"/>
      <c r="C234" s="55"/>
      <c r="D234" s="55"/>
      <c r="E234" s="59"/>
      <c r="F234" s="59"/>
      <c r="G234" s="55"/>
      <c r="H234" s="59"/>
      <c r="I234" s="37"/>
      <c r="J234" s="37"/>
      <c r="K234" s="63"/>
      <c r="L234" s="64"/>
      <c r="M234" s="64"/>
      <c r="N234" s="35"/>
      <c r="O234" s="35"/>
      <c r="P234" s="35"/>
      <c r="Q234" s="55"/>
      <c r="R234" s="55"/>
      <c r="S234" s="74"/>
      <c r="T234" s="64"/>
      <c r="U234" s="59"/>
      <c r="V234" s="76" t="s">
        <v>964</v>
      </c>
      <c r="W234" s="83">
        <v>231</v>
      </c>
      <c r="X234" s="76">
        <v>33080200603</v>
      </c>
      <c r="Y234" s="77" t="s">
        <v>965</v>
      </c>
      <c r="Z234" s="77"/>
      <c r="AA234" s="77"/>
      <c r="AB234" s="77" t="s">
        <v>924</v>
      </c>
      <c r="AC234" s="77" t="s">
        <v>951</v>
      </c>
      <c r="AD234" s="88">
        <v>700</v>
      </c>
      <c r="AE234" s="88">
        <v>630</v>
      </c>
      <c r="AF234" s="88">
        <v>535</v>
      </c>
    </row>
    <row r="235" s="44" customFormat="1" ht="38" customHeight="1" spans="1:32">
      <c r="A235" s="55" t="s">
        <v>55</v>
      </c>
      <c r="B235" s="55" t="s">
        <v>966</v>
      </c>
      <c r="C235" s="55" t="s">
        <v>967</v>
      </c>
      <c r="D235" s="55" t="s">
        <v>350</v>
      </c>
      <c r="E235" s="59" t="s">
        <v>40</v>
      </c>
      <c r="F235" s="59" t="s">
        <v>40</v>
      </c>
      <c r="G235" s="55" t="s">
        <v>54</v>
      </c>
      <c r="H235" s="59"/>
      <c r="I235" s="30">
        <v>4364</v>
      </c>
      <c r="J235" s="30">
        <v>3927</v>
      </c>
      <c r="K235" s="64"/>
      <c r="L235" s="64"/>
      <c r="M235" s="64"/>
      <c r="N235" s="35">
        <v>3975</v>
      </c>
      <c r="O235" s="35">
        <v>3580</v>
      </c>
      <c r="P235" s="35">
        <v>3045</v>
      </c>
      <c r="Q235" s="55" t="s">
        <v>41</v>
      </c>
      <c r="R235" s="55" t="s">
        <v>40</v>
      </c>
      <c r="S235" s="74" t="s">
        <v>40</v>
      </c>
      <c r="T235" s="64"/>
      <c r="U235" s="59" t="s">
        <v>968</v>
      </c>
      <c r="V235" s="76"/>
      <c r="W235" s="83">
        <v>232</v>
      </c>
      <c r="X235" s="76"/>
      <c r="Y235" s="77"/>
      <c r="Z235" s="77"/>
      <c r="AA235" s="77"/>
      <c r="AB235" s="77"/>
      <c r="AC235" s="77"/>
      <c r="AD235" s="88"/>
      <c r="AE235" s="88"/>
      <c r="AF235" s="88"/>
    </row>
    <row r="236" s="44" customFormat="1" ht="58" customHeight="1" spans="1:32">
      <c r="A236" s="55">
        <v>61</v>
      </c>
      <c r="B236" s="55" t="s">
        <v>969</v>
      </c>
      <c r="C236" s="55" t="s">
        <v>970</v>
      </c>
      <c r="D236" s="55" t="s">
        <v>350</v>
      </c>
      <c r="E236" s="59" t="s">
        <v>971</v>
      </c>
      <c r="F236" s="59" t="s">
        <v>972</v>
      </c>
      <c r="G236" s="55" t="s">
        <v>54</v>
      </c>
      <c r="H236" s="59" t="s">
        <v>40</v>
      </c>
      <c r="I236" s="30">
        <v>6698</v>
      </c>
      <c r="J236" s="30">
        <v>6028</v>
      </c>
      <c r="K236" s="64">
        <v>6200</v>
      </c>
      <c r="L236" s="64">
        <v>5580</v>
      </c>
      <c r="M236" s="64">
        <v>4460</v>
      </c>
      <c r="N236" s="35">
        <v>6200</v>
      </c>
      <c r="O236" s="35">
        <v>5580</v>
      </c>
      <c r="P236" s="68">
        <v>4750</v>
      </c>
      <c r="Q236" s="55" t="s">
        <v>41</v>
      </c>
      <c r="R236" s="55" t="s">
        <v>40</v>
      </c>
      <c r="S236" s="74" t="s">
        <v>40</v>
      </c>
      <c r="T236" s="64" t="s">
        <v>183</v>
      </c>
      <c r="U236" s="59" t="s">
        <v>973</v>
      </c>
      <c r="V236" s="76" t="s">
        <v>974</v>
      </c>
      <c r="W236" s="83">
        <v>233</v>
      </c>
      <c r="X236" s="76">
        <v>330803011</v>
      </c>
      <c r="Y236" s="77" t="s">
        <v>975</v>
      </c>
      <c r="Z236" s="77" t="s">
        <v>976</v>
      </c>
      <c r="AA236" s="77" t="s">
        <v>977</v>
      </c>
      <c r="AB236" s="77" t="s">
        <v>54</v>
      </c>
      <c r="AC236" s="77" t="s">
        <v>40</v>
      </c>
      <c r="AD236" s="88">
        <v>6200</v>
      </c>
      <c r="AE236" s="88">
        <v>5580</v>
      </c>
      <c r="AF236" s="88">
        <v>4460</v>
      </c>
    </row>
    <row r="237" s="44" customFormat="1" ht="38" customHeight="1" spans="1:32">
      <c r="A237" s="55" t="s">
        <v>55</v>
      </c>
      <c r="B237" s="55" t="s">
        <v>978</v>
      </c>
      <c r="C237" s="55" t="s">
        <v>979</v>
      </c>
      <c r="D237" s="55" t="s">
        <v>350</v>
      </c>
      <c r="E237" s="59" t="s">
        <v>40</v>
      </c>
      <c r="F237" s="59" t="s">
        <v>40</v>
      </c>
      <c r="G237" s="55" t="s">
        <v>54</v>
      </c>
      <c r="H237" s="59"/>
      <c r="I237" s="30">
        <v>2009</v>
      </c>
      <c r="J237" s="30">
        <v>1808</v>
      </c>
      <c r="K237" s="64"/>
      <c r="L237" s="64"/>
      <c r="M237" s="64"/>
      <c r="N237" s="35">
        <v>1860</v>
      </c>
      <c r="O237" s="35">
        <v>1675</v>
      </c>
      <c r="P237" s="35">
        <v>1425</v>
      </c>
      <c r="Q237" s="55" t="s">
        <v>41</v>
      </c>
      <c r="R237" s="55" t="s">
        <v>40</v>
      </c>
      <c r="S237" s="74" t="s">
        <v>40</v>
      </c>
      <c r="T237" s="64"/>
      <c r="U237" s="59" t="s">
        <v>305</v>
      </c>
      <c r="V237" s="76" t="s">
        <v>980</v>
      </c>
      <c r="W237" s="83">
        <v>234</v>
      </c>
      <c r="X237" s="76">
        <v>33080301101</v>
      </c>
      <c r="Y237" s="77" t="s">
        <v>981</v>
      </c>
      <c r="Z237" s="77"/>
      <c r="AA237" s="77"/>
      <c r="AB237" s="77" t="s">
        <v>54</v>
      </c>
      <c r="AC237" s="77" t="s">
        <v>40</v>
      </c>
      <c r="AD237" s="88">
        <v>8060</v>
      </c>
      <c r="AE237" s="88">
        <v>7255</v>
      </c>
      <c r="AF237" s="88">
        <v>5800</v>
      </c>
    </row>
    <row r="238" s="44" customFormat="1" ht="38" customHeight="1" spans="1:32">
      <c r="A238" s="55" t="s">
        <v>55</v>
      </c>
      <c r="B238" s="55" t="s">
        <v>982</v>
      </c>
      <c r="C238" s="55" t="s">
        <v>983</v>
      </c>
      <c r="D238" s="55" t="s">
        <v>350</v>
      </c>
      <c r="E238" s="59" t="s">
        <v>40</v>
      </c>
      <c r="F238" s="59" t="s">
        <v>40</v>
      </c>
      <c r="G238" s="55" t="s">
        <v>54</v>
      </c>
      <c r="H238" s="59"/>
      <c r="I238" s="30">
        <v>3070</v>
      </c>
      <c r="J238" s="30">
        <v>2763</v>
      </c>
      <c r="K238" s="64">
        <v>2920</v>
      </c>
      <c r="L238" s="64">
        <v>3085</v>
      </c>
      <c r="M238" s="64">
        <v>2905</v>
      </c>
      <c r="N238" s="35">
        <v>2850</v>
      </c>
      <c r="O238" s="35">
        <v>2560</v>
      </c>
      <c r="P238" s="35">
        <v>2180</v>
      </c>
      <c r="Q238" s="35" t="e">
        <f>#REF!-#REF!</f>
        <v>#REF!</v>
      </c>
      <c r="R238" s="35" t="e">
        <f>#REF!-#REF!</f>
        <v>#REF!</v>
      </c>
      <c r="S238" s="35">
        <f>AG238-AG236</f>
        <v>0</v>
      </c>
      <c r="T238" s="64"/>
      <c r="U238" s="59" t="s">
        <v>984</v>
      </c>
      <c r="V238" s="76" t="s">
        <v>985</v>
      </c>
      <c r="W238" s="83">
        <v>235</v>
      </c>
      <c r="X238" s="76" t="s">
        <v>986</v>
      </c>
      <c r="Y238" s="77" t="s">
        <v>987</v>
      </c>
      <c r="Z238" s="77" t="s">
        <v>534</v>
      </c>
      <c r="AA238" s="77"/>
      <c r="AB238" s="77" t="s">
        <v>54</v>
      </c>
      <c r="AC238" s="77"/>
      <c r="AD238" s="88">
        <v>9120</v>
      </c>
      <c r="AE238" s="88">
        <v>8665</v>
      </c>
      <c r="AF238" s="88">
        <v>7365</v>
      </c>
    </row>
    <row r="239" s="44" customFormat="1" ht="38" customHeight="1" spans="1:32">
      <c r="A239" s="55"/>
      <c r="B239" s="55"/>
      <c r="C239" s="55"/>
      <c r="D239" s="55"/>
      <c r="E239" s="59"/>
      <c r="F239" s="59"/>
      <c r="G239" s="55"/>
      <c r="H239" s="59"/>
      <c r="I239" s="37"/>
      <c r="J239" s="37"/>
      <c r="K239" s="64"/>
      <c r="L239" s="64"/>
      <c r="M239" s="64"/>
      <c r="N239" s="35"/>
      <c r="O239" s="35"/>
      <c r="P239" s="35"/>
      <c r="Q239" s="35"/>
      <c r="R239" s="35"/>
      <c r="S239" s="35"/>
      <c r="T239" s="64"/>
      <c r="U239" s="59"/>
      <c r="V239" s="76" t="s">
        <v>988</v>
      </c>
      <c r="W239" s="83">
        <v>236</v>
      </c>
      <c r="X239" s="76">
        <v>33080301403</v>
      </c>
      <c r="Y239" s="77" t="s">
        <v>989</v>
      </c>
      <c r="Z239" s="77"/>
      <c r="AA239" s="77"/>
      <c r="AB239" s="77" t="s">
        <v>54</v>
      </c>
      <c r="AC239" s="77" t="s">
        <v>40</v>
      </c>
      <c r="AD239" s="88">
        <v>11855</v>
      </c>
      <c r="AE239" s="88">
        <v>11265</v>
      </c>
      <c r="AF239" s="88">
        <v>9575</v>
      </c>
    </row>
    <row r="240" s="44" customFormat="1" ht="38" customHeight="1" spans="1:32">
      <c r="A240" s="55">
        <v>62</v>
      </c>
      <c r="B240" s="55" t="s">
        <v>990</v>
      </c>
      <c r="C240" s="55" t="s">
        <v>991</v>
      </c>
      <c r="D240" s="55" t="s">
        <v>350</v>
      </c>
      <c r="E240" s="59" t="s">
        <v>992</v>
      </c>
      <c r="F240" s="59" t="s">
        <v>993</v>
      </c>
      <c r="G240" s="55" t="s">
        <v>54</v>
      </c>
      <c r="H240" s="59" t="s">
        <v>40</v>
      </c>
      <c r="I240" s="30">
        <v>3520</v>
      </c>
      <c r="J240" s="30">
        <v>3168</v>
      </c>
      <c r="K240" s="64">
        <v>3040</v>
      </c>
      <c r="L240" s="64"/>
      <c r="M240" s="64"/>
      <c r="N240" s="35">
        <v>3200</v>
      </c>
      <c r="O240" s="35">
        <v>2900</v>
      </c>
      <c r="P240" s="35">
        <v>2450</v>
      </c>
      <c r="Q240" s="55" t="s">
        <v>41</v>
      </c>
      <c r="R240" s="55" t="s">
        <v>40</v>
      </c>
      <c r="S240" s="74" t="s">
        <v>40</v>
      </c>
      <c r="T240" s="64" t="s">
        <v>994</v>
      </c>
      <c r="U240" s="59" t="s">
        <v>995</v>
      </c>
      <c r="V240" s="76" t="s">
        <v>996</v>
      </c>
      <c r="W240" s="83">
        <v>237</v>
      </c>
      <c r="X240" s="76">
        <v>330803002</v>
      </c>
      <c r="Y240" s="77" t="s">
        <v>997</v>
      </c>
      <c r="Z240" s="77" t="s">
        <v>998</v>
      </c>
      <c r="AA240" s="77"/>
      <c r="AB240" s="77" t="s">
        <v>54</v>
      </c>
      <c r="AC240" s="77" t="s">
        <v>40</v>
      </c>
      <c r="AD240" s="88">
        <v>3040</v>
      </c>
      <c r="AE240" s="88">
        <v>2740</v>
      </c>
      <c r="AF240" s="88">
        <v>2330</v>
      </c>
    </row>
    <row r="241" s="44" customFormat="1" ht="38" customHeight="1" spans="1:32">
      <c r="A241" s="55"/>
      <c r="B241" s="55"/>
      <c r="C241" s="55"/>
      <c r="D241" s="55"/>
      <c r="E241" s="59"/>
      <c r="F241" s="59"/>
      <c r="G241" s="55"/>
      <c r="H241" s="59"/>
      <c r="I241" s="37"/>
      <c r="J241" s="37"/>
      <c r="K241" s="64"/>
      <c r="L241" s="64"/>
      <c r="M241" s="64"/>
      <c r="N241" s="35"/>
      <c r="O241" s="35"/>
      <c r="P241" s="35"/>
      <c r="Q241" s="55"/>
      <c r="R241" s="55"/>
      <c r="S241" s="74"/>
      <c r="T241" s="64"/>
      <c r="U241" s="59"/>
      <c r="V241" s="76" t="s">
        <v>999</v>
      </c>
      <c r="W241" s="83">
        <v>238</v>
      </c>
      <c r="X241" s="76">
        <v>330803003</v>
      </c>
      <c r="Y241" s="77" t="s">
        <v>1000</v>
      </c>
      <c r="Z241" s="77"/>
      <c r="AA241" s="77"/>
      <c r="AB241" s="77" t="s">
        <v>54</v>
      </c>
      <c r="AC241" s="77" t="s">
        <v>40</v>
      </c>
      <c r="AD241" s="88">
        <v>2250</v>
      </c>
      <c r="AE241" s="88">
        <v>2160</v>
      </c>
      <c r="AF241" s="88">
        <v>1836</v>
      </c>
    </row>
    <row r="242" s="44" customFormat="1" ht="30" customHeight="1" spans="1:32">
      <c r="A242" s="55" t="s">
        <v>55</v>
      </c>
      <c r="B242" s="55" t="s">
        <v>1001</v>
      </c>
      <c r="C242" s="55" t="s">
        <v>1002</v>
      </c>
      <c r="D242" s="55" t="s">
        <v>350</v>
      </c>
      <c r="E242" s="59" t="s">
        <v>40</v>
      </c>
      <c r="F242" s="59" t="s">
        <v>40</v>
      </c>
      <c r="G242" s="55" t="s">
        <v>54</v>
      </c>
      <c r="H242" s="59" t="s">
        <v>40</v>
      </c>
      <c r="I242" s="30">
        <v>1056</v>
      </c>
      <c r="J242" s="30">
        <v>950</v>
      </c>
      <c r="K242" s="64"/>
      <c r="L242" s="64"/>
      <c r="M242" s="64"/>
      <c r="N242" s="35">
        <v>960</v>
      </c>
      <c r="O242" s="35">
        <v>870</v>
      </c>
      <c r="P242" s="35">
        <v>735</v>
      </c>
      <c r="Q242" s="55" t="s">
        <v>41</v>
      </c>
      <c r="R242" s="55" t="s">
        <v>40</v>
      </c>
      <c r="S242" s="74" t="s">
        <v>40</v>
      </c>
      <c r="T242" s="64"/>
      <c r="U242" s="59" t="s">
        <v>305</v>
      </c>
      <c r="V242" s="76" t="s">
        <v>1003</v>
      </c>
      <c r="W242" s="83">
        <v>239</v>
      </c>
      <c r="X242" s="76">
        <v>33080300201</v>
      </c>
      <c r="Y242" s="77" t="s">
        <v>1004</v>
      </c>
      <c r="Z242" s="77"/>
      <c r="AA242" s="77"/>
      <c r="AB242" s="77" t="s">
        <v>54</v>
      </c>
      <c r="AC242" s="77" t="s">
        <v>40</v>
      </c>
      <c r="AD242" s="88">
        <v>3950</v>
      </c>
      <c r="AE242" s="88">
        <v>3560</v>
      </c>
      <c r="AF242" s="88">
        <v>3025</v>
      </c>
    </row>
    <row r="243" s="44" customFormat="1" ht="30" customHeight="1" spans="1:32">
      <c r="A243" s="55"/>
      <c r="B243" s="55"/>
      <c r="C243" s="55"/>
      <c r="D243" s="55"/>
      <c r="E243" s="59"/>
      <c r="F243" s="59"/>
      <c r="G243" s="55"/>
      <c r="H243" s="59"/>
      <c r="I243" s="37"/>
      <c r="J243" s="37"/>
      <c r="K243" s="64"/>
      <c r="L243" s="64"/>
      <c r="M243" s="64"/>
      <c r="N243" s="35"/>
      <c r="O243" s="35"/>
      <c r="P243" s="35"/>
      <c r="Q243" s="55"/>
      <c r="R243" s="55"/>
      <c r="S243" s="74"/>
      <c r="T243" s="64"/>
      <c r="U243" s="59"/>
      <c r="V243" s="76" t="s">
        <v>1005</v>
      </c>
      <c r="W243" s="83">
        <v>240</v>
      </c>
      <c r="X243" s="76">
        <v>33080300301</v>
      </c>
      <c r="Y243" s="77" t="s">
        <v>1006</v>
      </c>
      <c r="Z243" s="77"/>
      <c r="AA243" s="77"/>
      <c r="AB243" s="77" t="s">
        <v>54</v>
      </c>
      <c r="AC243" s="77" t="s">
        <v>40</v>
      </c>
      <c r="AD243" s="88">
        <v>2925</v>
      </c>
      <c r="AE243" s="88">
        <v>2810</v>
      </c>
      <c r="AF243" s="88">
        <v>2390</v>
      </c>
    </row>
    <row r="244" s="44" customFormat="1" ht="30" customHeight="1" spans="1:32">
      <c r="A244" s="55">
        <v>63</v>
      </c>
      <c r="B244" s="55" t="s">
        <v>1007</v>
      </c>
      <c r="C244" s="55" t="s">
        <v>1008</v>
      </c>
      <c r="D244" s="55" t="s">
        <v>350</v>
      </c>
      <c r="E244" s="59" t="s">
        <v>1009</v>
      </c>
      <c r="F244" s="59" t="s">
        <v>1010</v>
      </c>
      <c r="G244" s="55" t="s">
        <v>54</v>
      </c>
      <c r="H244" s="59" t="s">
        <v>40</v>
      </c>
      <c r="I244" s="30">
        <v>4100</v>
      </c>
      <c r="J244" s="30">
        <v>3690</v>
      </c>
      <c r="K244" s="64"/>
      <c r="L244" s="64"/>
      <c r="M244" s="64"/>
      <c r="N244" s="35">
        <v>3700</v>
      </c>
      <c r="O244" s="35">
        <v>3350</v>
      </c>
      <c r="P244" s="35">
        <v>2850</v>
      </c>
      <c r="Q244" s="55" t="s">
        <v>41</v>
      </c>
      <c r="R244" s="55" t="s">
        <v>40</v>
      </c>
      <c r="S244" s="74" t="s">
        <v>40</v>
      </c>
      <c r="T244" s="64" t="s">
        <v>355</v>
      </c>
      <c r="U244" s="59" t="s">
        <v>1011</v>
      </c>
      <c r="V244" s="76" t="s">
        <v>1012</v>
      </c>
      <c r="W244" s="83">
        <v>241</v>
      </c>
      <c r="X244" s="76">
        <v>330802013</v>
      </c>
      <c r="Y244" s="77" t="s">
        <v>1013</v>
      </c>
      <c r="Z244" s="77"/>
      <c r="AA244" s="77"/>
      <c r="AB244" s="77" t="s">
        <v>54</v>
      </c>
      <c r="AC244" s="77" t="s">
        <v>40</v>
      </c>
      <c r="AD244" s="88">
        <v>5060</v>
      </c>
      <c r="AE244" s="88">
        <v>4550</v>
      </c>
      <c r="AF244" s="88">
        <v>3870</v>
      </c>
    </row>
    <row r="245" s="44" customFormat="1" ht="30" customHeight="1" spans="1:32">
      <c r="A245" s="55"/>
      <c r="B245" s="55"/>
      <c r="C245" s="55"/>
      <c r="D245" s="55"/>
      <c r="E245" s="59"/>
      <c r="F245" s="59"/>
      <c r="G245" s="55"/>
      <c r="H245" s="59"/>
      <c r="I245" s="37"/>
      <c r="J245" s="37"/>
      <c r="K245" s="64"/>
      <c r="L245" s="64"/>
      <c r="M245" s="64"/>
      <c r="N245" s="35"/>
      <c r="O245" s="35"/>
      <c r="P245" s="35"/>
      <c r="Q245" s="55"/>
      <c r="R245" s="55"/>
      <c r="S245" s="74"/>
      <c r="T245" s="64"/>
      <c r="U245" s="59"/>
      <c r="V245" s="76" t="s">
        <v>1014</v>
      </c>
      <c r="W245" s="83">
        <v>242</v>
      </c>
      <c r="X245" s="76">
        <v>330803012</v>
      </c>
      <c r="Y245" s="77" t="s">
        <v>1015</v>
      </c>
      <c r="Z245" s="77"/>
      <c r="AA245" s="77"/>
      <c r="AB245" s="77" t="s">
        <v>54</v>
      </c>
      <c r="AC245" s="77" t="s">
        <v>40</v>
      </c>
      <c r="AD245" s="88">
        <v>2500</v>
      </c>
      <c r="AE245" s="88">
        <v>2400</v>
      </c>
      <c r="AF245" s="88">
        <v>2040</v>
      </c>
    </row>
    <row r="246" s="44" customFormat="1" ht="38" customHeight="1" spans="1:32">
      <c r="A246" s="55" t="s">
        <v>55</v>
      </c>
      <c r="B246" s="55" t="s">
        <v>1016</v>
      </c>
      <c r="C246" s="55" t="s">
        <v>1017</v>
      </c>
      <c r="D246" s="55" t="s">
        <v>350</v>
      </c>
      <c r="E246" s="59" t="s">
        <v>40</v>
      </c>
      <c r="F246" s="59" t="s">
        <v>40</v>
      </c>
      <c r="G246" s="55" t="s">
        <v>54</v>
      </c>
      <c r="H246" s="59" t="s">
        <v>40</v>
      </c>
      <c r="I246" s="30">
        <v>1230</v>
      </c>
      <c r="J246" s="30">
        <v>1107</v>
      </c>
      <c r="K246" s="64"/>
      <c r="L246" s="64"/>
      <c r="M246" s="64"/>
      <c r="N246" s="35">
        <v>1110</v>
      </c>
      <c r="O246" s="35">
        <v>1005</v>
      </c>
      <c r="P246" s="35">
        <v>855</v>
      </c>
      <c r="Q246" s="55" t="s">
        <v>41</v>
      </c>
      <c r="R246" s="55" t="s">
        <v>40</v>
      </c>
      <c r="S246" s="74" t="s">
        <v>40</v>
      </c>
      <c r="T246" s="64"/>
      <c r="U246" s="59" t="s">
        <v>305</v>
      </c>
      <c r="V246" s="76" t="s">
        <v>1018</v>
      </c>
      <c r="W246" s="83">
        <v>243</v>
      </c>
      <c r="X246" s="76">
        <v>33080201301</v>
      </c>
      <c r="Y246" s="77" t="s">
        <v>1019</v>
      </c>
      <c r="Z246" s="77"/>
      <c r="AA246" s="77"/>
      <c r="AB246" s="77" t="s">
        <v>54</v>
      </c>
      <c r="AC246" s="77" t="s">
        <v>40</v>
      </c>
      <c r="AD246" s="88">
        <v>6580</v>
      </c>
      <c r="AE246" s="88">
        <v>5915</v>
      </c>
      <c r="AF246" s="88">
        <v>5030</v>
      </c>
    </row>
    <row r="247" s="44" customFormat="1" ht="38" customHeight="1" spans="1:32">
      <c r="A247" s="55"/>
      <c r="B247" s="55"/>
      <c r="C247" s="55"/>
      <c r="D247" s="55"/>
      <c r="E247" s="59"/>
      <c r="F247" s="59"/>
      <c r="G247" s="55"/>
      <c r="H247" s="59"/>
      <c r="I247" s="37"/>
      <c r="J247" s="37"/>
      <c r="K247" s="64"/>
      <c r="L247" s="64"/>
      <c r="M247" s="64"/>
      <c r="N247" s="35"/>
      <c r="O247" s="35"/>
      <c r="P247" s="35"/>
      <c r="Q247" s="55"/>
      <c r="R247" s="55"/>
      <c r="S247" s="74"/>
      <c r="T247" s="64"/>
      <c r="U247" s="59"/>
      <c r="V247" s="76" t="s">
        <v>1020</v>
      </c>
      <c r="W247" s="83">
        <v>244</v>
      </c>
      <c r="X247" s="76">
        <v>33080301201</v>
      </c>
      <c r="Y247" s="77" t="s">
        <v>1021</v>
      </c>
      <c r="Z247" s="77"/>
      <c r="AA247" s="77"/>
      <c r="AB247" s="77" t="s">
        <v>54</v>
      </c>
      <c r="AC247" s="77" t="s">
        <v>40</v>
      </c>
      <c r="AD247" s="88">
        <v>3250</v>
      </c>
      <c r="AE247" s="88">
        <v>3120</v>
      </c>
      <c r="AF247" s="88">
        <v>2650</v>
      </c>
    </row>
    <row r="248" s="44" customFormat="1" ht="63" customHeight="1" spans="1:32">
      <c r="A248" s="55">
        <v>64</v>
      </c>
      <c r="B248" s="55" t="s">
        <v>1022</v>
      </c>
      <c r="C248" s="55" t="s">
        <v>1023</v>
      </c>
      <c r="D248" s="55" t="s">
        <v>350</v>
      </c>
      <c r="E248" s="59" t="s">
        <v>1024</v>
      </c>
      <c r="F248" s="59" t="s">
        <v>1025</v>
      </c>
      <c r="G248" s="55" t="s">
        <v>54</v>
      </c>
      <c r="H248" s="59" t="s">
        <v>40</v>
      </c>
      <c r="I248" s="30">
        <v>1350</v>
      </c>
      <c r="J248" s="30">
        <v>1215</v>
      </c>
      <c r="K248" s="64">
        <v>1250</v>
      </c>
      <c r="L248" s="64">
        <v>1200</v>
      </c>
      <c r="M248" s="64">
        <v>1020</v>
      </c>
      <c r="N248" s="35">
        <v>1250</v>
      </c>
      <c r="O248" s="35">
        <v>1200</v>
      </c>
      <c r="P248" s="35">
        <v>1020</v>
      </c>
      <c r="Q248" s="55" t="s">
        <v>41</v>
      </c>
      <c r="R248" s="55" t="s">
        <v>40</v>
      </c>
      <c r="S248" s="74" t="s">
        <v>40</v>
      </c>
      <c r="T248" s="64" t="s">
        <v>183</v>
      </c>
      <c r="U248" s="59" t="s">
        <v>183</v>
      </c>
      <c r="V248" s="76" t="s">
        <v>1026</v>
      </c>
      <c r="W248" s="83">
        <v>245</v>
      </c>
      <c r="X248" s="76">
        <v>330803005</v>
      </c>
      <c r="Y248" s="77" t="s">
        <v>1027</v>
      </c>
      <c r="Z248" s="77"/>
      <c r="AA248" s="77"/>
      <c r="AB248" s="77" t="s">
        <v>54</v>
      </c>
      <c r="AC248" s="77" t="s">
        <v>40</v>
      </c>
      <c r="AD248" s="88">
        <v>1250</v>
      </c>
      <c r="AE248" s="88">
        <v>1200</v>
      </c>
      <c r="AF248" s="88">
        <v>1020</v>
      </c>
    </row>
    <row r="249" s="44" customFormat="1" ht="38" customHeight="1" spans="1:32">
      <c r="A249" s="55" t="s">
        <v>55</v>
      </c>
      <c r="B249" s="55" t="s">
        <v>1028</v>
      </c>
      <c r="C249" s="55" t="s">
        <v>1029</v>
      </c>
      <c r="D249" s="55" t="s">
        <v>350</v>
      </c>
      <c r="E249" s="59" t="s">
        <v>40</v>
      </c>
      <c r="F249" s="59" t="s">
        <v>40</v>
      </c>
      <c r="G249" s="55" t="s">
        <v>54</v>
      </c>
      <c r="H249" s="59" t="s">
        <v>40</v>
      </c>
      <c r="I249" s="30">
        <v>405</v>
      </c>
      <c r="J249" s="30">
        <v>365</v>
      </c>
      <c r="K249" s="64"/>
      <c r="L249" s="64"/>
      <c r="M249" s="64"/>
      <c r="N249" s="35">
        <v>375</v>
      </c>
      <c r="O249" s="35">
        <v>360</v>
      </c>
      <c r="P249" s="35">
        <v>305</v>
      </c>
      <c r="Q249" s="55" t="s">
        <v>41</v>
      </c>
      <c r="R249" s="55" t="s">
        <v>40</v>
      </c>
      <c r="S249" s="74" t="s">
        <v>40</v>
      </c>
      <c r="T249" s="64"/>
      <c r="U249" s="59" t="s">
        <v>305</v>
      </c>
      <c r="V249" s="76" t="s">
        <v>1030</v>
      </c>
      <c r="W249" s="83">
        <v>246</v>
      </c>
      <c r="X249" s="76">
        <v>33080300501</v>
      </c>
      <c r="Y249" s="77" t="s">
        <v>1031</v>
      </c>
      <c r="Z249" s="77"/>
      <c r="AA249" s="77"/>
      <c r="AB249" s="77" t="s">
        <v>54</v>
      </c>
      <c r="AC249" s="77" t="s">
        <v>40</v>
      </c>
      <c r="AD249" s="88">
        <v>1625</v>
      </c>
      <c r="AE249" s="88">
        <v>1560</v>
      </c>
      <c r="AF249" s="88">
        <v>1325</v>
      </c>
    </row>
    <row r="250" s="44" customFormat="1" ht="38" customHeight="1" spans="1:32">
      <c r="A250" s="55">
        <v>65</v>
      </c>
      <c r="B250" s="55" t="s">
        <v>1032</v>
      </c>
      <c r="C250" s="55" t="s">
        <v>1033</v>
      </c>
      <c r="D250" s="55" t="s">
        <v>350</v>
      </c>
      <c r="E250" s="59" t="s">
        <v>1034</v>
      </c>
      <c r="F250" s="59" t="s">
        <v>1035</v>
      </c>
      <c r="G250" s="55" t="s">
        <v>54</v>
      </c>
      <c r="H250" s="59" t="s">
        <v>40</v>
      </c>
      <c r="I250" s="30">
        <v>2730</v>
      </c>
      <c r="J250" s="30">
        <v>2457</v>
      </c>
      <c r="K250" s="64">
        <v>2875</v>
      </c>
      <c r="L250" s="64">
        <v>2560</v>
      </c>
      <c r="M250" s="64"/>
      <c r="N250" s="68">
        <v>2600</v>
      </c>
      <c r="O250" s="68">
        <v>2450</v>
      </c>
      <c r="P250" s="68">
        <v>2080</v>
      </c>
      <c r="Q250" s="55" t="s">
        <v>41</v>
      </c>
      <c r="R250" s="55" t="s">
        <v>40</v>
      </c>
      <c r="S250" s="74" t="s">
        <v>40</v>
      </c>
      <c r="T250" s="64" t="s">
        <v>115</v>
      </c>
      <c r="U250" s="59" t="s">
        <v>579</v>
      </c>
      <c r="V250" s="76" t="s">
        <v>1036</v>
      </c>
      <c r="W250" s="83">
        <v>247</v>
      </c>
      <c r="X250" s="76">
        <v>330803004</v>
      </c>
      <c r="Y250" s="77" t="s">
        <v>1037</v>
      </c>
      <c r="Z250" s="77"/>
      <c r="AA250" s="77"/>
      <c r="AB250" s="77" t="s">
        <v>54</v>
      </c>
      <c r="AC250" s="77" t="s">
        <v>40</v>
      </c>
      <c r="AD250" s="88">
        <v>2250</v>
      </c>
      <c r="AE250" s="88">
        <v>2160</v>
      </c>
      <c r="AF250" s="88">
        <v>1836</v>
      </c>
    </row>
    <row r="251" s="44" customFormat="1" ht="38" customHeight="1" spans="1:32">
      <c r="A251" s="55"/>
      <c r="B251" s="55"/>
      <c r="C251" s="55"/>
      <c r="D251" s="55"/>
      <c r="E251" s="59"/>
      <c r="F251" s="59"/>
      <c r="G251" s="55"/>
      <c r="H251" s="59"/>
      <c r="I251" s="37"/>
      <c r="J251" s="37"/>
      <c r="K251" s="64"/>
      <c r="L251" s="64"/>
      <c r="M251" s="64"/>
      <c r="N251" s="68"/>
      <c r="O251" s="68"/>
      <c r="P251" s="68"/>
      <c r="Q251" s="55"/>
      <c r="R251" s="55"/>
      <c r="S251" s="74"/>
      <c r="T251" s="64"/>
      <c r="U251" s="59"/>
      <c r="V251" s="76" t="s">
        <v>1038</v>
      </c>
      <c r="W251" s="83">
        <v>248</v>
      </c>
      <c r="X251" s="76">
        <v>33080300402</v>
      </c>
      <c r="Y251" s="77" t="s">
        <v>1039</v>
      </c>
      <c r="Z251" s="77"/>
      <c r="AA251" s="77"/>
      <c r="AB251" s="77" t="s">
        <v>54</v>
      </c>
      <c r="AC251" s="77" t="s">
        <v>40</v>
      </c>
      <c r="AD251" s="88">
        <v>2875</v>
      </c>
      <c r="AE251" s="88">
        <v>2760</v>
      </c>
      <c r="AF251" s="88">
        <v>2346</v>
      </c>
    </row>
    <row r="252" s="44" customFormat="1" ht="38" customHeight="1" spans="1:32">
      <c r="A252" s="55" t="s">
        <v>55</v>
      </c>
      <c r="B252" s="55" t="s">
        <v>1040</v>
      </c>
      <c r="C252" s="55" t="s">
        <v>1041</v>
      </c>
      <c r="D252" s="55" t="s">
        <v>350</v>
      </c>
      <c r="E252" s="59" t="s">
        <v>40</v>
      </c>
      <c r="F252" s="59" t="s">
        <v>40</v>
      </c>
      <c r="G252" s="55" t="s">
        <v>54</v>
      </c>
      <c r="H252" s="59" t="s">
        <v>40</v>
      </c>
      <c r="I252" s="30">
        <v>819</v>
      </c>
      <c r="J252" s="30">
        <v>737</v>
      </c>
      <c r="K252" s="64"/>
      <c r="L252" s="64"/>
      <c r="M252" s="64"/>
      <c r="N252" s="35">
        <v>780</v>
      </c>
      <c r="O252" s="35">
        <v>735</v>
      </c>
      <c r="P252" s="35">
        <v>625</v>
      </c>
      <c r="Q252" s="55" t="s">
        <v>41</v>
      </c>
      <c r="R252" s="55" t="s">
        <v>40</v>
      </c>
      <c r="S252" s="74" t="s">
        <v>40</v>
      </c>
      <c r="T252" s="64"/>
      <c r="U252" s="59" t="s">
        <v>305</v>
      </c>
      <c r="V252" s="76" t="s">
        <v>1042</v>
      </c>
      <c r="W252" s="83">
        <v>249</v>
      </c>
      <c r="X252" s="76">
        <v>33080300401</v>
      </c>
      <c r="Y252" s="77" t="s">
        <v>1043</v>
      </c>
      <c r="Z252" s="77"/>
      <c r="AA252" s="77"/>
      <c r="AB252" s="77" t="s">
        <v>54</v>
      </c>
      <c r="AC252" s="77" t="s">
        <v>40</v>
      </c>
      <c r="AD252" s="88">
        <v>2925</v>
      </c>
      <c r="AE252" s="88">
        <v>2810</v>
      </c>
      <c r="AF252" s="88">
        <v>2390</v>
      </c>
    </row>
    <row r="253" s="44" customFormat="1" ht="38" customHeight="1" spans="1:32">
      <c r="A253" s="55"/>
      <c r="B253" s="55"/>
      <c r="C253" s="55"/>
      <c r="D253" s="55"/>
      <c r="E253" s="59"/>
      <c r="F253" s="59"/>
      <c r="G253" s="55"/>
      <c r="H253" s="59"/>
      <c r="I253" s="37"/>
      <c r="J253" s="37"/>
      <c r="K253" s="64"/>
      <c r="L253" s="64"/>
      <c r="M253" s="64"/>
      <c r="N253" s="35"/>
      <c r="O253" s="35"/>
      <c r="P253" s="35"/>
      <c r="Q253" s="55"/>
      <c r="R253" s="55"/>
      <c r="S253" s="74"/>
      <c r="T253" s="64"/>
      <c r="U253" s="59"/>
      <c r="V253" s="76" t="s">
        <v>1044</v>
      </c>
      <c r="W253" s="83">
        <v>250</v>
      </c>
      <c r="X253" s="76">
        <v>33080300403</v>
      </c>
      <c r="Y253" s="77" t="s">
        <v>1045</v>
      </c>
      <c r="Z253" s="77"/>
      <c r="AA253" s="77"/>
      <c r="AB253" s="77" t="s">
        <v>54</v>
      </c>
      <c r="AC253" s="77" t="s">
        <v>40</v>
      </c>
      <c r="AD253" s="88">
        <v>3550</v>
      </c>
      <c r="AE253" s="88">
        <v>3410</v>
      </c>
      <c r="AF253" s="88">
        <v>2900</v>
      </c>
    </row>
    <row r="254" s="44" customFormat="1" ht="38" customHeight="1" spans="1:32">
      <c r="A254" s="55" t="s">
        <v>55</v>
      </c>
      <c r="B254" s="55" t="s">
        <v>1046</v>
      </c>
      <c r="C254" s="55" t="s">
        <v>1047</v>
      </c>
      <c r="D254" s="55" t="s">
        <v>350</v>
      </c>
      <c r="E254" s="59" t="s">
        <v>40</v>
      </c>
      <c r="F254" s="59" t="s">
        <v>40</v>
      </c>
      <c r="G254" s="55" t="s">
        <v>54</v>
      </c>
      <c r="H254" s="59" t="s">
        <v>40</v>
      </c>
      <c r="I254" s="30">
        <v>1000</v>
      </c>
      <c r="J254" s="30">
        <v>900</v>
      </c>
      <c r="K254" s="64"/>
      <c r="L254" s="64"/>
      <c r="M254" s="64"/>
      <c r="N254" s="35">
        <v>900</v>
      </c>
      <c r="O254" s="35">
        <v>810</v>
      </c>
      <c r="P254" s="35">
        <v>690</v>
      </c>
      <c r="Q254" s="55" t="s">
        <v>41</v>
      </c>
      <c r="R254" s="55" t="s">
        <v>40</v>
      </c>
      <c r="S254" s="74" t="s">
        <v>40</v>
      </c>
      <c r="T254" s="64"/>
      <c r="U254" s="59" t="s">
        <v>817</v>
      </c>
      <c r="V254" s="76"/>
      <c r="W254" s="83">
        <v>251</v>
      </c>
      <c r="X254" s="76"/>
      <c r="Y254" s="77"/>
      <c r="Z254" s="77"/>
      <c r="AA254" s="77"/>
      <c r="AB254" s="77"/>
      <c r="AC254" s="77"/>
      <c r="AD254" s="88"/>
      <c r="AE254" s="88"/>
      <c r="AF254" s="88"/>
    </row>
    <row r="255" s="44" customFormat="1" ht="38" customHeight="1" spans="1:32">
      <c r="A255" s="55">
        <v>66</v>
      </c>
      <c r="B255" s="55" t="s">
        <v>1048</v>
      </c>
      <c r="C255" s="55" t="s">
        <v>1049</v>
      </c>
      <c r="D255" s="55" t="s">
        <v>350</v>
      </c>
      <c r="E255" s="59" t="s">
        <v>1050</v>
      </c>
      <c r="F255" s="59" t="s">
        <v>1051</v>
      </c>
      <c r="G255" s="55" t="s">
        <v>54</v>
      </c>
      <c r="H255" s="59" t="s">
        <v>40</v>
      </c>
      <c r="I255" s="30">
        <v>5620</v>
      </c>
      <c r="J255" s="30">
        <v>5058</v>
      </c>
      <c r="K255" s="64">
        <v>5077.27272727273</v>
      </c>
      <c r="L255" s="64"/>
      <c r="M255" s="64"/>
      <c r="N255" s="35">
        <v>5080</v>
      </c>
      <c r="O255" s="35">
        <v>4580</v>
      </c>
      <c r="P255" s="35">
        <v>3900</v>
      </c>
      <c r="Q255" s="55" t="s">
        <v>41</v>
      </c>
      <c r="R255" s="55" t="s">
        <v>40</v>
      </c>
      <c r="S255" s="74" t="s">
        <v>40</v>
      </c>
      <c r="T255" s="64" t="s">
        <v>42</v>
      </c>
      <c r="U255" s="59" t="s">
        <v>42</v>
      </c>
      <c r="V255" s="76" t="s">
        <v>1052</v>
      </c>
      <c r="W255" s="83">
        <v>252</v>
      </c>
      <c r="X255" s="76">
        <v>330803009</v>
      </c>
      <c r="Y255" s="77" t="s">
        <v>1053</v>
      </c>
      <c r="Z255" s="77" t="s">
        <v>1054</v>
      </c>
      <c r="AA255" s="77"/>
      <c r="AB255" s="77" t="s">
        <v>54</v>
      </c>
      <c r="AC255" s="77" t="s">
        <v>1055</v>
      </c>
      <c r="AD255" s="88">
        <v>4750</v>
      </c>
      <c r="AE255" s="88">
        <v>4275</v>
      </c>
      <c r="AF255" s="88">
        <v>3420</v>
      </c>
    </row>
    <row r="256" s="44" customFormat="1" ht="38" customHeight="1" spans="1:32">
      <c r="A256" s="55"/>
      <c r="B256" s="55"/>
      <c r="C256" s="55"/>
      <c r="D256" s="55"/>
      <c r="E256" s="59"/>
      <c r="F256" s="59"/>
      <c r="G256" s="55"/>
      <c r="H256" s="59"/>
      <c r="I256" s="37"/>
      <c r="J256" s="37"/>
      <c r="K256" s="64"/>
      <c r="L256" s="64"/>
      <c r="M256" s="64"/>
      <c r="N256" s="35"/>
      <c r="O256" s="35"/>
      <c r="P256" s="35"/>
      <c r="Q256" s="55"/>
      <c r="R256" s="55"/>
      <c r="S256" s="74"/>
      <c r="T256" s="64"/>
      <c r="U256" s="59"/>
      <c r="V256" s="76" t="s">
        <v>1056</v>
      </c>
      <c r="W256" s="83">
        <v>253</v>
      </c>
      <c r="X256" s="76">
        <v>33080300901</v>
      </c>
      <c r="Y256" s="77" t="s">
        <v>1057</v>
      </c>
      <c r="Z256" s="77"/>
      <c r="AA256" s="77"/>
      <c r="AB256" s="77" t="s">
        <v>54</v>
      </c>
      <c r="AC256" s="77" t="s">
        <v>1058</v>
      </c>
      <c r="AD256" s="88">
        <v>5470</v>
      </c>
      <c r="AE256" s="88">
        <v>4925</v>
      </c>
      <c r="AF256" s="88">
        <v>3975</v>
      </c>
    </row>
    <row r="257" s="44" customFormat="1" ht="38" customHeight="1" spans="1:32">
      <c r="A257" s="55"/>
      <c r="B257" s="55"/>
      <c r="C257" s="55"/>
      <c r="D257" s="55"/>
      <c r="E257" s="59"/>
      <c r="F257" s="59"/>
      <c r="G257" s="55"/>
      <c r="H257" s="59"/>
      <c r="I257" s="37"/>
      <c r="J257" s="37"/>
      <c r="K257" s="64"/>
      <c r="L257" s="64"/>
      <c r="M257" s="64"/>
      <c r="N257" s="35"/>
      <c r="O257" s="35"/>
      <c r="P257" s="35"/>
      <c r="Q257" s="55"/>
      <c r="R257" s="55"/>
      <c r="S257" s="74"/>
      <c r="T257" s="64"/>
      <c r="U257" s="59"/>
      <c r="V257" s="78" t="s">
        <v>1059</v>
      </c>
      <c r="W257" s="83">
        <v>254</v>
      </c>
      <c r="X257" s="78">
        <v>330803013</v>
      </c>
      <c r="Y257" s="79" t="s">
        <v>1060</v>
      </c>
      <c r="Z257" s="79"/>
      <c r="AA257" s="79"/>
      <c r="AB257" s="79" t="s">
        <v>54</v>
      </c>
      <c r="AC257" s="79" t="s">
        <v>40</v>
      </c>
      <c r="AD257" s="89">
        <v>2500</v>
      </c>
      <c r="AE257" s="89">
        <v>2400</v>
      </c>
      <c r="AF257" s="89">
        <v>2040</v>
      </c>
    </row>
    <row r="258" s="44" customFormat="1" ht="38" customHeight="1" spans="1:32">
      <c r="A258" s="55" t="s">
        <v>55</v>
      </c>
      <c r="B258" s="55" t="s">
        <v>1061</v>
      </c>
      <c r="C258" s="55" t="s">
        <v>1062</v>
      </c>
      <c r="D258" s="55" t="s">
        <v>350</v>
      </c>
      <c r="E258" s="59" t="s">
        <v>40</v>
      </c>
      <c r="F258" s="59" t="s">
        <v>40</v>
      </c>
      <c r="G258" s="55" t="s">
        <v>54</v>
      </c>
      <c r="H258" s="59" t="s">
        <v>40</v>
      </c>
      <c r="I258" s="30">
        <v>1686</v>
      </c>
      <c r="J258" s="30">
        <v>1517</v>
      </c>
      <c r="K258" s="64"/>
      <c r="L258" s="64"/>
      <c r="M258" s="64"/>
      <c r="N258" s="35">
        <v>1525</v>
      </c>
      <c r="O258" s="35">
        <v>1375</v>
      </c>
      <c r="P258" s="35">
        <v>1170</v>
      </c>
      <c r="Q258" s="55" t="s">
        <v>41</v>
      </c>
      <c r="R258" s="55" t="s">
        <v>40</v>
      </c>
      <c r="S258" s="74" t="s">
        <v>40</v>
      </c>
      <c r="T258" s="64"/>
      <c r="U258" s="59" t="s">
        <v>305</v>
      </c>
      <c r="V258" s="76" t="s">
        <v>1063</v>
      </c>
      <c r="W258" s="83">
        <v>255</v>
      </c>
      <c r="X258" s="76">
        <v>33080300902</v>
      </c>
      <c r="Y258" s="77" t="s">
        <v>1064</v>
      </c>
      <c r="Z258" s="77"/>
      <c r="AA258" s="77"/>
      <c r="AB258" s="77" t="s">
        <v>54</v>
      </c>
      <c r="AC258" s="77" t="s">
        <v>40</v>
      </c>
      <c r="AD258" s="88">
        <v>6175</v>
      </c>
      <c r="AE258" s="88">
        <v>5555</v>
      </c>
      <c r="AF258" s="88">
        <v>4445</v>
      </c>
    </row>
    <row r="259" s="44" customFormat="1" ht="38" customHeight="1" spans="1:32">
      <c r="A259" s="55"/>
      <c r="B259" s="55"/>
      <c r="C259" s="55"/>
      <c r="D259" s="55"/>
      <c r="E259" s="59"/>
      <c r="F259" s="59"/>
      <c r="G259" s="55"/>
      <c r="H259" s="59"/>
      <c r="I259" s="37"/>
      <c r="J259" s="37"/>
      <c r="K259" s="64"/>
      <c r="L259" s="64"/>
      <c r="M259" s="64"/>
      <c r="N259" s="35"/>
      <c r="O259" s="35"/>
      <c r="P259" s="35"/>
      <c r="Q259" s="55"/>
      <c r="R259" s="55"/>
      <c r="S259" s="74"/>
      <c r="T259" s="64"/>
      <c r="U259" s="59"/>
      <c r="V259" s="76" t="s">
        <v>1065</v>
      </c>
      <c r="W259" s="83">
        <v>256</v>
      </c>
      <c r="X259" s="76">
        <v>33080300903</v>
      </c>
      <c r="Y259" s="77" t="s">
        <v>1066</v>
      </c>
      <c r="Z259" s="77"/>
      <c r="AA259" s="77"/>
      <c r="AB259" s="77" t="s">
        <v>54</v>
      </c>
      <c r="AC259" s="77" t="s">
        <v>1058</v>
      </c>
      <c r="AD259" s="88">
        <v>7110</v>
      </c>
      <c r="AE259" s="88">
        <v>6400</v>
      </c>
      <c r="AF259" s="88">
        <v>5165</v>
      </c>
    </row>
    <row r="260" s="44" customFormat="1" ht="38" customHeight="1" spans="1:32">
      <c r="A260" s="55"/>
      <c r="B260" s="55"/>
      <c r="C260" s="55"/>
      <c r="D260" s="55"/>
      <c r="E260" s="59"/>
      <c r="F260" s="59"/>
      <c r="G260" s="55"/>
      <c r="H260" s="59"/>
      <c r="I260" s="37"/>
      <c r="J260" s="37"/>
      <c r="K260" s="64"/>
      <c r="L260" s="64"/>
      <c r="M260" s="64"/>
      <c r="N260" s="35"/>
      <c r="O260" s="35"/>
      <c r="P260" s="35"/>
      <c r="Q260" s="55"/>
      <c r="R260" s="55"/>
      <c r="S260" s="74"/>
      <c r="T260" s="64"/>
      <c r="U260" s="59"/>
      <c r="V260" s="78" t="s">
        <v>1067</v>
      </c>
      <c r="W260" s="83">
        <v>257</v>
      </c>
      <c r="X260" s="78">
        <v>33080301301</v>
      </c>
      <c r="Y260" s="79" t="s">
        <v>1068</v>
      </c>
      <c r="Z260" s="79"/>
      <c r="AA260" s="79"/>
      <c r="AB260" s="79" t="s">
        <v>54</v>
      </c>
      <c r="AC260" s="79" t="s">
        <v>40</v>
      </c>
      <c r="AD260" s="89">
        <v>3250</v>
      </c>
      <c r="AE260" s="89">
        <v>3120</v>
      </c>
      <c r="AF260" s="89">
        <v>2650</v>
      </c>
    </row>
    <row r="261" s="44" customFormat="1" ht="38" customHeight="1" spans="1:32">
      <c r="A261" s="55" t="s">
        <v>55</v>
      </c>
      <c r="B261" s="55" t="s">
        <v>1069</v>
      </c>
      <c r="C261" s="55" t="s">
        <v>1070</v>
      </c>
      <c r="D261" s="55" t="s">
        <v>350</v>
      </c>
      <c r="E261" s="59" t="s">
        <v>40</v>
      </c>
      <c r="F261" s="59" t="s">
        <v>40</v>
      </c>
      <c r="G261" s="55" t="s">
        <v>54</v>
      </c>
      <c r="H261" s="59" t="s">
        <v>40</v>
      </c>
      <c r="I261" s="30">
        <v>1200</v>
      </c>
      <c r="J261" s="30">
        <v>1080</v>
      </c>
      <c r="K261" s="64"/>
      <c r="L261" s="64"/>
      <c r="M261" s="64"/>
      <c r="N261" s="35">
        <v>1100</v>
      </c>
      <c r="O261" s="35">
        <v>990</v>
      </c>
      <c r="P261" s="35">
        <v>850</v>
      </c>
      <c r="Q261" s="55" t="s">
        <v>41</v>
      </c>
      <c r="R261" s="55" t="s">
        <v>40</v>
      </c>
      <c r="S261" s="74" t="s">
        <v>40</v>
      </c>
      <c r="T261" s="64"/>
      <c r="U261" s="59" t="s">
        <v>1011</v>
      </c>
      <c r="V261" s="76" t="s">
        <v>1071</v>
      </c>
      <c r="W261" s="83">
        <v>258</v>
      </c>
      <c r="X261" s="76">
        <v>330803010</v>
      </c>
      <c r="Y261" s="77" t="s">
        <v>1072</v>
      </c>
      <c r="Z261" s="77"/>
      <c r="AA261" s="77"/>
      <c r="AB261" s="77" t="s">
        <v>54</v>
      </c>
      <c r="AC261" s="77" t="s">
        <v>40</v>
      </c>
      <c r="AD261" s="88">
        <v>5400</v>
      </c>
      <c r="AE261" s="88">
        <v>4860</v>
      </c>
      <c r="AF261" s="88">
        <v>4130</v>
      </c>
    </row>
    <row r="262" s="44" customFormat="1" ht="38" customHeight="1" spans="1:32">
      <c r="A262" s="55"/>
      <c r="B262" s="55"/>
      <c r="C262" s="55"/>
      <c r="D262" s="55"/>
      <c r="E262" s="59"/>
      <c r="F262" s="59"/>
      <c r="G262" s="55"/>
      <c r="H262" s="59"/>
      <c r="I262" s="37"/>
      <c r="J262" s="37"/>
      <c r="K262" s="64"/>
      <c r="L262" s="64"/>
      <c r="M262" s="64"/>
      <c r="N262" s="35"/>
      <c r="O262" s="35"/>
      <c r="P262" s="35"/>
      <c r="Q262" s="55"/>
      <c r="R262" s="55"/>
      <c r="S262" s="74"/>
      <c r="T262" s="64"/>
      <c r="U262" s="59"/>
      <c r="V262" s="76" t="s">
        <v>1073</v>
      </c>
      <c r="W262" s="83">
        <v>259</v>
      </c>
      <c r="X262" s="76">
        <v>33080301001</v>
      </c>
      <c r="Y262" s="77" t="s">
        <v>1074</v>
      </c>
      <c r="Z262" s="77"/>
      <c r="AA262" s="77"/>
      <c r="AB262" s="77" t="s">
        <v>54</v>
      </c>
      <c r="AC262" s="77" t="s">
        <v>40</v>
      </c>
      <c r="AD262" s="88">
        <v>7020</v>
      </c>
      <c r="AE262" s="88">
        <v>6320</v>
      </c>
      <c r="AF262" s="88">
        <v>5370</v>
      </c>
    </row>
    <row r="263" s="44" customFormat="1" ht="38" customHeight="1" spans="1:32">
      <c r="A263" s="55">
        <v>67</v>
      </c>
      <c r="B263" s="55" t="s">
        <v>1075</v>
      </c>
      <c r="C263" s="55" t="s">
        <v>1076</v>
      </c>
      <c r="D263" s="55" t="s">
        <v>350</v>
      </c>
      <c r="E263" s="59" t="s">
        <v>1077</v>
      </c>
      <c r="F263" s="59" t="s">
        <v>1078</v>
      </c>
      <c r="G263" s="55" t="s">
        <v>54</v>
      </c>
      <c r="H263" s="59" t="s">
        <v>40</v>
      </c>
      <c r="I263" s="30">
        <v>3380</v>
      </c>
      <c r="J263" s="30">
        <v>3042</v>
      </c>
      <c r="K263" s="64">
        <v>3125</v>
      </c>
      <c r="L263" s="64">
        <v>3000</v>
      </c>
      <c r="M263" s="64">
        <v>2550</v>
      </c>
      <c r="N263" s="35">
        <v>3125</v>
      </c>
      <c r="O263" s="35">
        <v>3000</v>
      </c>
      <c r="P263" s="35">
        <v>2550</v>
      </c>
      <c r="Q263" s="55" t="s">
        <v>41</v>
      </c>
      <c r="R263" s="55" t="s">
        <v>40</v>
      </c>
      <c r="S263" s="74" t="s">
        <v>40</v>
      </c>
      <c r="T263" s="64" t="s">
        <v>183</v>
      </c>
      <c r="U263" s="59" t="s">
        <v>183</v>
      </c>
      <c r="V263" s="76" t="s">
        <v>1079</v>
      </c>
      <c r="W263" s="83">
        <v>260</v>
      </c>
      <c r="X263" s="76">
        <v>330803008</v>
      </c>
      <c r="Y263" s="77" t="s">
        <v>1080</v>
      </c>
      <c r="Z263" s="77" t="s">
        <v>1081</v>
      </c>
      <c r="AA263" s="77"/>
      <c r="AB263" s="77" t="s">
        <v>54</v>
      </c>
      <c r="AC263" s="77" t="s">
        <v>40</v>
      </c>
      <c r="AD263" s="88">
        <v>3125</v>
      </c>
      <c r="AE263" s="88">
        <v>3000</v>
      </c>
      <c r="AF263" s="88">
        <v>2550</v>
      </c>
    </row>
    <row r="264" s="44" customFormat="1" ht="38" customHeight="1" spans="1:32">
      <c r="A264" s="55" t="s">
        <v>55</v>
      </c>
      <c r="B264" s="55" t="s">
        <v>1082</v>
      </c>
      <c r="C264" s="55" t="s">
        <v>1083</v>
      </c>
      <c r="D264" s="55" t="s">
        <v>350</v>
      </c>
      <c r="E264" s="59" t="s">
        <v>40</v>
      </c>
      <c r="F264" s="59" t="s">
        <v>40</v>
      </c>
      <c r="G264" s="55" t="s">
        <v>54</v>
      </c>
      <c r="H264" s="59" t="s">
        <v>40</v>
      </c>
      <c r="I264" s="30">
        <v>1014</v>
      </c>
      <c r="J264" s="30">
        <v>913</v>
      </c>
      <c r="K264" s="64"/>
      <c r="L264" s="64"/>
      <c r="M264" s="64"/>
      <c r="N264" s="35">
        <v>940</v>
      </c>
      <c r="O264" s="35">
        <v>900</v>
      </c>
      <c r="P264" s="35">
        <v>765</v>
      </c>
      <c r="Q264" s="55" t="s">
        <v>41</v>
      </c>
      <c r="R264" s="55" t="s">
        <v>40</v>
      </c>
      <c r="S264" s="74" t="s">
        <v>40</v>
      </c>
      <c r="T264" s="64"/>
      <c r="U264" s="59" t="s">
        <v>305</v>
      </c>
      <c r="V264" s="76" t="s">
        <v>1084</v>
      </c>
      <c r="W264" s="83">
        <v>261</v>
      </c>
      <c r="X264" s="76">
        <v>33080300801</v>
      </c>
      <c r="Y264" s="77" t="s">
        <v>1085</v>
      </c>
      <c r="Z264" s="77"/>
      <c r="AA264" s="77"/>
      <c r="AB264" s="77" t="s">
        <v>54</v>
      </c>
      <c r="AC264" s="77" t="s">
        <v>40</v>
      </c>
      <c r="AD264" s="88">
        <v>4065</v>
      </c>
      <c r="AE264" s="88">
        <v>3900</v>
      </c>
      <c r="AF264" s="88">
        <v>3315</v>
      </c>
    </row>
    <row r="265" s="44" customFormat="1" ht="38" customHeight="1" spans="1:32">
      <c r="A265" s="55">
        <v>68</v>
      </c>
      <c r="B265" s="55" t="s">
        <v>1086</v>
      </c>
      <c r="C265" s="55" t="s">
        <v>1087</v>
      </c>
      <c r="D265" s="55" t="s">
        <v>350</v>
      </c>
      <c r="E265" s="59" t="s">
        <v>1088</v>
      </c>
      <c r="F265" s="59" t="s">
        <v>1089</v>
      </c>
      <c r="G265" s="55" t="s">
        <v>54</v>
      </c>
      <c r="H265" s="59" t="s">
        <v>40</v>
      </c>
      <c r="I265" s="30">
        <v>3840</v>
      </c>
      <c r="J265" s="30">
        <v>3456</v>
      </c>
      <c r="K265" s="64">
        <v>3650</v>
      </c>
      <c r="L265" s="64">
        <v>3285</v>
      </c>
      <c r="M265" s="64">
        <v>2625</v>
      </c>
      <c r="N265" s="35">
        <v>3650</v>
      </c>
      <c r="O265" s="35">
        <v>3285</v>
      </c>
      <c r="P265" s="68">
        <v>2800</v>
      </c>
      <c r="Q265" s="55" t="s">
        <v>41</v>
      </c>
      <c r="R265" s="55" t="s">
        <v>40</v>
      </c>
      <c r="S265" s="74" t="s">
        <v>40</v>
      </c>
      <c r="T265" s="64" t="s">
        <v>183</v>
      </c>
      <c r="U265" s="59" t="s">
        <v>973</v>
      </c>
      <c r="V265" s="76" t="s">
        <v>1090</v>
      </c>
      <c r="W265" s="83">
        <v>262</v>
      </c>
      <c r="X265" s="76">
        <v>330803007</v>
      </c>
      <c r="Y265" s="77" t="s">
        <v>1091</v>
      </c>
      <c r="Z265" s="77" t="s">
        <v>1092</v>
      </c>
      <c r="AA265" s="77"/>
      <c r="AB265" s="77" t="s">
        <v>54</v>
      </c>
      <c r="AC265" s="77" t="s">
        <v>40</v>
      </c>
      <c r="AD265" s="88">
        <v>3650</v>
      </c>
      <c r="AE265" s="88">
        <v>3285</v>
      </c>
      <c r="AF265" s="88">
        <v>2625</v>
      </c>
    </row>
    <row r="266" s="44" customFormat="1" ht="38" customHeight="1" spans="1:32">
      <c r="A266" s="55" t="s">
        <v>55</v>
      </c>
      <c r="B266" s="55" t="s">
        <v>1093</v>
      </c>
      <c r="C266" s="55" t="s">
        <v>1094</v>
      </c>
      <c r="D266" s="55" t="s">
        <v>350</v>
      </c>
      <c r="E266" s="59" t="s">
        <v>40</v>
      </c>
      <c r="F266" s="59" t="s">
        <v>40</v>
      </c>
      <c r="G266" s="55" t="s">
        <v>54</v>
      </c>
      <c r="H266" s="59" t="s">
        <v>40</v>
      </c>
      <c r="I266" s="30">
        <v>1152</v>
      </c>
      <c r="J266" s="30">
        <v>1037</v>
      </c>
      <c r="K266" s="64"/>
      <c r="L266" s="64"/>
      <c r="M266" s="64"/>
      <c r="N266" s="35">
        <v>1095</v>
      </c>
      <c r="O266" s="35">
        <v>985</v>
      </c>
      <c r="P266" s="68">
        <v>840</v>
      </c>
      <c r="Q266" s="55" t="s">
        <v>41</v>
      </c>
      <c r="R266" s="55" t="s">
        <v>40</v>
      </c>
      <c r="S266" s="74" t="s">
        <v>40</v>
      </c>
      <c r="T266" s="64"/>
      <c r="U266" s="59" t="s">
        <v>305</v>
      </c>
      <c r="V266" s="76" t="s">
        <v>1095</v>
      </c>
      <c r="W266" s="83">
        <v>263</v>
      </c>
      <c r="X266" s="76">
        <v>33080300701</v>
      </c>
      <c r="Y266" s="77" t="s">
        <v>1096</v>
      </c>
      <c r="Z266" s="77"/>
      <c r="AA266" s="77"/>
      <c r="AB266" s="77" t="s">
        <v>54</v>
      </c>
      <c r="AC266" s="77" t="s">
        <v>40</v>
      </c>
      <c r="AD266" s="88">
        <v>4745</v>
      </c>
      <c r="AE266" s="88">
        <v>4270</v>
      </c>
      <c r="AF266" s="88">
        <v>3410</v>
      </c>
    </row>
    <row r="267" s="44" customFormat="1" ht="38" customHeight="1" spans="1:32">
      <c r="A267" s="55">
        <v>69</v>
      </c>
      <c r="B267" s="55" t="s">
        <v>1097</v>
      </c>
      <c r="C267" s="55" t="s">
        <v>1098</v>
      </c>
      <c r="D267" s="55" t="s">
        <v>350</v>
      </c>
      <c r="E267" s="59" t="s">
        <v>1099</v>
      </c>
      <c r="F267" s="59" t="s">
        <v>1100</v>
      </c>
      <c r="G267" s="55" t="s">
        <v>54</v>
      </c>
      <c r="H267" s="59" t="s">
        <v>1101</v>
      </c>
      <c r="I267" s="30">
        <v>1080</v>
      </c>
      <c r="J267" s="30">
        <v>972</v>
      </c>
      <c r="K267" s="64">
        <v>1000</v>
      </c>
      <c r="L267" s="64">
        <v>960</v>
      </c>
      <c r="M267" s="64">
        <v>816</v>
      </c>
      <c r="N267" s="88">
        <v>1000</v>
      </c>
      <c r="O267" s="88">
        <v>960</v>
      </c>
      <c r="P267" s="88">
        <v>816</v>
      </c>
      <c r="Q267" s="55" t="s">
        <v>41</v>
      </c>
      <c r="R267" s="55" t="s">
        <v>40</v>
      </c>
      <c r="S267" s="74" t="s">
        <v>40</v>
      </c>
      <c r="T267" s="64" t="s">
        <v>183</v>
      </c>
      <c r="U267" s="59" t="s">
        <v>183</v>
      </c>
      <c r="V267" s="76" t="s">
        <v>1102</v>
      </c>
      <c r="W267" s="83">
        <v>264</v>
      </c>
      <c r="X267" s="76">
        <v>330803031</v>
      </c>
      <c r="Y267" s="77" t="s">
        <v>1103</v>
      </c>
      <c r="Z267" s="77"/>
      <c r="AA267" s="77"/>
      <c r="AB267" s="77" t="s">
        <v>54</v>
      </c>
      <c r="AC267" s="77" t="s">
        <v>40</v>
      </c>
      <c r="AD267" s="88">
        <v>1000</v>
      </c>
      <c r="AE267" s="88">
        <v>960</v>
      </c>
      <c r="AF267" s="88">
        <v>816</v>
      </c>
    </row>
    <row r="268" s="44" customFormat="1" ht="38" customHeight="1" spans="1:32">
      <c r="A268" s="55" t="s">
        <v>55</v>
      </c>
      <c r="B268" s="55" t="s">
        <v>1104</v>
      </c>
      <c r="C268" s="55" t="s">
        <v>1105</v>
      </c>
      <c r="D268" s="55" t="s">
        <v>350</v>
      </c>
      <c r="E268" s="59" t="s">
        <v>40</v>
      </c>
      <c r="F268" s="59" t="s">
        <v>40</v>
      </c>
      <c r="G268" s="55" t="s">
        <v>54</v>
      </c>
      <c r="H268" s="59" t="s">
        <v>40</v>
      </c>
      <c r="I268" s="30">
        <v>324</v>
      </c>
      <c r="J268" s="30">
        <v>292</v>
      </c>
      <c r="K268" s="64"/>
      <c r="L268" s="64"/>
      <c r="M268" s="64"/>
      <c r="N268" s="35">
        <v>300</v>
      </c>
      <c r="O268" s="35">
        <v>290</v>
      </c>
      <c r="P268" s="35">
        <v>245</v>
      </c>
      <c r="Q268" s="55" t="s">
        <v>41</v>
      </c>
      <c r="R268" s="55" t="s">
        <v>40</v>
      </c>
      <c r="S268" s="74" t="s">
        <v>40</v>
      </c>
      <c r="T268" s="64"/>
      <c r="U268" s="59" t="s">
        <v>305</v>
      </c>
      <c r="V268" s="76" t="s">
        <v>1106</v>
      </c>
      <c r="W268" s="83">
        <v>265</v>
      </c>
      <c r="X268" s="76">
        <v>33080303101</v>
      </c>
      <c r="Y268" s="77" t="s">
        <v>1107</v>
      </c>
      <c r="Z268" s="77"/>
      <c r="AA268" s="77"/>
      <c r="AB268" s="77" t="s">
        <v>54</v>
      </c>
      <c r="AC268" s="77" t="s">
        <v>40</v>
      </c>
      <c r="AD268" s="88">
        <v>1300</v>
      </c>
      <c r="AE268" s="88">
        <v>1250</v>
      </c>
      <c r="AF268" s="88">
        <v>1065</v>
      </c>
    </row>
    <row r="269" s="44" customFormat="1" ht="38" customHeight="1" spans="1:32">
      <c r="A269" s="55">
        <v>70</v>
      </c>
      <c r="B269" s="55" t="s">
        <v>1108</v>
      </c>
      <c r="C269" s="55" t="s">
        <v>1109</v>
      </c>
      <c r="D269" s="55" t="s">
        <v>350</v>
      </c>
      <c r="E269" s="59" t="s">
        <v>1110</v>
      </c>
      <c r="F269" s="59" t="s">
        <v>1051</v>
      </c>
      <c r="G269" s="55" t="s">
        <v>54</v>
      </c>
      <c r="H269" s="59" t="s">
        <v>40</v>
      </c>
      <c r="I269" s="30">
        <v>7680</v>
      </c>
      <c r="J269" s="30">
        <v>6912</v>
      </c>
      <c r="K269" s="64">
        <v>6600</v>
      </c>
      <c r="L269" s="64">
        <v>5940</v>
      </c>
      <c r="M269" s="64">
        <v>5050</v>
      </c>
      <c r="N269" s="35">
        <v>7000</v>
      </c>
      <c r="O269" s="35">
        <v>6300</v>
      </c>
      <c r="P269" s="35">
        <v>5400</v>
      </c>
      <c r="Q269" s="55" t="s">
        <v>41</v>
      </c>
      <c r="R269" s="55" t="s">
        <v>40</v>
      </c>
      <c r="S269" s="74" t="s">
        <v>40</v>
      </c>
      <c r="T269" s="64" t="s">
        <v>994</v>
      </c>
      <c r="U269" s="59" t="s">
        <v>1111</v>
      </c>
      <c r="V269" s="78" t="s">
        <v>1112</v>
      </c>
      <c r="W269" s="83">
        <v>266</v>
      </c>
      <c r="X269" s="78">
        <v>330802024</v>
      </c>
      <c r="Y269" s="79" t="s">
        <v>1113</v>
      </c>
      <c r="Z269" s="79" t="s">
        <v>1114</v>
      </c>
      <c r="AA269" s="79"/>
      <c r="AB269" s="79" t="s">
        <v>54</v>
      </c>
      <c r="AC269" s="79" t="s">
        <v>40</v>
      </c>
      <c r="AD269" s="89">
        <v>6600</v>
      </c>
      <c r="AE269" s="89">
        <v>5940</v>
      </c>
      <c r="AF269" s="89">
        <v>5050</v>
      </c>
    </row>
    <row r="270" s="44" customFormat="1" ht="38" customHeight="1" spans="1:32">
      <c r="A270" s="55" t="s">
        <v>55</v>
      </c>
      <c r="B270" s="55" t="s">
        <v>1115</v>
      </c>
      <c r="C270" s="55" t="s">
        <v>1116</v>
      </c>
      <c r="D270" s="55" t="s">
        <v>350</v>
      </c>
      <c r="E270" s="59" t="s">
        <v>40</v>
      </c>
      <c r="F270" s="59" t="s">
        <v>40</v>
      </c>
      <c r="G270" s="55" t="s">
        <v>54</v>
      </c>
      <c r="H270" s="59" t="s">
        <v>40</v>
      </c>
      <c r="I270" s="30">
        <v>2304</v>
      </c>
      <c r="J270" s="30">
        <v>2074</v>
      </c>
      <c r="K270" s="64"/>
      <c r="L270" s="64"/>
      <c r="M270" s="64"/>
      <c r="N270" s="35">
        <v>2100</v>
      </c>
      <c r="O270" s="35">
        <v>1890</v>
      </c>
      <c r="P270" s="35">
        <v>1620</v>
      </c>
      <c r="Q270" s="55" t="s">
        <v>41</v>
      </c>
      <c r="R270" s="55" t="s">
        <v>40</v>
      </c>
      <c r="S270" s="74" t="s">
        <v>40</v>
      </c>
      <c r="T270" s="64"/>
      <c r="U270" s="59" t="s">
        <v>305</v>
      </c>
      <c r="V270" s="76" t="s">
        <v>1117</v>
      </c>
      <c r="W270" s="83">
        <v>267</v>
      </c>
      <c r="X270" s="76">
        <v>33080202401</v>
      </c>
      <c r="Y270" s="77" t="s">
        <v>1118</v>
      </c>
      <c r="Z270" s="77"/>
      <c r="AA270" s="77"/>
      <c r="AB270" s="77" t="s">
        <v>54</v>
      </c>
      <c r="AC270" s="77" t="s">
        <v>40</v>
      </c>
      <c r="AD270" s="88">
        <v>8580</v>
      </c>
      <c r="AE270" s="88">
        <v>7720</v>
      </c>
      <c r="AF270" s="88">
        <v>6560</v>
      </c>
    </row>
    <row r="271" s="44" customFormat="1" ht="38" customHeight="1" spans="1:32">
      <c r="A271" s="55">
        <v>71</v>
      </c>
      <c r="B271" s="55" t="s">
        <v>1119</v>
      </c>
      <c r="C271" s="55" t="s">
        <v>1120</v>
      </c>
      <c r="D271" s="55" t="s">
        <v>350</v>
      </c>
      <c r="E271" s="59" t="s">
        <v>1121</v>
      </c>
      <c r="F271" s="59" t="s">
        <v>1122</v>
      </c>
      <c r="G271" s="55" t="s">
        <v>54</v>
      </c>
      <c r="H271" s="59" t="s">
        <v>40</v>
      </c>
      <c r="I271" s="30">
        <v>2500</v>
      </c>
      <c r="J271" s="30">
        <v>2250</v>
      </c>
      <c r="K271" s="64"/>
      <c r="L271" s="64"/>
      <c r="M271" s="64"/>
      <c r="N271" s="35">
        <v>2250</v>
      </c>
      <c r="O271" s="35">
        <v>2050</v>
      </c>
      <c r="P271" s="35">
        <v>1750</v>
      </c>
      <c r="Q271" s="55" t="s">
        <v>41</v>
      </c>
      <c r="R271" s="55" t="s">
        <v>40</v>
      </c>
      <c r="S271" s="74" t="s">
        <v>40</v>
      </c>
      <c r="T271" s="64" t="s">
        <v>1123</v>
      </c>
      <c r="U271" s="59" t="s">
        <v>1124</v>
      </c>
      <c r="V271" s="76" t="s">
        <v>1125</v>
      </c>
      <c r="W271" s="83">
        <v>268</v>
      </c>
      <c r="X271" s="76" t="s">
        <v>1126</v>
      </c>
      <c r="Y271" s="77" t="s">
        <v>1127</v>
      </c>
      <c r="Z271" s="77" t="s">
        <v>1128</v>
      </c>
      <c r="AA271" s="77" t="s">
        <v>1129</v>
      </c>
      <c r="AB271" s="77" t="s">
        <v>54</v>
      </c>
      <c r="AC271" s="77" t="s">
        <v>40</v>
      </c>
      <c r="AD271" s="88" t="s">
        <v>474</v>
      </c>
      <c r="AE271" s="88" t="s">
        <v>474</v>
      </c>
      <c r="AF271" s="88" t="s">
        <v>474</v>
      </c>
    </row>
    <row r="272" s="44" customFormat="1" ht="62" customHeight="1" spans="1:33">
      <c r="A272" s="55"/>
      <c r="B272" s="55"/>
      <c r="C272" s="55"/>
      <c r="D272" s="55"/>
      <c r="E272" s="59"/>
      <c r="F272" s="59"/>
      <c r="G272" s="55"/>
      <c r="H272" s="59"/>
      <c r="I272" s="37"/>
      <c r="J272" s="37"/>
      <c r="K272" s="64"/>
      <c r="L272" s="64"/>
      <c r="M272" s="64"/>
      <c r="N272" s="35"/>
      <c r="O272" s="35"/>
      <c r="P272" s="35"/>
      <c r="Q272" s="55"/>
      <c r="R272" s="55"/>
      <c r="S272" s="74"/>
      <c r="T272" s="64"/>
      <c r="U272" s="59"/>
      <c r="V272" s="107"/>
      <c r="W272" s="83">
        <v>269</v>
      </c>
      <c r="X272" s="107"/>
      <c r="Y272" s="108"/>
      <c r="Z272" s="108"/>
      <c r="AA272" s="108"/>
      <c r="AB272" s="108"/>
      <c r="AC272" s="108"/>
      <c r="AD272" s="109"/>
      <c r="AE272" s="109"/>
      <c r="AF272" s="109"/>
      <c r="AG272" s="121"/>
    </row>
    <row r="273" s="44" customFormat="1" ht="38" customHeight="1" spans="1:33">
      <c r="A273" s="55" t="s">
        <v>55</v>
      </c>
      <c r="B273" s="55" t="s">
        <v>1130</v>
      </c>
      <c r="C273" s="55" t="s">
        <v>1131</v>
      </c>
      <c r="D273" s="55" t="s">
        <v>350</v>
      </c>
      <c r="E273" s="59" t="s">
        <v>40</v>
      </c>
      <c r="F273" s="59" t="s">
        <v>40</v>
      </c>
      <c r="G273" s="55" t="s">
        <v>54</v>
      </c>
      <c r="H273" s="59" t="s">
        <v>40</v>
      </c>
      <c r="I273" s="30">
        <v>750</v>
      </c>
      <c r="J273" s="30">
        <v>675</v>
      </c>
      <c r="K273" s="64"/>
      <c r="L273" s="64"/>
      <c r="M273" s="64"/>
      <c r="N273" s="35">
        <v>675</v>
      </c>
      <c r="O273" s="35">
        <v>615</v>
      </c>
      <c r="P273" s="35">
        <v>525</v>
      </c>
      <c r="Q273" s="55" t="s">
        <v>41</v>
      </c>
      <c r="R273" s="55" t="s">
        <v>40</v>
      </c>
      <c r="S273" s="74" t="s">
        <v>40</v>
      </c>
      <c r="T273" s="64"/>
      <c r="U273" s="59" t="s">
        <v>305</v>
      </c>
      <c r="V273" s="107" t="s">
        <v>1132</v>
      </c>
      <c r="W273" s="83">
        <v>270</v>
      </c>
      <c r="X273" s="107">
        <v>33080303201</v>
      </c>
      <c r="Y273" s="108" t="s">
        <v>1133</v>
      </c>
      <c r="Z273" s="108"/>
      <c r="AA273" s="108"/>
      <c r="AB273" s="108" t="s">
        <v>54</v>
      </c>
      <c r="AC273" s="108" t="s">
        <v>40</v>
      </c>
      <c r="AD273" s="109">
        <v>1870</v>
      </c>
      <c r="AE273" s="109">
        <v>1685</v>
      </c>
      <c r="AF273" s="109">
        <v>1430</v>
      </c>
      <c r="AG273" s="121"/>
    </row>
    <row r="274" s="44" customFormat="1" ht="38" customHeight="1" spans="1:32">
      <c r="A274" s="55" t="s">
        <v>55</v>
      </c>
      <c r="B274" s="55" t="s">
        <v>1134</v>
      </c>
      <c r="C274" s="55" t="s">
        <v>1135</v>
      </c>
      <c r="D274" s="55" t="s">
        <v>350</v>
      </c>
      <c r="E274" s="59" t="s">
        <v>40</v>
      </c>
      <c r="F274" s="59" t="s">
        <v>40</v>
      </c>
      <c r="G274" s="55" t="s">
        <v>54</v>
      </c>
      <c r="H274" s="59" t="s">
        <v>40</v>
      </c>
      <c r="I274" s="30">
        <v>800</v>
      </c>
      <c r="J274" s="30">
        <v>720</v>
      </c>
      <c r="K274" s="64">
        <v>625</v>
      </c>
      <c r="L274" s="64">
        <v>600</v>
      </c>
      <c r="M274" s="64">
        <v>510</v>
      </c>
      <c r="N274" s="70">
        <v>720</v>
      </c>
      <c r="O274" s="70">
        <v>650</v>
      </c>
      <c r="P274" s="70">
        <v>550</v>
      </c>
      <c r="Q274" s="55" t="s">
        <v>41</v>
      </c>
      <c r="R274" s="55" t="s">
        <v>40</v>
      </c>
      <c r="S274" s="74" t="s">
        <v>40</v>
      </c>
      <c r="T274" s="64"/>
      <c r="U274" s="59" t="s">
        <v>937</v>
      </c>
      <c r="V274" s="76" t="s">
        <v>1136</v>
      </c>
      <c r="W274" s="83">
        <v>271</v>
      </c>
      <c r="X274" s="76">
        <v>33080301604</v>
      </c>
      <c r="Y274" s="77" t="s">
        <v>1137</v>
      </c>
      <c r="Z274" s="77"/>
      <c r="AA274" s="77"/>
      <c r="AB274" s="77" t="s">
        <v>54</v>
      </c>
      <c r="AC274" s="77" t="s">
        <v>40</v>
      </c>
      <c r="AD274" s="88">
        <v>7925</v>
      </c>
      <c r="AE274" s="88">
        <v>7170</v>
      </c>
      <c r="AF274" s="88">
        <v>5765</v>
      </c>
    </row>
    <row r="275" s="44" customFormat="1" ht="38" customHeight="1" spans="1:32">
      <c r="A275" s="55">
        <v>72</v>
      </c>
      <c r="B275" s="55" t="s">
        <v>1138</v>
      </c>
      <c r="C275" s="55" t="s">
        <v>1139</v>
      </c>
      <c r="D275" s="55" t="s">
        <v>350</v>
      </c>
      <c r="E275" s="59" t="s">
        <v>1140</v>
      </c>
      <c r="F275" s="59" t="s">
        <v>1141</v>
      </c>
      <c r="G275" s="55" t="s">
        <v>54</v>
      </c>
      <c r="H275" s="59" t="s">
        <v>40</v>
      </c>
      <c r="I275" s="30">
        <v>7680</v>
      </c>
      <c r="J275" s="30">
        <v>6912</v>
      </c>
      <c r="K275" s="64">
        <v>7300</v>
      </c>
      <c r="L275" s="64"/>
      <c r="M275" s="64"/>
      <c r="N275" s="35">
        <v>7300</v>
      </c>
      <c r="O275" s="35">
        <v>6570</v>
      </c>
      <c r="P275" s="68">
        <v>5585</v>
      </c>
      <c r="Q275" s="55" t="s">
        <v>41</v>
      </c>
      <c r="R275" s="55" t="s">
        <v>40</v>
      </c>
      <c r="S275" s="74" t="s">
        <v>40</v>
      </c>
      <c r="T275" s="64" t="s">
        <v>183</v>
      </c>
      <c r="U275" s="59" t="s">
        <v>973</v>
      </c>
      <c r="V275" s="76" t="s">
        <v>1142</v>
      </c>
      <c r="W275" s="83">
        <v>272</v>
      </c>
      <c r="X275" s="76">
        <v>330803016</v>
      </c>
      <c r="Y275" s="77" t="s">
        <v>1143</v>
      </c>
      <c r="Z275" s="77" t="s">
        <v>1144</v>
      </c>
      <c r="AA275" s="77"/>
      <c r="AB275" s="77" t="s">
        <v>54</v>
      </c>
      <c r="AC275" s="77" t="s">
        <v>40</v>
      </c>
      <c r="AD275" s="88">
        <v>7300</v>
      </c>
      <c r="AE275" s="88">
        <v>6570</v>
      </c>
      <c r="AF275" s="88">
        <v>5255</v>
      </c>
    </row>
    <row r="276" s="44" customFormat="1" ht="38" customHeight="1" spans="1:32">
      <c r="A276" s="55"/>
      <c r="B276" s="55"/>
      <c r="C276" s="55"/>
      <c r="D276" s="55"/>
      <c r="E276" s="59"/>
      <c r="F276" s="59"/>
      <c r="G276" s="55"/>
      <c r="H276" s="59"/>
      <c r="I276" s="37"/>
      <c r="J276" s="37"/>
      <c r="K276" s="64"/>
      <c r="L276" s="64"/>
      <c r="M276" s="64"/>
      <c r="N276" s="35"/>
      <c r="O276" s="35"/>
      <c r="P276" s="35"/>
      <c r="Q276" s="55"/>
      <c r="R276" s="55"/>
      <c r="S276" s="74"/>
      <c r="T276" s="64"/>
      <c r="U276" s="59"/>
      <c r="V276" s="76" t="s">
        <v>1145</v>
      </c>
      <c r="W276" s="83">
        <v>273</v>
      </c>
      <c r="X276" s="76">
        <v>33080301601</v>
      </c>
      <c r="Y276" s="77" t="s">
        <v>1146</v>
      </c>
      <c r="Z276" s="77"/>
      <c r="AA276" s="77"/>
      <c r="AB276" s="77" t="s">
        <v>54</v>
      </c>
      <c r="AC276" s="77" t="s">
        <v>1147</v>
      </c>
      <c r="AD276" s="88">
        <v>7300</v>
      </c>
      <c r="AE276" s="88">
        <v>6570</v>
      </c>
      <c r="AF276" s="88">
        <v>5255</v>
      </c>
    </row>
    <row r="277" s="44" customFormat="1" ht="38" customHeight="1" spans="1:32">
      <c r="A277" s="55" t="s">
        <v>55</v>
      </c>
      <c r="B277" s="55" t="s">
        <v>1148</v>
      </c>
      <c r="C277" s="55" t="s">
        <v>1149</v>
      </c>
      <c r="D277" s="55" t="s">
        <v>350</v>
      </c>
      <c r="E277" s="59" t="s">
        <v>40</v>
      </c>
      <c r="F277" s="59" t="s">
        <v>40</v>
      </c>
      <c r="G277" s="55" t="s">
        <v>54</v>
      </c>
      <c r="H277" s="59" t="s">
        <v>40</v>
      </c>
      <c r="I277" s="30">
        <v>2304</v>
      </c>
      <c r="J277" s="30">
        <v>2074</v>
      </c>
      <c r="K277" s="64"/>
      <c r="L277" s="64"/>
      <c r="M277" s="64"/>
      <c r="N277" s="35">
        <v>2190</v>
      </c>
      <c r="O277" s="35">
        <v>1970</v>
      </c>
      <c r="P277" s="68">
        <v>1675</v>
      </c>
      <c r="Q277" s="55" t="s">
        <v>41</v>
      </c>
      <c r="R277" s="55" t="s">
        <v>40</v>
      </c>
      <c r="S277" s="74" t="s">
        <v>40</v>
      </c>
      <c r="T277" s="64"/>
      <c r="U277" s="59" t="s">
        <v>305</v>
      </c>
      <c r="V277" s="76" t="s">
        <v>1150</v>
      </c>
      <c r="W277" s="83">
        <v>274</v>
      </c>
      <c r="X277" s="76">
        <v>33080301602</v>
      </c>
      <c r="Y277" s="77" t="s">
        <v>1151</v>
      </c>
      <c r="Z277" s="77"/>
      <c r="AA277" s="77"/>
      <c r="AB277" s="77" t="s">
        <v>54</v>
      </c>
      <c r="AC277" s="77" t="s">
        <v>40</v>
      </c>
      <c r="AD277" s="88">
        <v>9490</v>
      </c>
      <c r="AE277" s="88">
        <v>8540</v>
      </c>
      <c r="AF277" s="88">
        <v>6830</v>
      </c>
    </row>
    <row r="278" s="44" customFormat="1" ht="38" customHeight="1" spans="1:32">
      <c r="A278" s="55"/>
      <c r="B278" s="55"/>
      <c r="C278" s="55"/>
      <c r="D278" s="55"/>
      <c r="E278" s="59"/>
      <c r="F278" s="59"/>
      <c r="G278" s="55"/>
      <c r="H278" s="59"/>
      <c r="I278" s="37"/>
      <c r="J278" s="37"/>
      <c r="K278" s="64"/>
      <c r="L278" s="64"/>
      <c r="M278" s="64"/>
      <c r="N278" s="35"/>
      <c r="O278" s="35"/>
      <c r="P278" s="35"/>
      <c r="Q278" s="55"/>
      <c r="R278" s="55"/>
      <c r="S278" s="74"/>
      <c r="T278" s="64"/>
      <c r="U278" s="59"/>
      <c r="V278" s="76" t="s">
        <v>1152</v>
      </c>
      <c r="W278" s="83">
        <v>275</v>
      </c>
      <c r="X278" s="76">
        <v>33080301603</v>
      </c>
      <c r="Y278" s="77" t="s">
        <v>1153</v>
      </c>
      <c r="Z278" s="77"/>
      <c r="AA278" s="77"/>
      <c r="AB278" s="77" t="s">
        <v>54</v>
      </c>
      <c r="AC278" s="77" t="s">
        <v>1147</v>
      </c>
      <c r="AD278" s="88">
        <v>9490</v>
      </c>
      <c r="AE278" s="88">
        <v>8540</v>
      </c>
      <c r="AF278" s="88">
        <v>6830</v>
      </c>
    </row>
    <row r="279" s="44" customFormat="1" ht="38" customHeight="1" spans="1:32">
      <c r="A279" s="55" t="s">
        <v>55</v>
      </c>
      <c r="B279" s="55" t="s">
        <v>1154</v>
      </c>
      <c r="C279" s="55" t="s">
        <v>1155</v>
      </c>
      <c r="D279" s="55" t="s">
        <v>350</v>
      </c>
      <c r="E279" s="59" t="s">
        <v>40</v>
      </c>
      <c r="F279" s="59" t="s">
        <v>40</v>
      </c>
      <c r="G279" s="55" t="s">
        <v>54</v>
      </c>
      <c r="H279" s="59" t="s">
        <v>40</v>
      </c>
      <c r="I279" s="30">
        <v>800</v>
      </c>
      <c r="J279" s="30">
        <v>720</v>
      </c>
      <c r="K279" s="64"/>
      <c r="L279" s="64"/>
      <c r="M279" s="64"/>
      <c r="N279" s="70">
        <v>720</v>
      </c>
      <c r="O279" s="70">
        <v>650</v>
      </c>
      <c r="P279" s="70">
        <v>550</v>
      </c>
      <c r="Q279" s="55" t="s">
        <v>41</v>
      </c>
      <c r="R279" s="55" t="s">
        <v>40</v>
      </c>
      <c r="S279" s="74" t="s">
        <v>40</v>
      </c>
      <c r="T279" s="64"/>
      <c r="U279" s="59" t="s">
        <v>1156</v>
      </c>
      <c r="V279" s="76" t="s">
        <v>1136</v>
      </c>
      <c r="W279" s="83">
        <v>276</v>
      </c>
      <c r="X279" s="76">
        <v>33080301604</v>
      </c>
      <c r="Y279" s="77" t="s">
        <v>1137</v>
      </c>
      <c r="Z279" s="77"/>
      <c r="AA279" s="77"/>
      <c r="AB279" s="77" t="s">
        <v>54</v>
      </c>
      <c r="AC279" s="77" t="s">
        <v>40</v>
      </c>
      <c r="AD279" s="88">
        <v>7925</v>
      </c>
      <c r="AE279" s="88">
        <v>7170</v>
      </c>
      <c r="AF279" s="88">
        <v>5765</v>
      </c>
    </row>
    <row r="280" s="44" customFormat="1" ht="38" customHeight="1" spans="1:32">
      <c r="A280" s="55"/>
      <c r="B280" s="55"/>
      <c r="C280" s="55"/>
      <c r="D280" s="55"/>
      <c r="E280" s="59"/>
      <c r="F280" s="59"/>
      <c r="G280" s="55"/>
      <c r="H280" s="59"/>
      <c r="I280" s="37"/>
      <c r="J280" s="37"/>
      <c r="K280" s="64"/>
      <c r="L280" s="64"/>
      <c r="M280" s="64"/>
      <c r="N280" s="70"/>
      <c r="O280" s="70"/>
      <c r="P280" s="70"/>
      <c r="Q280" s="55"/>
      <c r="R280" s="55"/>
      <c r="S280" s="74"/>
      <c r="T280" s="64"/>
      <c r="U280" s="59"/>
      <c r="V280" s="76" t="s">
        <v>1157</v>
      </c>
      <c r="W280" s="83">
        <v>277</v>
      </c>
      <c r="X280" s="76">
        <v>33080301605</v>
      </c>
      <c r="Y280" s="77" t="s">
        <v>1158</v>
      </c>
      <c r="Z280" s="77"/>
      <c r="AA280" s="77"/>
      <c r="AB280" s="77" t="s">
        <v>54</v>
      </c>
      <c r="AC280" s="77" t="s">
        <v>40</v>
      </c>
      <c r="AD280" s="88">
        <v>10115</v>
      </c>
      <c r="AE280" s="88">
        <v>9140</v>
      </c>
      <c r="AF280" s="88">
        <v>7340</v>
      </c>
    </row>
    <row r="281" s="44" customFormat="1" ht="38" customHeight="1" spans="1:32">
      <c r="A281" s="55">
        <v>73</v>
      </c>
      <c r="B281" s="55" t="s">
        <v>1159</v>
      </c>
      <c r="C281" s="55" t="s">
        <v>1160</v>
      </c>
      <c r="D281" s="55" t="s">
        <v>350</v>
      </c>
      <c r="E281" s="59" t="s">
        <v>1161</v>
      </c>
      <c r="F281" s="59" t="s">
        <v>1162</v>
      </c>
      <c r="G281" s="55" t="s">
        <v>54</v>
      </c>
      <c r="H281" s="59" t="s">
        <v>1163</v>
      </c>
      <c r="I281" s="30">
        <v>7950</v>
      </c>
      <c r="J281" s="30">
        <v>7155</v>
      </c>
      <c r="K281" s="64"/>
      <c r="L281" s="64"/>
      <c r="M281" s="64"/>
      <c r="N281" s="35">
        <v>7200</v>
      </c>
      <c r="O281" s="35">
        <v>6500</v>
      </c>
      <c r="P281" s="35">
        <v>5500</v>
      </c>
      <c r="Q281" s="55" t="s">
        <v>41</v>
      </c>
      <c r="R281" s="55" t="s">
        <v>40</v>
      </c>
      <c r="S281" s="74" t="s">
        <v>40</v>
      </c>
      <c r="T281" s="64" t="s">
        <v>355</v>
      </c>
      <c r="U281" s="59" t="s">
        <v>1011</v>
      </c>
      <c r="V281" s="76" t="s">
        <v>1164</v>
      </c>
      <c r="W281" s="83">
        <v>278</v>
      </c>
      <c r="X281" s="76">
        <v>330801022</v>
      </c>
      <c r="Y281" s="77" t="s">
        <v>1165</v>
      </c>
      <c r="Z281" s="77" t="s">
        <v>1166</v>
      </c>
      <c r="AA281" s="77"/>
      <c r="AB281" s="77" t="s">
        <v>54</v>
      </c>
      <c r="AC281" s="77" t="s">
        <v>40</v>
      </c>
      <c r="AD281" s="88">
        <v>6190</v>
      </c>
      <c r="AE281" s="88">
        <v>5570</v>
      </c>
      <c r="AF281" s="88">
        <v>4730</v>
      </c>
    </row>
    <row r="282" s="44" customFormat="1" ht="38" customHeight="1" spans="1:32">
      <c r="A282" s="55"/>
      <c r="B282" s="55"/>
      <c r="C282" s="55"/>
      <c r="D282" s="55"/>
      <c r="E282" s="59"/>
      <c r="F282" s="59"/>
      <c r="G282" s="55"/>
      <c r="H282" s="59"/>
      <c r="I282" s="37"/>
      <c r="J282" s="37"/>
      <c r="K282" s="64"/>
      <c r="L282" s="64"/>
      <c r="M282" s="64"/>
      <c r="N282" s="35"/>
      <c r="O282" s="35"/>
      <c r="P282" s="35"/>
      <c r="Q282" s="55"/>
      <c r="R282" s="55"/>
      <c r="S282" s="74"/>
      <c r="T282" s="64"/>
      <c r="U282" s="59"/>
      <c r="V282" s="76" t="s">
        <v>1167</v>
      </c>
      <c r="W282" s="83">
        <v>279</v>
      </c>
      <c r="X282" s="76">
        <v>330801023</v>
      </c>
      <c r="Y282" s="77" t="s">
        <v>1168</v>
      </c>
      <c r="Z282" s="77" t="s">
        <v>1169</v>
      </c>
      <c r="AA282" s="77"/>
      <c r="AB282" s="77" t="s">
        <v>54</v>
      </c>
      <c r="AC282" s="77" t="s">
        <v>40</v>
      </c>
      <c r="AD282" s="88">
        <v>7980</v>
      </c>
      <c r="AE282" s="88">
        <v>7180</v>
      </c>
      <c r="AF282" s="88">
        <v>5740</v>
      </c>
    </row>
    <row r="283" s="44" customFormat="1" ht="38" customHeight="1" spans="1:32">
      <c r="A283" s="55"/>
      <c r="B283" s="55"/>
      <c r="C283" s="55"/>
      <c r="D283" s="55"/>
      <c r="E283" s="59"/>
      <c r="F283" s="59"/>
      <c r="G283" s="55"/>
      <c r="H283" s="59"/>
      <c r="I283" s="37"/>
      <c r="J283" s="37"/>
      <c r="K283" s="64"/>
      <c r="L283" s="64"/>
      <c r="M283" s="64"/>
      <c r="N283" s="35"/>
      <c r="O283" s="35"/>
      <c r="P283" s="35"/>
      <c r="Q283" s="55"/>
      <c r="R283" s="55"/>
      <c r="S283" s="74"/>
      <c r="T283" s="64"/>
      <c r="U283" s="59"/>
      <c r="V283" s="76" t="s">
        <v>1170</v>
      </c>
      <c r="W283" s="83">
        <v>280</v>
      </c>
      <c r="X283" s="76">
        <v>330801024</v>
      </c>
      <c r="Y283" s="77" t="s">
        <v>1171</v>
      </c>
      <c r="Z283" s="77" t="s">
        <v>1172</v>
      </c>
      <c r="AA283" s="77"/>
      <c r="AB283" s="77" t="s">
        <v>54</v>
      </c>
      <c r="AC283" s="77" t="s">
        <v>40</v>
      </c>
      <c r="AD283" s="88">
        <v>7550</v>
      </c>
      <c r="AE283" s="88">
        <v>6795</v>
      </c>
      <c r="AF283" s="88">
        <v>5435</v>
      </c>
    </row>
    <row r="284" s="44" customFormat="1" ht="38" customHeight="1" spans="1:32">
      <c r="A284" s="55"/>
      <c r="B284" s="55"/>
      <c r="C284" s="55"/>
      <c r="D284" s="55"/>
      <c r="E284" s="59"/>
      <c r="F284" s="59"/>
      <c r="G284" s="55"/>
      <c r="H284" s="59"/>
      <c r="I284" s="37"/>
      <c r="J284" s="37"/>
      <c r="K284" s="64"/>
      <c r="L284" s="64"/>
      <c r="M284" s="64"/>
      <c r="N284" s="35"/>
      <c r="O284" s="35"/>
      <c r="P284" s="35"/>
      <c r="Q284" s="55"/>
      <c r="R284" s="55"/>
      <c r="S284" s="74"/>
      <c r="T284" s="64"/>
      <c r="U284" s="59"/>
      <c r="V284" s="76" t="s">
        <v>1173</v>
      </c>
      <c r="W284" s="83">
        <v>281</v>
      </c>
      <c r="X284" s="76">
        <v>330801025</v>
      </c>
      <c r="Y284" s="77" t="s">
        <v>1174</v>
      </c>
      <c r="Z284" s="77" t="s">
        <v>1175</v>
      </c>
      <c r="AA284" s="77"/>
      <c r="AB284" s="77" t="s">
        <v>54</v>
      </c>
      <c r="AC284" s="77" t="s">
        <v>40</v>
      </c>
      <c r="AD284" s="88">
        <v>6840</v>
      </c>
      <c r="AE284" s="88">
        <v>6150</v>
      </c>
      <c r="AF284" s="88">
        <v>4920</v>
      </c>
    </row>
    <row r="285" s="44" customFormat="1" ht="38" customHeight="1" spans="1:32">
      <c r="A285" s="55"/>
      <c r="B285" s="55"/>
      <c r="C285" s="55"/>
      <c r="D285" s="55"/>
      <c r="E285" s="59"/>
      <c r="F285" s="59"/>
      <c r="G285" s="55"/>
      <c r="H285" s="59"/>
      <c r="I285" s="37"/>
      <c r="J285" s="37"/>
      <c r="K285" s="64"/>
      <c r="L285" s="64"/>
      <c r="M285" s="64"/>
      <c r="N285" s="35"/>
      <c r="O285" s="35"/>
      <c r="P285" s="35"/>
      <c r="Q285" s="55"/>
      <c r="R285" s="55"/>
      <c r="S285" s="74"/>
      <c r="T285" s="64"/>
      <c r="U285" s="59"/>
      <c r="V285" s="76" t="s">
        <v>1176</v>
      </c>
      <c r="W285" s="83">
        <v>282</v>
      </c>
      <c r="X285" s="76">
        <v>330801026</v>
      </c>
      <c r="Y285" s="77" t="s">
        <v>1177</v>
      </c>
      <c r="Z285" s="77" t="s">
        <v>1178</v>
      </c>
      <c r="AA285" s="77"/>
      <c r="AB285" s="77" t="s">
        <v>54</v>
      </c>
      <c r="AC285" s="77" t="s">
        <v>40</v>
      </c>
      <c r="AD285" s="88">
        <v>15000</v>
      </c>
      <c r="AE285" s="88">
        <v>13500</v>
      </c>
      <c r="AF285" s="88">
        <v>11475</v>
      </c>
    </row>
    <row r="286" s="44" customFormat="1" ht="38" customHeight="1" spans="1:32">
      <c r="A286" s="55" t="s">
        <v>55</v>
      </c>
      <c r="B286" s="55" t="s">
        <v>1179</v>
      </c>
      <c r="C286" s="55" t="s">
        <v>1180</v>
      </c>
      <c r="D286" s="55" t="s">
        <v>350</v>
      </c>
      <c r="E286" s="59" t="s">
        <v>40</v>
      </c>
      <c r="F286" s="59" t="s">
        <v>40</v>
      </c>
      <c r="G286" s="55" t="s">
        <v>54</v>
      </c>
      <c r="H286" s="59" t="s">
        <v>40</v>
      </c>
      <c r="I286" s="30">
        <v>2385</v>
      </c>
      <c r="J286" s="30">
        <v>2147</v>
      </c>
      <c r="K286" s="64"/>
      <c r="L286" s="64"/>
      <c r="M286" s="64"/>
      <c r="N286" s="35">
        <v>2160</v>
      </c>
      <c r="O286" s="35">
        <v>1950</v>
      </c>
      <c r="P286" s="35">
        <v>1650</v>
      </c>
      <c r="Q286" s="55" t="s">
        <v>41</v>
      </c>
      <c r="R286" s="55" t="s">
        <v>40</v>
      </c>
      <c r="S286" s="74" t="s">
        <v>40</v>
      </c>
      <c r="T286" s="64"/>
      <c r="U286" s="59" t="s">
        <v>305</v>
      </c>
      <c r="V286" s="76" t="s">
        <v>1181</v>
      </c>
      <c r="W286" s="83">
        <v>283</v>
      </c>
      <c r="X286" s="76">
        <v>33080102201</v>
      </c>
      <c r="Y286" s="77" t="s">
        <v>1182</v>
      </c>
      <c r="Z286" s="77"/>
      <c r="AA286" s="77"/>
      <c r="AB286" s="77" t="s">
        <v>54</v>
      </c>
      <c r="AC286" s="77" t="s">
        <v>40</v>
      </c>
      <c r="AD286" s="88">
        <v>8045</v>
      </c>
      <c r="AE286" s="88">
        <v>7240</v>
      </c>
      <c r="AF286" s="88">
        <v>6155</v>
      </c>
    </row>
    <row r="287" s="44" customFormat="1" ht="38" customHeight="1" spans="1:32">
      <c r="A287" s="55"/>
      <c r="B287" s="55"/>
      <c r="C287" s="55"/>
      <c r="D287" s="55"/>
      <c r="E287" s="59"/>
      <c r="F287" s="59"/>
      <c r="G287" s="55"/>
      <c r="H287" s="59"/>
      <c r="I287" s="37"/>
      <c r="J287" s="37"/>
      <c r="K287" s="64"/>
      <c r="L287" s="64"/>
      <c r="M287" s="64"/>
      <c r="N287" s="35"/>
      <c r="O287" s="35"/>
      <c r="P287" s="35"/>
      <c r="Q287" s="55"/>
      <c r="R287" s="55"/>
      <c r="S287" s="74"/>
      <c r="T287" s="64"/>
      <c r="U287" s="59"/>
      <c r="V287" s="76" t="s">
        <v>1183</v>
      </c>
      <c r="W287" s="83">
        <v>284</v>
      </c>
      <c r="X287" s="76">
        <v>33080102301</v>
      </c>
      <c r="Y287" s="77" t="s">
        <v>1184</v>
      </c>
      <c r="Z287" s="77"/>
      <c r="AA287" s="77"/>
      <c r="AB287" s="77" t="s">
        <v>54</v>
      </c>
      <c r="AC287" s="77" t="s">
        <v>40</v>
      </c>
      <c r="AD287" s="88">
        <v>10375</v>
      </c>
      <c r="AE287" s="88">
        <v>9335</v>
      </c>
      <c r="AF287" s="88">
        <v>7460</v>
      </c>
    </row>
    <row r="288" s="44" customFormat="1" ht="38" customHeight="1" spans="1:32">
      <c r="A288" s="55"/>
      <c r="B288" s="55"/>
      <c r="C288" s="55"/>
      <c r="D288" s="55"/>
      <c r="E288" s="59"/>
      <c r="F288" s="59"/>
      <c r="G288" s="55"/>
      <c r="H288" s="59"/>
      <c r="I288" s="37"/>
      <c r="J288" s="37"/>
      <c r="K288" s="64"/>
      <c r="L288" s="64"/>
      <c r="M288" s="64"/>
      <c r="N288" s="35"/>
      <c r="O288" s="35"/>
      <c r="P288" s="35"/>
      <c r="Q288" s="55"/>
      <c r="R288" s="55"/>
      <c r="S288" s="74"/>
      <c r="T288" s="64"/>
      <c r="U288" s="59"/>
      <c r="V288" s="76" t="s">
        <v>1185</v>
      </c>
      <c r="W288" s="83">
        <v>285</v>
      </c>
      <c r="X288" s="76">
        <v>33080102401</v>
      </c>
      <c r="Y288" s="77" t="s">
        <v>1186</v>
      </c>
      <c r="Z288" s="77"/>
      <c r="AA288" s="77"/>
      <c r="AB288" s="77" t="s">
        <v>54</v>
      </c>
      <c r="AC288" s="77" t="s">
        <v>40</v>
      </c>
      <c r="AD288" s="88">
        <v>9815</v>
      </c>
      <c r="AE288" s="88">
        <v>8835</v>
      </c>
      <c r="AF288" s="88">
        <v>7065</v>
      </c>
    </row>
    <row r="289" s="44" customFormat="1" ht="38" customHeight="1" spans="1:32">
      <c r="A289" s="55"/>
      <c r="B289" s="55"/>
      <c r="C289" s="55"/>
      <c r="D289" s="55"/>
      <c r="E289" s="59"/>
      <c r="F289" s="59"/>
      <c r="G289" s="55"/>
      <c r="H289" s="59"/>
      <c r="I289" s="37"/>
      <c r="J289" s="37"/>
      <c r="K289" s="64"/>
      <c r="L289" s="64"/>
      <c r="M289" s="64"/>
      <c r="N289" s="35"/>
      <c r="O289" s="35"/>
      <c r="P289" s="35"/>
      <c r="Q289" s="55"/>
      <c r="R289" s="55"/>
      <c r="S289" s="74"/>
      <c r="T289" s="64"/>
      <c r="U289" s="59"/>
      <c r="V289" s="76" t="s">
        <v>1187</v>
      </c>
      <c r="W289" s="83">
        <v>286</v>
      </c>
      <c r="X289" s="76">
        <v>33080102501</v>
      </c>
      <c r="Y289" s="77" t="s">
        <v>1188</v>
      </c>
      <c r="Z289" s="77"/>
      <c r="AA289" s="77"/>
      <c r="AB289" s="77" t="s">
        <v>54</v>
      </c>
      <c r="AC289" s="77" t="s">
        <v>40</v>
      </c>
      <c r="AD289" s="88">
        <v>8890</v>
      </c>
      <c r="AE289" s="88">
        <v>7995</v>
      </c>
      <c r="AF289" s="88">
        <v>6395</v>
      </c>
    </row>
    <row r="290" s="44" customFormat="1" ht="38" customHeight="1" spans="1:32">
      <c r="A290" s="55"/>
      <c r="B290" s="55"/>
      <c r="C290" s="55"/>
      <c r="D290" s="55"/>
      <c r="E290" s="59"/>
      <c r="F290" s="59"/>
      <c r="G290" s="55"/>
      <c r="H290" s="59"/>
      <c r="I290" s="37"/>
      <c r="J290" s="37"/>
      <c r="K290" s="64"/>
      <c r="L290" s="64"/>
      <c r="M290" s="64"/>
      <c r="N290" s="35"/>
      <c r="O290" s="35"/>
      <c r="P290" s="35"/>
      <c r="Q290" s="55"/>
      <c r="R290" s="55"/>
      <c r="S290" s="74"/>
      <c r="T290" s="64"/>
      <c r="U290" s="59"/>
      <c r="V290" s="76" t="s">
        <v>1189</v>
      </c>
      <c r="W290" s="83">
        <v>287</v>
      </c>
      <c r="X290" s="76">
        <v>33080102601</v>
      </c>
      <c r="Y290" s="77" t="s">
        <v>1190</v>
      </c>
      <c r="Z290" s="77"/>
      <c r="AA290" s="77"/>
      <c r="AB290" s="77" t="s">
        <v>54</v>
      </c>
      <c r="AC290" s="77" t="s">
        <v>40</v>
      </c>
      <c r="AD290" s="88">
        <v>19500</v>
      </c>
      <c r="AE290" s="88">
        <v>17550</v>
      </c>
      <c r="AF290" s="88">
        <v>14920</v>
      </c>
    </row>
    <row r="291" s="44" customFormat="1" ht="38" customHeight="1" spans="1:32">
      <c r="A291" s="55">
        <v>74</v>
      </c>
      <c r="B291" s="55" t="s">
        <v>1191</v>
      </c>
      <c r="C291" s="55" t="s">
        <v>1192</v>
      </c>
      <c r="D291" s="55" t="s">
        <v>350</v>
      </c>
      <c r="E291" s="59" t="s">
        <v>1193</v>
      </c>
      <c r="F291" s="59" t="s">
        <v>1089</v>
      </c>
      <c r="G291" s="55" t="s">
        <v>54</v>
      </c>
      <c r="H291" s="59" t="s">
        <v>40</v>
      </c>
      <c r="I291" s="30">
        <v>3270</v>
      </c>
      <c r="J291" s="30">
        <v>2943</v>
      </c>
      <c r="K291" s="64">
        <v>2940</v>
      </c>
      <c r="L291" s="64"/>
      <c r="M291" s="64"/>
      <c r="N291" s="35">
        <v>2940</v>
      </c>
      <c r="O291" s="35">
        <v>2650</v>
      </c>
      <c r="P291" s="35">
        <v>2250</v>
      </c>
      <c r="Q291" s="55" t="s">
        <v>41</v>
      </c>
      <c r="R291" s="55" t="s">
        <v>40</v>
      </c>
      <c r="S291" s="74" t="s">
        <v>40</v>
      </c>
      <c r="T291" s="64" t="s">
        <v>183</v>
      </c>
      <c r="U291" s="59" t="s">
        <v>1194</v>
      </c>
      <c r="V291" s="76" t="s">
        <v>1195</v>
      </c>
      <c r="W291" s="83">
        <v>288</v>
      </c>
      <c r="X291" s="76">
        <v>330801017</v>
      </c>
      <c r="Y291" s="77" t="s">
        <v>1196</v>
      </c>
      <c r="Z291" s="77" t="s">
        <v>1197</v>
      </c>
      <c r="AA291" s="77" t="s">
        <v>583</v>
      </c>
      <c r="AB291" s="77" t="s">
        <v>54</v>
      </c>
      <c r="AC291" s="77" t="s">
        <v>40</v>
      </c>
      <c r="AD291" s="88">
        <v>2450</v>
      </c>
      <c r="AE291" s="88">
        <v>2280</v>
      </c>
      <c r="AF291" s="88">
        <v>1938</v>
      </c>
    </row>
    <row r="292" s="44" customFormat="1" ht="38" customHeight="1" spans="1:32">
      <c r="A292" s="55"/>
      <c r="B292" s="55"/>
      <c r="C292" s="55"/>
      <c r="D292" s="55"/>
      <c r="E292" s="59"/>
      <c r="F292" s="59"/>
      <c r="G292" s="55"/>
      <c r="H292" s="59"/>
      <c r="I292" s="37"/>
      <c r="J292" s="37"/>
      <c r="K292" s="64"/>
      <c r="L292" s="64"/>
      <c r="M292" s="64"/>
      <c r="N292" s="35"/>
      <c r="O292" s="35"/>
      <c r="P292" s="35"/>
      <c r="Q292" s="55"/>
      <c r="R292" s="55"/>
      <c r="S292" s="74"/>
      <c r="T292" s="64"/>
      <c r="U292" s="59"/>
      <c r="V292" s="76" t="s">
        <v>1198</v>
      </c>
      <c r="W292" s="83">
        <v>289</v>
      </c>
      <c r="X292" s="76">
        <v>330802010</v>
      </c>
      <c r="Y292" s="77" t="s">
        <v>1199</v>
      </c>
      <c r="Z292" s="77"/>
      <c r="AA292" s="77"/>
      <c r="AB292" s="77" t="s">
        <v>54</v>
      </c>
      <c r="AC292" s="77" t="s">
        <v>40</v>
      </c>
      <c r="AD292" s="88">
        <v>5060</v>
      </c>
      <c r="AE292" s="88">
        <v>4550</v>
      </c>
      <c r="AF292" s="88">
        <v>3870</v>
      </c>
    </row>
    <row r="293" s="44" customFormat="1" ht="38" customHeight="1" spans="1:32">
      <c r="A293" s="55"/>
      <c r="B293" s="55"/>
      <c r="C293" s="55"/>
      <c r="D293" s="55"/>
      <c r="E293" s="59"/>
      <c r="F293" s="59"/>
      <c r="G293" s="55"/>
      <c r="H293" s="59"/>
      <c r="I293" s="37"/>
      <c r="J293" s="37"/>
      <c r="K293" s="64"/>
      <c r="L293" s="64"/>
      <c r="M293" s="64"/>
      <c r="N293" s="35"/>
      <c r="O293" s="35"/>
      <c r="P293" s="35"/>
      <c r="Q293" s="55"/>
      <c r="R293" s="55"/>
      <c r="S293" s="74"/>
      <c r="T293" s="64"/>
      <c r="U293" s="59"/>
      <c r="V293" s="76" t="s">
        <v>1200</v>
      </c>
      <c r="W293" s="83">
        <v>290</v>
      </c>
      <c r="X293" s="76">
        <v>330801021</v>
      </c>
      <c r="Y293" s="77" t="s">
        <v>1201</v>
      </c>
      <c r="Z293" s="77"/>
      <c r="AA293" s="77"/>
      <c r="AB293" s="77" t="s">
        <v>54</v>
      </c>
      <c r="AC293" s="77" t="s">
        <v>40</v>
      </c>
      <c r="AD293" s="88">
        <v>3150</v>
      </c>
      <c r="AE293" s="88">
        <v>2850</v>
      </c>
      <c r="AF293" s="88">
        <v>2420</v>
      </c>
    </row>
    <row r="294" s="44" customFormat="1" ht="38" customHeight="1" spans="1:32">
      <c r="A294" s="55" t="s">
        <v>55</v>
      </c>
      <c r="B294" s="55" t="s">
        <v>1202</v>
      </c>
      <c r="C294" s="55" t="s">
        <v>1203</v>
      </c>
      <c r="D294" s="55" t="s">
        <v>350</v>
      </c>
      <c r="E294" s="59" t="s">
        <v>40</v>
      </c>
      <c r="F294" s="59" t="s">
        <v>40</v>
      </c>
      <c r="G294" s="55" t="s">
        <v>54</v>
      </c>
      <c r="H294" s="59" t="s">
        <v>40</v>
      </c>
      <c r="I294" s="30">
        <v>981</v>
      </c>
      <c r="J294" s="30">
        <v>883</v>
      </c>
      <c r="K294" s="64">
        <v>735</v>
      </c>
      <c r="L294" s="64"/>
      <c r="M294" s="64"/>
      <c r="N294" s="69">
        <v>880</v>
      </c>
      <c r="O294" s="69">
        <v>795</v>
      </c>
      <c r="P294" s="69">
        <v>675</v>
      </c>
      <c r="Q294" s="55" t="s">
        <v>41</v>
      </c>
      <c r="R294" s="55" t="s">
        <v>40</v>
      </c>
      <c r="S294" s="74" t="s">
        <v>40</v>
      </c>
      <c r="T294" s="64"/>
      <c r="U294" s="59" t="s">
        <v>305</v>
      </c>
      <c r="V294" s="76" t="s">
        <v>1204</v>
      </c>
      <c r="W294" s="83">
        <v>291</v>
      </c>
      <c r="X294" s="76">
        <v>33080101701</v>
      </c>
      <c r="Y294" s="77" t="s">
        <v>1205</v>
      </c>
      <c r="Z294" s="77"/>
      <c r="AA294" s="77"/>
      <c r="AB294" s="77" t="s">
        <v>54</v>
      </c>
      <c r="AC294" s="77" t="s">
        <v>40</v>
      </c>
      <c r="AD294" s="88">
        <v>3185</v>
      </c>
      <c r="AE294" s="88">
        <v>2965</v>
      </c>
      <c r="AF294" s="88">
        <v>2520</v>
      </c>
    </row>
    <row r="295" s="44" customFormat="1" ht="38" customHeight="1" spans="1:32">
      <c r="A295" s="55"/>
      <c r="B295" s="55"/>
      <c r="C295" s="55"/>
      <c r="D295" s="55"/>
      <c r="E295" s="59"/>
      <c r="F295" s="59"/>
      <c r="G295" s="55"/>
      <c r="H295" s="59"/>
      <c r="I295" s="37"/>
      <c r="J295" s="37"/>
      <c r="K295" s="64"/>
      <c r="L295" s="64"/>
      <c r="M295" s="64"/>
      <c r="N295" s="69"/>
      <c r="O295" s="69"/>
      <c r="P295" s="69"/>
      <c r="Q295" s="55"/>
      <c r="R295" s="55"/>
      <c r="S295" s="74"/>
      <c r="T295" s="64"/>
      <c r="U295" s="59"/>
      <c r="V295" s="76" t="s">
        <v>1206</v>
      </c>
      <c r="W295" s="83">
        <v>292</v>
      </c>
      <c r="X295" s="76">
        <v>33080201001</v>
      </c>
      <c r="Y295" s="77" t="s">
        <v>1207</v>
      </c>
      <c r="Z295" s="77"/>
      <c r="AA295" s="77"/>
      <c r="AB295" s="77" t="s">
        <v>54</v>
      </c>
      <c r="AC295" s="77" t="s">
        <v>40</v>
      </c>
      <c r="AD295" s="88">
        <v>6580</v>
      </c>
      <c r="AE295" s="88">
        <v>5915</v>
      </c>
      <c r="AF295" s="88">
        <v>5030</v>
      </c>
    </row>
    <row r="296" s="44" customFormat="1" ht="72" customHeight="1" spans="1:32">
      <c r="A296" s="55" t="s">
        <v>55</v>
      </c>
      <c r="B296" s="55" t="s">
        <v>1208</v>
      </c>
      <c r="C296" s="55" t="s">
        <v>1209</v>
      </c>
      <c r="D296" s="55" t="s">
        <v>350</v>
      </c>
      <c r="E296" s="59" t="s">
        <v>40</v>
      </c>
      <c r="F296" s="59" t="s">
        <v>40</v>
      </c>
      <c r="G296" s="55" t="s">
        <v>54</v>
      </c>
      <c r="H296" s="59" t="s">
        <v>40</v>
      </c>
      <c r="I296" s="30">
        <v>800</v>
      </c>
      <c r="J296" s="30">
        <v>720</v>
      </c>
      <c r="K296" s="64"/>
      <c r="L296" s="64"/>
      <c r="M296" s="64"/>
      <c r="N296" s="70">
        <v>720</v>
      </c>
      <c r="O296" s="70">
        <v>650</v>
      </c>
      <c r="P296" s="70">
        <v>550</v>
      </c>
      <c r="Q296" s="35" t="str">
        <f>Q279</f>
        <v>医保</v>
      </c>
      <c r="R296" s="35" t="str">
        <f>R279</f>
        <v/>
      </c>
      <c r="S296" s="35" t="str">
        <f>S279</f>
        <v/>
      </c>
      <c r="T296" s="64"/>
      <c r="U296" s="59" t="s">
        <v>1210</v>
      </c>
      <c r="V296" s="76"/>
      <c r="W296" s="83">
        <v>293</v>
      </c>
      <c r="X296" s="76"/>
      <c r="Y296" s="77"/>
      <c r="Z296" s="77"/>
      <c r="AA296" s="77"/>
      <c r="AB296" s="77"/>
      <c r="AC296" s="77"/>
      <c r="AD296" s="88"/>
      <c r="AE296" s="88"/>
      <c r="AF296" s="88"/>
    </row>
    <row r="297" s="44" customFormat="1" ht="38" customHeight="1" spans="1:32">
      <c r="A297" s="55">
        <v>75</v>
      </c>
      <c r="B297" s="55" t="s">
        <v>1211</v>
      </c>
      <c r="C297" s="55" t="s">
        <v>1212</v>
      </c>
      <c r="D297" s="55" t="s">
        <v>350</v>
      </c>
      <c r="E297" s="59" t="s">
        <v>1213</v>
      </c>
      <c r="F297" s="59" t="s">
        <v>1214</v>
      </c>
      <c r="G297" s="55" t="s">
        <v>54</v>
      </c>
      <c r="H297" s="59" t="s">
        <v>40</v>
      </c>
      <c r="I297" s="30">
        <v>3510</v>
      </c>
      <c r="J297" s="30">
        <v>3159</v>
      </c>
      <c r="K297" s="64"/>
      <c r="L297" s="64"/>
      <c r="M297" s="64"/>
      <c r="N297" s="35">
        <v>3200</v>
      </c>
      <c r="O297" s="35">
        <v>2900</v>
      </c>
      <c r="P297" s="35">
        <v>2450</v>
      </c>
      <c r="Q297" s="55" t="s">
        <v>41</v>
      </c>
      <c r="R297" s="55" t="s">
        <v>40</v>
      </c>
      <c r="S297" s="74" t="s">
        <v>40</v>
      </c>
      <c r="T297" s="64" t="s">
        <v>355</v>
      </c>
      <c r="U297" s="59" t="s">
        <v>1011</v>
      </c>
      <c r="V297" s="76" t="s">
        <v>1215</v>
      </c>
      <c r="W297" s="83">
        <v>294</v>
      </c>
      <c r="X297" s="76">
        <v>330801016</v>
      </c>
      <c r="Y297" s="77" t="s">
        <v>1216</v>
      </c>
      <c r="Z297" s="77" t="s">
        <v>1217</v>
      </c>
      <c r="AA297" s="77" t="s">
        <v>1218</v>
      </c>
      <c r="AB297" s="77" t="s">
        <v>54</v>
      </c>
      <c r="AC297" s="77" t="s">
        <v>40</v>
      </c>
      <c r="AD297" s="88">
        <v>3250</v>
      </c>
      <c r="AE297" s="88">
        <v>3120</v>
      </c>
      <c r="AF297" s="88">
        <v>2652</v>
      </c>
    </row>
    <row r="298" s="44" customFormat="1" ht="38" customHeight="1" spans="1:32">
      <c r="A298" s="55"/>
      <c r="B298" s="55"/>
      <c r="C298" s="55"/>
      <c r="D298" s="55"/>
      <c r="E298" s="59"/>
      <c r="F298" s="59"/>
      <c r="G298" s="55"/>
      <c r="H298" s="59"/>
      <c r="I298" s="37"/>
      <c r="J298" s="37"/>
      <c r="K298" s="64"/>
      <c r="L298" s="64"/>
      <c r="M298" s="64"/>
      <c r="N298" s="35"/>
      <c r="O298" s="35"/>
      <c r="P298" s="35"/>
      <c r="Q298" s="55"/>
      <c r="R298" s="55"/>
      <c r="S298" s="74"/>
      <c r="T298" s="64"/>
      <c r="U298" s="59"/>
      <c r="V298" s="76" t="s">
        <v>1219</v>
      </c>
      <c r="W298" s="83">
        <v>295</v>
      </c>
      <c r="X298" s="76">
        <v>330802039</v>
      </c>
      <c r="Y298" s="77" t="s">
        <v>1220</v>
      </c>
      <c r="Z298" s="77" t="s">
        <v>1221</v>
      </c>
      <c r="AA298" s="77"/>
      <c r="AB298" s="77" t="s">
        <v>54</v>
      </c>
      <c r="AC298" s="77" t="s">
        <v>40</v>
      </c>
      <c r="AD298" s="88">
        <v>9280</v>
      </c>
      <c r="AE298" s="88">
        <v>8350</v>
      </c>
      <c r="AF298" s="88">
        <v>7100</v>
      </c>
    </row>
    <row r="299" s="44" customFormat="1" ht="38" customHeight="1" spans="1:32">
      <c r="A299" s="55"/>
      <c r="B299" s="55"/>
      <c r="C299" s="55"/>
      <c r="D299" s="55"/>
      <c r="E299" s="59"/>
      <c r="F299" s="59"/>
      <c r="G299" s="55"/>
      <c r="H299" s="59"/>
      <c r="I299" s="37"/>
      <c r="J299" s="37"/>
      <c r="K299" s="64"/>
      <c r="L299" s="64"/>
      <c r="M299" s="64"/>
      <c r="N299" s="35"/>
      <c r="O299" s="35"/>
      <c r="P299" s="35"/>
      <c r="Q299" s="55"/>
      <c r="R299" s="55"/>
      <c r="S299" s="74"/>
      <c r="T299" s="64"/>
      <c r="U299" s="59"/>
      <c r="V299" s="76" t="s">
        <v>1222</v>
      </c>
      <c r="W299" s="83">
        <v>296</v>
      </c>
      <c r="X299" s="76">
        <v>330802045</v>
      </c>
      <c r="Y299" s="77" t="s">
        <v>1223</v>
      </c>
      <c r="Z299" s="77" t="s">
        <v>1224</v>
      </c>
      <c r="AA299" s="77"/>
      <c r="AB299" s="77" t="s">
        <v>54</v>
      </c>
      <c r="AC299" s="77" t="s">
        <v>40</v>
      </c>
      <c r="AD299" s="88">
        <v>7260</v>
      </c>
      <c r="AE299" s="88">
        <v>6530</v>
      </c>
      <c r="AF299" s="88">
        <v>5550</v>
      </c>
    </row>
    <row r="300" s="44" customFormat="1" ht="38" customHeight="1" spans="1:32">
      <c r="A300" s="55" t="s">
        <v>55</v>
      </c>
      <c r="B300" s="55" t="s">
        <v>1225</v>
      </c>
      <c r="C300" s="55" t="s">
        <v>1226</v>
      </c>
      <c r="D300" s="55" t="s">
        <v>350</v>
      </c>
      <c r="E300" s="59" t="s">
        <v>40</v>
      </c>
      <c r="F300" s="59" t="s">
        <v>40</v>
      </c>
      <c r="G300" s="55" t="s">
        <v>54</v>
      </c>
      <c r="H300" s="59" t="s">
        <v>40</v>
      </c>
      <c r="I300" s="30">
        <v>1053</v>
      </c>
      <c r="J300" s="30">
        <v>948</v>
      </c>
      <c r="K300" s="64"/>
      <c r="L300" s="64"/>
      <c r="M300" s="64"/>
      <c r="N300" s="35">
        <v>960</v>
      </c>
      <c r="O300" s="35">
        <v>870</v>
      </c>
      <c r="P300" s="35">
        <v>735</v>
      </c>
      <c r="Q300" s="55" t="s">
        <v>41</v>
      </c>
      <c r="R300" s="55" t="s">
        <v>40</v>
      </c>
      <c r="S300" s="74" t="s">
        <v>40</v>
      </c>
      <c r="T300" s="64"/>
      <c r="U300" s="59" t="s">
        <v>305</v>
      </c>
      <c r="V300" s="76" t="s">
        <v>1227</v>
      </c>
      <c r="W300" s="83">
        <v>297</v>
      </c>
      <c r="X300" s="76">
        <v>33080101601</v>
      </c>
      <c r="Y300" s="77" t="s">
        <v>1228</v>
      </c>
      <c r="Z300" s="77"/>
      <c r="AA300" s="77"/>
      <c r="AB300" s="77" t="s">
        <v>54</v>
      </c>
      <c r="AC300" s="77" t="s">
        <v>40</v>
      </c>
      <c r="AD300" s="88">
        <v>4225</v>
      </c>
      <c r="AE300" s="88">
        <v>4055</v>
      </c>
      <c r="AF300" s="88">
        <v>3445</v>
      </c>
    </row>
    <row r="301" s="44" customFormat="1" ht="38" customHeight="1" spans="1:32">
      <c r="A301" s="55"/>
      <c r="B301" s="55"/>
      <c r="C301" s="55"/>
      <c r="D301" s="55"/>
      <c r="E301" s="59"/>
      <c r="F301" s="59"/>
      <c r="G301" s="55"/>
      <c r="H301" s="59"/>
      <c r="I301" s="37"/>
      <c r="J301" s="37"/>
      <c r="K301" s="64"/>
      <c r="L301" s="64"/>
      <c r="M301" s="64"/>
      <c r="N301" s="35"/>
      <c r="O301" s="35"/>
      <c r="P301" s="35"/>
      <c r="Q301" s="55"/>
      <c r="R301" s="55"/>
      <c r="S301" s="74"/>
      <c r="T301" s="64"/>
      <c r="U301" s="59"/>
      <c r="V301" s="76" t="s">
        <v>1229</v>
      </c>
      <c r="W301" s="83">
        <v>298</v>
      </c>
      <c r="X301" s="76">
        <v>33080203901</v>
      </c>
      <c r="Y301" s="77" t="s">
        <v>1230</v>
      </c>
      <c r="Z301" s="77"/>
      <c r="AA301" s="77"/>
      <c r="AB301" s="77" t="s">
        <v>54</v>
      </c>
      <c r="AC301" s="77" t="s">
        <v>40</v>
      </c>
      <c r="AD301" s="88">
        <v>12065</v>
      </c>
      <c r="AE301" s="88">
        <v>10855</v>
      </c>
      <c r="AF301" s="88">
        <v>9225</v>
      </c>
    </row>
    <row r="302" s="44" customFormat="1" ht="38" customHeight="1" spans="1:32">
      <c r="A302" s="55"/>
      <c r="B302" s="55"/>
      <c r="C302" s="55"/>
      <c r="D302" s="55"/>
      <c r="E302" s="59"/>
      <c r="F302" s="59"/>
      <c r="G302" s="55"/>
      <c r="H302" s="59"/>
      <c r="I302" s="37"/>
      <c r="J302" s="37"/>
      <c r="K302" s="64"/>
      <c r="L302" s="64"/>
      <c r="M302" s="64"/>
      <c r="N302" s="35"/>
      <c r="O302" s="35"/>
      <c r="P302" s="35"/>
      <c r="Q302" s="55"/>
      <c r="R302" s="55"/>
      <c r="S302" s="74"/>
      <c r="T302" s="64"/>
      <c r="U302" s="59"/>
      <c r="V302" s="76" t="s">
        <v>1231</v>
      </c>
      <c r="W302" s="83">
        <v>299</v>
      </c>
      <c r="X302" s="76">
        <v>33080204501</v>
      </c>
      <c r="Y302" s="77" t="s">
        <v>1232</v>
      </c>
      <c r="Z302" s="77"/>
      <c r="AA302" s="77"/>
      <c r="AB302" s="77" t="s">
        <v>54</v>
      </c>
      <c r="AC302" s="77" t="s">
        <v>40</v>
      </c>
      <c r="AD302" s="88">
        <v>9440</v>
      </c>
      <c r="AE302" s="88">
        <v>8490</v>
      </c>
      <c r="AF302" s="88">
        <v>7215</v>
      </c>
    </row>
    <row r="303" s="44" customFormat="1" ht="38" customHeight="1" spans="1:32">
      <c r="A303" s="55">
        <v>76</v>
      </c>
      <c r="B303" s="55" t="s">
        <v>1233</v>
      </c>
      <c r="C303" s="55" t="s">
        <v>1234</v>
      </c>
      <c r="D303" s="55" t="s">
        <v>350</v>
      </c>
      <c r="E303" s="59" t="s">
        <v>1235</v>
      </c>
      <c r="F303" s="59" t="s">
        <v>1089</v>
      </c>
      <c r="G303" s="55" t="s">
        <v>54</v>
      </c>
      <c r="H303" s="59"/>
      <c r="I303" s="30">
        <v>4660</v>
      </c>
      <c r="J303" s="30">
        <v>4194</v>
      </c>
      <c r="K303" s="64">
        <v>3850</v>
      </c>
      <c r="L303" s="64"/>
      <c r="M303" s="64"/>
      <c r="N303" s="68">
        <v>4190</v>
      </c>
      <c r="O303" s="35">
        <v>3770</v>
      </c>
      <c r="P303" s="35">
        <v>3200</v>
      </c>
      <c r="Q303" s="55" t="s">
        <v>41</v>
      </c>
      <c r="R303" s="55" t="s">
        <v>40</v>
      </c>
      <c r="S303" s="74" t="s">
        <v>40</v>
      </c>
      <c r="T303" s="64" t="s">
        <v>698</v>
      </c>
      <c r="U303" s="59" t="s">
        <v>1236</v>
      </c>
      <c r="V303" s="76" t="s">
        <v>1237</v>
      </c>
      <c r="W303" s="83">
        <v>300</v>
      </c>
      <c r="X303" s="76">
        <v>330801018</v>
      </c>
      <c r="Y303" s="77" t="s">
        <v>1238</v>
      </c>
      <c r="Z303" s="77" t="s">
        <v>1239</v>
      </c>
      <c r="AA303" s="77" t="s">
        <v>583</v>
      </c>
      <c r="AB303" s="77" t="s">
        <v>54</v>
      </c>
      <c r="AC303" s="77" t="s">
        <v>1240</v>
      </c>
      <c r="AD303" s="88">
        <v>3850</v>
      </c>
      <c r="AE303" s="88">
        <v>3465</v>
      </c>
      <c r="AF303" s="88">
        <v>2770</v>
      </c>
    </row>
    <row r="304" s="44" customFormat="1" ht="38" customHeight="1" spans="1:32">
      <c r="A304" s="55"/>
      <c r="B304" s="55"/>
      <c r="C304" s="55"/>
      <c r="D304" s="55"/>
      <c r="E304" s="59"/>
      <c r="F304" s="59"/>
      <c r="G304" s="55"/>
      <c r="H304" s="59"/>
      <c r="I304" s="37"/>
      <c r="J304" s="37"/>
      <c r="K304" s="64"/>
      <c r="L304" s="64"/>
      <c r="M304" s="64"/>
      <c r="N304" s="68"/>
      <c r="O304" s="35"/>
      <c r="P304" s="35"/>
      <c r="Q304" s="55"/>
      <c r="R304" s="55"/>
      <c r="S304" s="74"/>
      <c r="T304" s="64"/>
      <c r="U304" s="59"/>
      <c r="V304" s="76" t="s">
        <v>1241</v>
      </c>
      <c r="W304" s="83">
        <v>301</v>
      </c>
      <c r="X304" s="76">
        <v>33080101801</v>
      </c>
      <c r="Y304" s="77" t="s">
        <v>1242</v>
      </c>
      <c r="Z304" s="77"/>
      <c r="AA304" s="77"/>
      <c r="AB304" s="77" t="s">
        <v>54</v>
      </c>
      <c r="AC304" s="77" t="s">
        <v>1243</v>
      </c>
      <c r="AD304" s="88">
        <v>3250</v>
      </c>
      <c r="AE304" s="88">
        <v>2925</v>
      </c>
      <c r="AF304" s="88">
        <v>2340</v>
      </c>
    </row>
    <row r="305" s="44" customFormat="1" ht="38" customHeight="1" spans="1:32">
      <c r="A305" s="55"/>
      <c r="B305" s="55"/>
      <c r="C305" s="55"/>
      <c r="D305" s="55"/>
      <c r="E305" s="59"/>
      <c r="F305" s="59"/>
      <c r="G305" s="55"/>
      <c r="H305" s="59"/>
      <c r="I305" s="37"/>
      <c r="J305" s="37"/>
      <c r="K305" s="64"/>
      <c r="L305" s="64"/>
      <c r="M305" s="64"/>
      <c r="N305" s="68"/>
      <c r="O305" s="35"/>
      <c r="P305" s="35"/>
      <c r="Q305" s="55"/>
      <c r="R305" s="55"/>
      <c r="S305" s="74"/>
      <c r="T305" s="64"/>
      <c r="U305" s="59"/>
      <c r="V305" s="76" t="s">
        <v>1244</v>
      </c>
      <c r="W305" s="83">
        <v>302</v>
      </c>
      <c r="X305" s="76">
        <v>330802041</v>
      </c>
      <c r="Y305" s="77" t="s">
        <v>1245</v>
      </c>
      <c r="Z305" s="77" t="s">
        <v>1246</v>
      </c>
      <c r="AA305" s="77"/>
      <c r="AB305" s="77" t="s">
        <v>1247</v>
      </c>
      <c r="AC305" s="77" t="s">
        <v>40</v>
      </c>
      <c r="AD305" s="88">
        <v>9280</v>
      </c>
      <c r="AE305" s="88">
        <v>8350</v>
      </c>
      <c r="AF305" s="88">
        <v>7100</v>
      </c>
    </row>
    <row r="306" s="44" customFormat="1" ht="38" customHeight="1" spans="1:32">
      <c r="A306" s="55"/>
      <c r="B306" s="55"/>
      <c r="C306" s="55"/>
      <c r="D306" s="55"/>
      <c r="E306" s="59"/>
      <c r="F306" s="59"/>
      <c r="G306" s="55"/>
      <c r="H306" s="59"/>
      <c r="I306" s="37"/>
      <c r="J306" s="37"/>
      <c r="K306" s="64"/>
      <c r="L306" s="64"/>
      <c r="M306" s="64"/>
      <c r="N306" s="68"/>
      <c r="O306" s="35"/>
      <c r="P306" s="35"/>
      <c r="Q306" s="55"/>
      <c r="R306" s="55"/>
      <c r="S306" s="74"/>
      <c r="T306" s="64"/>
      <c r="U306" s="59"/>
      <c r="V306" s="76" t="s">
        <v>1248</v>
      </c>
      <c r="W306" s="83">
        <v>303</v>
      </c>
      <c r="X306" s="76">
        <v>330801028</v>
      </c>
      <c r="Y306" s="77" t="s">
        <v>1249</v>
      </c>
      <c r="Z306" s="77"/>
      <c r="AA306" s="77"/>
      <c r="AB306" s="77" t="s">
        <v>54</v>
      </c>
      <c r="AC306" s="77" t="s">
        <v>40</v>
      </c>
      <c r="AD306" s="88">
        <v>6600</v>
      </c>
      <c r="AE306" s="88">
        <v>5940</v>
      </c>
      <c r="AF306" s="88">
        <v>5050</v>
      </c>
    </row>
    <row r="307" s="44" customFormat="1" ht="38" customHeight="1" spans="1:32">
      <c r="A307" s="55" t="s">
        <v>55</v>
      </c>
      <c r="B307" s="55" t="s">
        <v>1250</v>
      </c>
      <c r="C307" s="55" t="s">
        <v>1251</v>
      </c>
      <c r="D307" s="55" t="s">
        <v>350</v>
      </c>
      <c r="E307" s="59" t="s">
        <v>40</v>
      </c>
      <c r="F307" s="59" t="s">
        <v>40</v>
      </c>
      <c r="G307" s="55" t="s">
        <v>54</v>
      </c>
      <c r="H307" s="59" t="s">
        <v>40</v>
      </c>
      <c r="I307" s="30">
        <v>1398</v>
      </c>
      <c r="J307" s="30">
        <v>1258</v>
      </c>
      <c r="K307" s="64"/>
      <c r="L307" s="64"/>
      <c r="M307" s="64"/>
      <c r="N307" s="35">
        <v>1255</v>
      </c>
      <c r="O307" s="35">
        <v>1130</v>
      </c>
      <c r="P307" s="35">
        <v>960</v>
      </c>
      <c r="Q307" s="55" t="s">
        <v>41</v>
      </c>
      <c r="R307" s="55" t="s">
        <v>40</v>
      </c>
      <c r="S307" s="74" t="s">
        <v>40</v>
      </c>
      <c r="T307" s="64"/>
      <c r="U307" s="59" t="s">
        <v>305</v>
      </c>
      <c r="V307" s="76" t="s">
        <v>1252</v>
      </c>
      <c r="W307" s="83">
        <v>304</v>
      </c>
      <c r="X307" s="76">
        <v>33080101802</v>
      </c>
      <c r="Y307" s="77" t="s">
        <v>1253</v>
      </c>
      <c r="Z307" s="77"/>
      <c r="AA307" s="77"/>
      <c r="AB307" s="77" t="s">
        <v>54</v>
      </c>
      <c r="AC307" s="77" t="s">
        <v>40</v>
      </c>
      <c r="AD307" s="88">
        <v>5005</v>
      </c>
      <c r="AE307" s="88">
        <v>4505</v>
      </c>
      <c r="AF307" s="88">
        <v>3600</v>
      </c>
    </row>
    <row r="308" s="44" customFormat="1" ht="38" customHeight="1" spans="1:32">
      <c r="A308" s="55"/>
      <c r="B308" s="55"/>
      <c r="C308" s="55"/>
      <c r="D308" s="55"/>
      <c r="E308" s="59"/>
      <c r="F308" s="59"/>
      <c r="G308" s="55"/>
      <c r="H308" s="59"/>
      <c r="I308" s="37"/>
      <c r="J308" s="37"/>
      <c r="K308" s="64"/>
      <c r="L308" s="64"/>
      <c r="M308" s="64"/>
      <c r="N308" s="35"/>
      <c r="O308" s="35"/>
      <c r="P308" s="35"/>
      <c r="Q308" s="55"/>
      <c r="R308" s="55"/>
      <c r="S308" s="74"/>
      <c r="T308" s="64"/>
      <c r="U308" s="59"/>
      <c r="V308" s="76" t="s">
        <v>1254</v>
      </c>
      <c r="W308" s="83">
        <v>305</v>
      </c>
      <c r="X308" s="76">
        <v>33080101803</v>
      </c>
      <c r="Y308" s="77" t="s">
        <v>1255</v>
      </c>
      <c r="Z308" s="77"/>
      <c r="AA308" s="77"/>
      <c r="AB308" s="77" t="s">
        <v>54</v>
      </c>
      <c r="AC308" s="77" t="s">
        <v>1243</v>
      </c>
      <c r="AD308" s="88">
        <v>4225</v>
      </c>
      <c r="AE308" s="88">
        <v>3800</v>
      </c>
      <c r="AF308" s="88">
        <v>3040</v>
      </c>
    </row>
    <row r="309" s="44" customFormat="1" ht="38" customHeight="1" spans="1:32">
      <c r="A309" s="55"/>
      <c r="B309" s="55"/>
      <c r="C309" s="55"/>
      <c r="D309" s="55"/>
      <c r="E309" s="59"/>
      <c r="F309" s="59"/>
      <c r="G309" s="55"/>
      <c r="H309" s="59"/>
      <c r="I309" s="37"/>
      <c r="J309" s="37"/>
      <c r="K309" s="64"/>
      <c r="L309" s="64"/>
      <c r="M309" s="64"/>
      <c r="N309" s="35"/>
      <c r="O309" s="35"/>
      <c r="P309" s="35"/>
      <c r="Q309" s="55"/>
      <c r="R309" s="55"/>
      <c r="S309" s="74"/>
      <c r="T309" s="64"/>
      <c r="U309" s="59"/>
      <c r="V309" s="76" t="s">
        <v>1256</v>
      </c>
      <c r="W309" s="83">
        <v>306</v>
      </c>
      <c r="X309" s="76">
        <v>33080204101</v>
      </c>
      <c r="Y309" s="77" t="s">
        <v>1257</v>
      </c>
      <c r="Z309" s="77"/>
      <c r="AA309" s="77"/>
      <c r="AB309" s="77" t="s">
        <v>1247</v>
      </c>
      <c r="AC309" s="77" t="s">
        <v>40</v>
      </c>
      <c r="AD309" s="88">
        <v>12065</v>
      </c>
      <c r="AE309" s="88">
        <v>10855</v>
      </c>
      <c r="AF309" s="88">
        <v>9225</v>
      </c>
    </row>
    <row r="310" s="44" customFormat="1" ht="38" customHeight="1" spans="1:32">
      <c r="A310" s="55"/>
      <c r="B310" s="55"/>
      <c r="C310" s="55"/>
      <c r="D310" s="55"/>
      <c r="E310" s="59"/>
      <c r="F310" s="59"/>
      <c r="G310" s="55"/>
      <c r="H310" s="59"/>
      <c r="I310" s="37"/>
      <c r="J310" s="37"/>
      <c r="K310" s="64"/>
      <c r="L310" s="64"/>
      <c r="M310" s="64"/>
      <c r="N310" s="35"/>
      <c r="O310" s="35"/>
      <c r="P310" s="35"/>
      <c r="Q310" s="55"/>
      <c r="R310" s="55"/>
      <c r="S310" s="74"/>
      <c r="T310" s="64"/>
      <c r="U310" s="59"/>
      <c r="V310" s="76" t="s">
        <v>1258</v>
      </c>
      <c r="W310" s="83">
        <v>307</v>
      </c>
      <c r="X310" s="76">
        <v>33080102801</v>
      </c>
      <c r="Y310" s="77" t="s">
        <v>1259</v>
      </c>
      <c r="Z310" s="77"/>
      <c r="AA310" s="77"/>
      <c r="AB310" s="77" t="s">
        <v>54</v>
      </c>
      <c r="AC310" s="77" t="s">
        <v>40</v>
      </c>
      <c r="AD310" s="88">
        <v>8580</v>
      </c>
      <c r="AE310" s="88">
        <v>7720</v>
      </c>
      <c r="AF310" s="88">
        <v>6560</v>
      </c>
    </row>
    <row r="311" s="44" customFormat="1" ht="71" customHeight="1" spans="1:32">
      <c r="A311" s="55" t="s">
        <v>55</v>
      </c>
      <c r="B311" s="55" t="s">
        <v>1260</v>
      </c>
      <c r="C311" s="55" t="s">
        <v>1261</v>
      </c>
      <c r="D311" s="55" t="s">
        <v>350</v>
      </c>
      <c r="E311" s="59" t="s">
        <v>40</v>
      </c>
      <c r="F311" s="59" t="s">
        <v>40</v>
      </c>
      <c r="G311" s="55" t="s">
        <v>54</v>
      </c>
      <c r="H311" s="59" t="s">
        <v>40</v>
      </c>
      <c r="I311" s="30">
        <v>800</v>
      </c>
      <c r="J311" s="30">
        <v>720</v>
      </c>
      <c r="K311" s="64"/>
      <c r="L311" s="64"/>
      <c r="M311" s="64"/>
      <c r="N311" s="70">
        <v>720</v>
      </c>
      <c r="O311" s="70">
        <v>650</v>
      </c>
      <c r="P311" s="70">
        <v>550</v>
      </c>
      <c r="Q311" s="35" t="s">
        <v>41</v>
      </c>
      <c r="R311" s="35" t="s">
        <v>40</v>
      </c>
      <c r="S311" s="35" t="s">
        <v>40</v>
      </c>
      <c r="T311" s="64"/>
      <c r="U311" s="59" t="s">
        <v>1210</v>
      </c>
      <c r="V311" s="76"/>
      <c r="W311" s="83">
        <v>308</v>
      </c>
      <c r="X311" s="76"/>
      <c r="Y311" s="77"/>
      <c r="Z311" s="77"/>
      <c r="AA311" s="77"/>
      <c r="AB311" s="77"/>
      <c r="AC311" s="77"/>
      <c r="AD311" s="88"/>
      <c r="AE311" s="88"/>
      <c r="AF311" s="88"/>
    </row>
    <row r="312" s="44" customFormat="1" ht="38" customHeight="1" spans="1:32">
      <c r="A312" s="55">
        <v>77</v>
      </c>
      <c r="B312" s="55" t="s">
        <v>1262</v>
      </c>
      <c r="C312" s="55" t="s">
        <v>1263</v>
      </c>
      <c r="D312" s="55" t="s">
        <v>350</v>
      </c>
      <c r="E312" s="59" t="s">
        <v>1264</v>
      </c>
      <c r="F312" s="59" t="s">
        <v>1265</v>
      </c>
      <c r="G312" s="55" t="s">
        <v>54</v>
      </c>
      <c r="H312" s="59" t="s">
        <v>40</v>
      </c>
      <c r="I312" s="30">
        <v>6975</v>
      </c>
      <c r="J312" s="30">
        <v>6278</v>
      </c>
      <c r="K312" s="64">
        <v>6400</v>
      </c>
      <c r="L312" s="64">
        <v>5760</v>
      </c>
      <c r="M312" s="64">
        <v>4600</v>
      </c>
      <c r="N312" s="35">
        <v>6400</v>
      </c>
      <c r="O312" s="35">
        <v>5760</v>
      </c>
      <c r="P312" s="68">
        <v>4900</v>
      </c>
      <c r="Q312" s="55" t="s">
        <v>41</v>
      </c>
      <c r="R312" s="55" t="s">
        <v>40</v>
      </c>
      <c r="S312" s="74" t="s">
        <v>40</v>
      </c>
      <c r="T312" s="64" t="s">
        <v>183</v>
      </c>
      <c r="U312" s="59" t="s">
        <v>973</v>
      </c>
      <c r="V312" s="76" t="s">
        <v>1266</v>
      </c>
      <c r="W312" s="83">
        <v>309</v>
      </c>
      <c r="X312" s="76">
        <v>330801019</v>
      </c>
      <c r="Y312" s="77" t="s">
        <v>1267</v>
      </c>
      <c r="Z312" s="77" t="s">
        <v>1268</v>
      </c>
      <c r="AA312" s="77" t="s">
        <v>1218</v>
      </c>
      <c r="AB312" s="77" t="s">
        <v>54</v>
      </c>
      <c r="AC312" s="77" t="s">
        <v>40</v>
      </c>
      <c r="AD312" s="88">
        <v>6400</v>
      </c>
      <c r="AE312" s="88">
        <v>5760</v>
      </c>
      <c r="AF312" s="88">
        <v>4600</v>
      </c>
    </row>
    <row r="313" s="44" customFormat="1" ht="38" customHeight="1" spans="1:32">
      <c r="A313" s="55" t="s">
        <v>55</v>
      </c>
      <c r="B313" s="55" t="s">
        <v>1269</v>
      </c>
      <c r="C313" s="55" t="s">
        <v>1270</v>
      </c>
      <c r="D313" s="55" t="s">
        <v>350</v>
      </c>
      <c r="E313" s="59" t="s">
        <v>40</v>
      </c>
      <c r="F313" s="59" t="s">
        <v>40</v>
      </c>
      <c r="G313" s="55" t="s">
        <v>54</v>
      </c>
      <c r="H313" s="59" t="s">
        <v>40</v>
      </c>
      <c r="I313" s="30">
        <v>2093</v>
      </c>
      <c r="J313" s="30">
        <v>1883</v>
      </c>
      <c r="K313" s="64"/>
      <c r="L313" s="64"/>
      <c r="M313" s="64"/>
      <c r="N313" s="35">
        <v>1920</v>
      </c>
      <c r="O313" s="35">
        <v>1728</v>
      </c>
      <c r="P313" s="35">
        <v>1470</v>
      </c>
      <c r="Q313" s="55" t="s">
        <v>41</v>
      </c>
      <c r="R313" s="55" t="s">
        <v>40</v>
      </c>
      <c r="S313" s="74" t="s">
        <v>40</v>
      </c>
      <c r="T313" s="64"/>
      <c r="U313" s="59" t="s">
        <v>305</v>
      </c>
      <c r="V313" s="76" t="s">
        <v>1271</v>
      </c>
      <c r="W313" s="83">
        <v>310</v>
      </c>
      <c r="X313" s="76">
        <v>33080101901</v>
      </c>
      <c r="Y313" s="77" t="s">
        <v>1272</v>
      </c>
      <c r="Z313" s="77"/>
      <c r="AA313" s="77"/>
      <c r="AB313" s="77" t="s">
        <v>54</v>
      </c>
      <c r="AC313" s="77" t="s">
        <v>40</v>
      </c>
      <c r="AD313" s="88">
        <v>8320</v>
      </c>
      <c r="AE313" s="88">
        <v>7490</v>
      </c>
      <c r="AF313" s="88">
        <v>5980</v>
      </c>
    </row>
    <row r="314" s="44" customFormat="1" ht="38" customHeight="1" spans="1:32">
      <c r="A314" s="55" t="s">
        <v>55</v>
      </c>
      <c r="B314" s="55" t="s">
        <v>1273</v>
      </c>
      <c r="C314" s="55" t="s">
        <v>1274</v>
      </c>
      <c r="D314" s="55" t="s">
        <v>350</v>
      </c>
      <c r="E314" s="59" t="s">
        <v>40</v>
      </c>
      <c r="F314" s="59" t="s">
        <v>40</v>
      </c>
      <c r="G314" s="55" t="s">
        <v>54</v>
      </c>
      <c r="H314" s="59" t="s">
        <v>40</v>
      </c>
      <c r="I314" s="30">
        <v>6975</v>
      </c>
      <c r="J314" s="30">
        <v>6278</v>
      </c>
      <c r="K314" s="64"/>
      <c r="L314" s="64"/>
      <c r="M314" s="64"/>
      <c r="N314" s="35">
        <v>6400</v>
      </c>
      <c r="O314" s="35">
        <v>5760</v>
      </c>
      <c r="P314" s="35">
        <v>4900</v>
      </c>
      <c r="Q314" s="55" t="s">
        <v>41</v>
      </c>
      <c r="R314" s="55" t="s">
        <v>40</v>
      </c>
      <c r="S314" s="74" t="s">
        <v>40</v>
      </c>
      <c r="T314" s="64"/>
      <c r="U314" s="59"/>
      <c r="V314" s="76"/>
      <c r="W314" s="83">
        <v>311</v>
      </c>
      <c r="X314" s="76"/>
      <c r="Y314" s="55"/>
      <c r="Z314" s="55"/>
      <c r="AA314" s="55"/>
      <c r="AB314" s="55"/>
      <c r="AC314" s="77"/>
      <c r="AD314" s="88"/>
      <c r="AE314" s="88"/>
      <c r="AF314" s="88"/>
    </row>
    <row r="315" s="44" customFormat="1" ht="38" customHeight="1" spans="1:32">
      <c r="A315" s="55">
        <v>78</v>
      </c>
      <c r="B315" s="55" t="s">
        <v>1275</v>
      </c>
      <c r="C315" s="55" t="s">
        <v>1276</v>
      </c>
      <c r="D315" s="55" t="s">
        <v>350</v>
      </c>
      <c r="E315" s="59" t="s">
        <v>1277</v>
      </c>
      <c r="F315" s="59" t="s">
        <v>1278</v>
      </c>
      <c r="G315" s="55" t="s">
        <v>54</v>
      </c>
      <c r="H315" s="59" t="s">
        <v>40</v>
      </c>
      <c r="I315" s="30">
        <v>8160</v>
      </c>
      <c r="J315" s="30">
        <v>7344</v>
      </c>
      <c r="K315" s="64"/>
      <c r="L315" s="64"/>
      <c r="M315" s="64"/>
      <c r="N315" s="35">
        <v>7400</v>
      </c>
      <c r="O315" s="35">
        <v>6660</v>
      </c>
      <c r="P315" s="35">
        <v>5660</v>
      </c>
      <c r="Q315" s="55" t="s">
        <v>41</v>
      </c>
      <c r="R315" s="55" t="s">
        <v>40</v>
      </c>
      <c r="S315" s="74" t="s">
        <v>40</v>
      </c>
      <c r="T315" s="64" t="s">
        <v>355</v>
      </c>
      <c r="U315" s="59" t="s">
        <v>1011</v>
      </c>
      <c r="V315" s="76" t="s">
        <v>1279</v>
      </c>
      <c r="W315" s="83">
        <v>312</v>
      </c>
      <c r="X315" s="76">
        <v>330801020</v>
      </c>
      <c r="Y315" s="77" t="s">
        <v>1280</v>
      </c>
      <c r="Z315" s="77"/>
      <c r="AA315" s="77"/>
      <c r="AB315" s="77" t="s">
        <v>54</v>
      </c>
      <c r="AC315" s="77" t="s">
        <v>40</v>
      </c>
      <c r="AD315" s="88">
        <v>7010</v>
      </c>
      <c r="AE315" s="88">
        <v>6310</v>
      </c>
      <c r="AF315" s="88">
        <v>5360</v>
      </c>
    </row>
    <row r="316" s="44" customFormat="1" ht="38" customHeight="1" spans="1:32">
      <c r="A316" s="55"/>
      <c r="B316" s="55"/>
      <c r="C316" s="55"/>
      <c r="D316" s="55"/>
      <c r="E316" s="59"/>
      <c r="F316" s="59"/>
      <c r="G316" s="55"/>
      <c r="H316" s="59"/>
      <c r="I316" s="37"/>
      <c r="J316" s="37"/>
      <c r="K316" s="64"/>
      <c r="L316" s="64"/>
      <c r="M316" s="64"/>
      <c r="N316" s="35"/>
      <c r="O316" s="35"/>
      <c r="P316" s="35"/>
      <c r="Q316" s="55"/>
      <c r="R316" s="55"/>
      <c r="S316" s="74"/>
      <c r="T316" s="64"/>
      <c r="U316" s="59"/>
      <c r="V316" s="76" t="s">
        <v>1176</v>
      </c>
      <c r="W316" s="83">
        <v>313</v>
      </c>
      <c r="X316" s="76">
        <v>330801026</v>
      </c>
      <c r="Y316" s="77" t="s">
        <v>1177</v>
      </c>
      <c r="Z316" s="77" t="s">
        <v>1178</v>
      </c>
      <c r="AA316" s="77"/>
      <c r="AB316" s="77" t="s">
        <v>54</v>
      </c>
      <c r="AC316" s="77" t="s">
        <v>40</v>
      </c>
      <c r="AD316" s="88">
        <v>15000</v>
      </c>
      <c r="AE316" s="88">
        <v>13500</v>
      </c>
      <c r="AF316" s="88">
        <v>11475</v>
      </c>
    </row>
    <row r="317" s="44" customFormat="1" ht="38" customHeight="1" spans="1:32">
      <c r="A317" s="55" t="s">
        <v>55</v>
      </c>
      <c r="B317" s="55" t="s">
        <v>1281</v>
      </c>
      <c r="C317" s="55" t="s">
        <v>1282</v>
      </c>
      <c r="D317" s="55" t="s">
        <v>350</v>
      </c>
      <c r="E317" s="59" t="s">
        <v>40</v>
      </c>
      <c r="F317" s="59" t="s">
        <v>40</v>
      </c>
      <c r="G317" s="55" t="s">
        <v>54</v>
      </c>
      <c r="H317" s="59" t="s">
        <v>40</v>
      </c>
      <c r="I317" s="30">
        <v>2448</v>
      </c>
      <c r="J317" s="30">
        <v>2203</v>
      </c>
      <c r="K317" s="64"/>
      <c r="L317" s="64"/>
      <c r="M317" s="64"/>
      <c r="N317" s="35">
        <v>2220</v>
      </c>
      <c r="O317" s="35">
        <v>2000</v>
      </c>
      <c r="P317" s="35">
        <v>1700</v>
      </c>
      <c r="Q317" s="55" t="s">
        <v>41</v>
      </c>
      <c r="R317" s="55" t="s">
        <v>40</v>
      </c>
      <c r="S317" s="74" t="s">
        <v>40</v>
      </c>
      <c r="T317" s="64"/>
      <c r="U317" s="59" t="s">
        <v>305</v>
      </c>
      <c r="V317" s="76" t="s">
        <v>1283</v>
      </c>
      <c r="W317" s="83">
        <v>314</v>
      </c>
      <c r="X317" s="76">
        <v>33080102001</v>
      </c>
      <c r="Y317" s="77" t="s">
        <v>1284</v>
      </c>
      <c r="Z317" s="77"/>
      <c r="AA317" s="77"/>
      <c r="AB317" s="77" t="s">
        <v>54</v>
      </c>
      <c r="AC317" s="77" t="s">
        <v>40</v>
      </c>
      <c r="AD317" s="88">
        <v>9115</v>
      </c>
      <c r="AE317" s="88">
        <v>8205</v>
      </c>
      <c r="AF317" s="88">
        <v>6975</v>
      </c>
    </row>
    <row r="318" s="44" customFormat="1" ht="38" customHeight="1" spans="1:32">
      <c r="A318" s="55"/>
      <c r="B318" s="55"/>
      <c r="C318" s="55"/>
      <c r="D318" s="55"/>
      <c r="E318" s="59"/>
      <c r="F318" s="59"/>
      <c r="G318" s="55"/>
      <c r="H318" s="59"/>
      <c r="I318" s="37"/>
      <c r="J318" s="37"/>
      <c r="K318" s="64"/>
      <c r="L318" s="64"/>
      <c r="M318" s="64"/>
      <c r="N318" s="35"/>
      <c r="O318" s="35"/>
      <c r="P318" s="35"/>
      <c r="Q318" s="55"/>
      <c r="R318" s="55"/>
      <c r="S318" s="74"/>
      <c r="T318" s="64"/>
      <c r="U318" s="59"/>
      <c r="V318" s="76" t="s">
        <v>1189</v>
      </c>
      <c r="W318" s="83">
        <v>315</v>
      </c>
      <c r="X318" s="76">
        <v>33080102601</v>
      </c>
      <c r="Y318" s="77" t="s">
        <v>1190</v>
      </c>
      <c r="Z318" s="77"/>
      <c r="AA318" s="77"/>
      <c r="AB318" s="77" t="s">
        <v>54</v>
      </c>
      <c r="AC318" s="77" t="s">
        <v>40</v>
      </c>
      <c r="AD318" s="88">
        <v>19500</v>
      </c>
      <c r="AE318" s="88">
        <v>17550</v>
      </c>
      <c r="AF318" s="88">
        <v>14920</v>
      </c>
    </row>
    <row r="319" s="44" customFormat="1" ht="38" customHeight="1" spans="1:32">
      <c r="A319" s="55">
        <v>79</v>
      </c>
      <c r="B319" s="55" t="s">
        <v>1285</v>
      </c>
      <c r="C319" s="55" t="s">
        <v>1286</v>
      </c>
      <c r="D319" s="55" t="s">
        <v>350</v>
      </c>
      <c r="E319" s="59" t="s">
        <v>1287</v>
      </c>
      <c r="F319" s="59" t="s">
        <v>1288</v>
      </c>
      <c r="G319" s="55" t="s">
        <v>54</v>
      </c>
      <c r="H319" s="59" t="s">
        <v>40</v>
      </c>
      <c r="I319" s="30">
        <v>2455</v>
      </c>
      <c r="J319" s="30">
        <v>2210</v>
      </c>
      <c r="K319" s="64"/>
      <c r="L319" s="64"/>
      <c r="M319" s="64"/>
      <c r="N319" s="35">
        <v>2310</v>
      </c>
      <c r="O319" s="35">
        <v>2160</v>
      </c>
      <c r="P319" s="35">
        <v>1836</v>
      </c>
      <c r="Q319" s="55" t="s">
        <v>41</v>
      </c>
      <c r="R319" s="55" t="s">
        <v>40</v>
      </c>
      <c r="S319" s="74" t="s">
        <v>40</v>
      </c>
      <c r="T319" s="64" t="s">
        <v>183</v>
      </c>
      <c r="U319" s="59" t="s">
        <v>183</v>
      </c>
      <c r="V319" s="76" t="s">
        <v>1289</v>
      </c>
      <c r="W319" s="83">
        <v>316</v>
      </c>
      <c r="X319" s="76">
        <v>330802014</v>
      </c>
      <c r="Y319" s="77" t="s">
        <v>1290</v>
      </c>
      <c r="Z319" s="77" t="s">
        <v>1291</v>
      </c>
      <c r="AA319" s="77"/>
      <c r="AB319" s="77" t="s">
        <v>54</v>
      </c>
      <c r="AC319" s="77" t="s">
        <v>1292</v>
      </c>
      <c r="AD319" s="88">
        <v>2310</v>
      </c>
      <c r="AE319" s="88">
        <v>2160</v>
      </c>
      <c r="AF319" s="88">
        <v>1836</v>
      </c>
    </row>
    <row r="320" s="44" customFormat="1" ht="38" customHeight="1" spans="1:32">
      <c r="A320" s="55"/>
      <c r="B320" s="55"/>
      <c r="C320" s="55"/>
      <c r="D320" s="55"/>
      <c r="E320" s="59"/>
      <c r="F320" s="59"/>
      <c r="G320" s="55"/>
      <c r="H320" s="59"/>
      <c r="I320" s="37"/>
      <c r="J320" s="37"/>
      <c r="K320" s="64"/>
      <c r="L320" s="64"/>
      <c r="M320" s="64"/>
      <c r="N320" s="35"/>
      <c r="O320" s="35"/>
      <c r="P320" s="35"/>
      <c r="Q320" s="55"/>
      <c r="R320" s="55"/>
      <c r="S320" s="74"/>
      <c r="T320" s="64"/>
      <c r="U320" s="59"/>
      <c r="V320" s="76" t="s">
        <v>1293</v>
      </c>
      <c r="W320" s="83">
        <v>317</v>
      </c>
      <c r="X320" s="76">
        <v>33080201401</v>
      </c>
      <c r="Y320" s="77" t="s">
        <v>1294</v>
      </c>
      <c r="Z320" s="77"/>
      <c r="AA320" s="77"/>
      <c r="AB320" s="77" t="s">
        <v>54</v>
      </c>
      <c r="AC320" s="77" t="s">
        <v>1295</v>
      </c>
      <c r="AD320" s="88">
        <v>2950</v>
      </c>
      <c r="AE320" s="88">
        <v>2760</v>
      </c>
      <c r="AF320" s="88">
        <v>2346</v>
      </c>
    </row>
    <row r="321" s="44" customFormat="1" ht="38" customHeight="1" spans="1:32">
      <c r="A321" s="55" t="s">
        <v>55</v>
      </c>
      <c r="B321" s="55" t="s">
        <v>1296</v>
      </c>
      <c r="C321" s="55" t="s">
        <v>1297</v>
      </c>
      <c r="D321" s="55" t="s">
        <v>350</v>
      </c>
      <c r="E321" s="59" t="s">
        <v>40</v>
      </c>
      <c r="F321" s="59" t="s">
        <v>40</v>
      </c>
      <c r="G321" s="55" t="s">
        <v>54</v>
      </c>
      <c r="H321" s="59" t="s">
        <v>40</v>
      </c>
      <c r="I321" s="30">
        <v>737</v>
      </c>
      <c r="J321" s="30">
        <v>663</v>
      </c>
      <c r="K321" s="64"/>
      <c r="L321" s="64"/>
      <c r="M321" s="64"/>
      <c r="N321" s="35">
        <v>695</v>
      </c>
      <c r="O321" s="35">
        <v>650</v>
      </c>
      <c r="P321" s="35">
        <v>550</v>
      </c>
      <c r="Q321" s="55" t="s">
        <v>41</v>
      </c>
      <c r="R321" s="55" t="s">
        <v>40</v>
      </c>
      <c r="S321" s="74" t="s">
        <v>40</v>
      </c>
      <c r="T321" s="64"/>
      <c r="U321" s="59" t="s">
        <v>305</v>
      </c>
      <c r="V321" s="76" t="s">
        <v>1298</v>
      </c>
      <c r="W321" s="83">
        <v>318</v>
      </c>
      <c r="X321" s="76">
        <v>33080201402</v>
      </c>
      <c r="Y321" s="77" t="s">
        <v>1299</v>
      </c>
      <c r="Z321" s="77"/>
      <c r="AA321" s="77"/>
      <c r="AB321" s="77" t="s">
        <v>54</v>
      </c>
      <c r="AC321" s="77" t="s">
        <v>40</v>
      </c>
      <c r="AD321" s="88">
        <v>3005</v>
      </c>
      <c r="AE321" s="88">
        <v>2810</v>
      </c>
      <c r="AF321" s="88">
        <v>2385</v>
      </c>
    </row>
    <row r="322" s="44" customFormat="1" ht="38" customHeight="1" spans="1:32">
      <c r="A322" s="55"/>
      <c r="B322" s="55"/>
      <c r="C322" s="55"/>
      <c r="D322" s="55"/>
      <c r="E322" s="59"/>
      <c r="F322" s="59"/>
      <c r="G322" s="55"/>
      <c r="H322" s="59"/>
      <c r="I322" s="37"/>
      <c r="J322" s="37"/>
      <c r="K322" s="64"/>
      <c r="L322" s="64"/>
      <c r="M322" s="64"/>
      <c r="N322" s="35"/>
      <c r="O322" s="35"/>
      <c r="P322" s="35"/>
      <c r="Q322" s="55"/>
      <c r="R322" s="55"/>
      <c r="S322" s="74"/>
      <c r="T322" s="64"/>
      <c r="U322" s="59"/>
      <c r="V322" s="76" t="s">
        <v>1300</v>
      </c>
      <c r="W322" s="83">
        <v>319</v>
      </c>
      <c r="X322" s="76">
        <v>33080201403</v>
      </c>
      <c r="Y322" s="77" t="s">
        <v>1301</v>
      </c>
      <c r="Z322" s="77"/>
      <c r="AA322" s="77"/>
      <c r="AB322" s="77" t="s">
        <v>54</v>
      </c>
      <c r="AC322" s="77" t="s">
        <v>1295</v>
      </c>
      <c r="AD322" s="88">
        <v>3835</v>
      </c>
      <c r="AE322" s="88">
        <v>3590</v>
      </c>
      <c r="AF322" s="88">
        <v>3050</v>
      </c>
    </row>
    <row r="323" s="44" customFormat="1" ht="38" customHeight="1" spans="1:32">
      <c r="A323" s="55">
        <v>80</v>
      </c>
      <c r="B323" s="55" t="s">
        <v>1302</v>
      </c>
      <c r="C323" s="55" t="s">
        <v>1303</v>
      </c>
      <c r="D323" s="55" t="s">
        <v>350</v>
      </c>
      <c r="E323" s="59" t="s">
        <v>1304</v>
      </c>
      <c r="F323" s="59" t="s">
        <v>1305</v>
      </c>
      <c r="G323" s="55" t="s">
        <v>54</v>
      </c>
      <c r="H323" s="59" t="s">
        <v>40</v>
      </c>
      <c r="I323" s="30">
        <v>9464</v>
      </c>
      <c r="J323" s="30">
        <v>8518</v>
      </c>
      <c r="K323" s="64"/>
      <c r="L323" s="64"/>
      <c r="M323" s="64"/>
      <c r="N323" s="35">
        <v>8550</v>
      </c>
      <c r="O323" s="35">
        <v>7700</v>
      </c>
      <c r="P323" s="35">
        <v>6550</v>
      </c>
      <c r="Q323" s="55" t="s">
        <v>169</v>
      </c>
      <c r="R323" s="55" t="s">
        <v>40</v>
      </c>
      <c r="S323" s="74" t="s">
        <v>40</v>
      </c>
      <c r="T323" s="64" t="s">
        <v>170</v>
      </c>
      <c r="U323" s="59" t="s">
        <v>404</v>
      </c>
      <c r="V323" s="76"/>
      <c r="W323" s="83">
        <v>320</v>
      </c>
      <c r="X323" s="76"/>
      <c r="Y323" s="77"/>
      <c r="Z323" s="55"/>
      <c r="AA323" s="55"/>
      <c r="AB323" s="55"/>
      <c r="AC323" s="77"/>
      <c r="AD323" s="88"/>
      <c r="AE323" s="88"/>
      <c r="AF323" s="88"/>
    </row>
    <row r="324" s="44" customFormat="1" ht="38" customHeight="1" spans="1:32">
      <c r="A324" s="55" t="s">
        <v>55</v>
      </c>
      <c r="B324" s="55" t="s">
        <v>1306</v>
      </c>
      <c r="C324" s="55" t="s">
        <v>1307</v>
      </c>
      <c r="D324" s="55" t="s">
        <v>350</v>
      </c>
      <c r="E324" s="59" t="s">
        <v>40</v>
      </c>
      <c r="F324" s="59" t="s">
        <v>40</v>
      </c>
      <c r="G324" s="55" t="s">
        <v>54</v>
      </c>
      <c r="H324" s="59" t="s">
        <v>40</v>
      </c>
      <c r="I324" s="30">
        <v>2839</v>
      </c>
      <c r="J324" s="30">
        <v>2555</v>
      </c>
      <c r="K324" s="64"/>
      <c r="L324" s="64"/>
      <c r="M324" s="64"/>
      <c r="N324" s="35">
        <v>2565</v>
      </c>
      <c r="O324" s="35">
        <v>2310</v>
      </c>
      <c r="P324" s="35">
        <v>1965</v>
      </c>
      <c r="Q324" s="55" t="s">
        <v>169</v>
      </c>
      <c r="R324" s="55" t="s">
        <v>40</v>
      </c>
      <c r="S324" s="74" t="s">
        <v>40</v>
      </c>
      <c r="T324" s="64"/>
      <c r="U324" s="59" t="s">
        <v>305</v>
      </c>
      <c r="V324" s="76"/>
      <c r="W324" s="83">
        <v>321</v>
      </c>
      <c r="X324" s="76"/>
      <c r="Y324" s="77"/>
      <c r="Z324" s="55"/>
      <c r="AA324" s="55"/>
      <c r="AB324" s="55"/>
      <c r="AC324" s="77"/>
      <c r="AD324" s="88"/>
      <c r="AE324" s="88"/>
      <c r="AF324" s="88"/>
    </row>
    <row r="325" s="44" customFormat="1" ht="38" customHeight="1" spans="1:32">
      <c r="A325" s="55">
        <v>81</v>
      </c>
      <c r="B325" s="55" t="s">
        <v>1308</v>
      </c>
      <c r="C325" s="55" t="s">
        <v>1309</v>
      </c>
      <c r="D325" s="55" t="s">
        <v>350</v>
      </c>
      <c r="E325" s="59" t="s">
        <v>1310</v>
      </c>
      <c r="F325" s="59" t="s">
        <v>1311</v>
      </c>
      <c r="G325" s="55" t="s">
        <v>54</v>
      </c>
      <c r="H325" s="59" t="s">
        <v>40</v>
      </c>
      <c r="I325" s="30">
        <v>10637</v>
      </c>
      <c r="J325" s="30">
        <v>9573</v>
      </c>
      <c r="K325" s="64"/>
      <c r="L325" s="64"/>
      <c r="M325" s="64"/>
      <c r="N325" s="35">
        <v>9600</v>
      </c>
      <c r="O325" s="35">
        <v>8700</v>
      </c>
      <c r="P325" s="35">
        <v>7400</v>
      </c>
      <c r="Q325" s="55" t="s">
        <v>169</v>
      </c>
      <c r="R325" s="55" t="s">
        <v>40</v>
      </c>
      <c r="S325" s="74" t="s">
        <v>40</v>
      </c>
      <c r="T325" s="64" t="s">
        <v>170</v>
      </c>
      <c r="U325" s="59" t="s">
        <v>404</v>
      </c>
      <c r="V325" s="76"/>
      <c r="W325" s="83">
        <v>322</v>
      </c>
      <c r="X325" s="76"/>
      <c r="Y325" s="77"/>
      <c r="Z325" s="55"/>
      <c r="AA325" s="55"/>
      <c r="AB325" s="55"/>
      <c r="AC325" s="77"/>
      <c r="AD325" s="88"/>
      <c r="AE325" s="88"/>
      <c r="AF325" s="88"/>
    </row>
    <row r="326" s="44" customFormat="1" ht="38" customHeight="1" spans="1:32">
      <c r="A326" s="55" t="s">
        <v>55</v>
      </c>
      <c r="B326" s="55" t="s">
        <v>1312</v>
      </c>
      <c r="C326" s="55" t="s">
        <v>1313</v>
      </c>
      <c r="D326" s="55" t="s">
        <v>350</v>
      </c>
      <c r="E326" s="59" t="s">
        <v>40</v>
      </c>
      <c r="F326" s="59" t="s">
        <v>40</v>
      </c>
      <c r="G326" s="55" t="s">
        <v>54</v>
      </c>
      <c r="H326" s="59" t="s">
        <v>40</v>
      </c>
      <c r="I326" s="30">
        <v>3191</v>
      </c>
      <c r="J326" s="30">
        <v>2872</v>
      </c>
      <c r="K326" s="64"/>
      <c r="L326" s="64"/>
      <c r="M326" s="64"/>
      <c r="N326" s="35">
        <v>2880</v>
      </c>
      <c r="O326" s="35">
        <v>2610</v>
      </c>
      <c r="P326" s="35">
        <v>2220</v>
      </c>
      <c r="Q326" s="55" t="s">
        <v>169</v>
      </c>
      <c r="R326" s="55" t="s">
        <v>40</v>
      </c>
      <c r="S326" s="74" t="s">
        <v>40</v>
      </c>
      <c r="T326" s="64"/>
      <c r="U326" s="59" t="s">
        <v>305</v>
      </c>
      <c r="V326" s="76"/>
      <c r="W326" s="83">
        <v>323</v>
      </c>
      <c r="X326" s="76"/>
      <c r="Y326" s="77"/>
      <c r="Z326" s="55"/>
      <c r="AA326" s="55"/>
      <c r="AB326" s="55"/>
      <c r="AC326" s="77"/>
      <c r="AD326" s="88"/>
      <c r="AE326" s="88"/>
      <c r="AF326" s="88"/>
    </row>
    <row r="327" s="44" customFormat="1" ht="38" customHeight="1" spans="1:32">
      <c r="A327" s="55">
        <v>82</v>
      </c>
      <c r="B327" s="55" t="s">
        <v>1314</v>
      </c>
      <c r="C327" s="55" t="s">
        <v>1315</v>
      </c>
      <c r="D327" s="55" t="s">
        <v>350</v>
      </c>
      <c r="E327" s="59" t="s">
        <v>1316</v>
      </c>
      <c r="F327" s="59" t="s">
        <v>1317</v>
      </c>
      <c r="G327" s="55" t="s">
        <v>54</v>
      </c>
      <c r="H327" s="59" t="s">
        <v>40</v>
      </c>
      <c r="I327" s="30">
        <v>6547</v>
      </c>
      <c r="J327" s="30">
        <v>5892</v>
      </c>
      <c r="K327" s="64"/>
      <c r="L327" s="64"/>
      <c r="M327" s="64"/>
      <c r="N327" s="35">
        <v>5900</v>
      </c>
      <c r="O327" s="35">
        <v>5300</v>
      </c>
      <c r="P327" s="35">
        <v>4500</v>
      </c>
      <c r="Q327" s="55" t="s">
        <v>41</v>
      </c>
      <c r="R327" s="55" t="s">
        <v>40</v>
      </c>
      <c r="S327" s="74">
        <v>0.2</v>
      </c>
      <c r="T327" s="64" t="s">
        <v>170</v>
      </c>
      <c r="U327" s="59" t="s">
        <v>404</v>
      </c>
      <c r="V327" s="76"/>
      <c r="W327" s="83">
        <v>324</v>
      </c>
      <c r="X327" s="76"/>
      <c r="Y327" s="77"/>
      <c r="Z327" s="55"/>
      <c r="AA327" s="55"/>
      <c r="AB327" s="55"/>
      <c r="AC327" s="77"/>
      <c r="AD327" s="88"/>
      <c r="AE327" s="88"/>
      <c r="AF327" s="88"/>
    </row>
    <row r="328" s="44" customFormat="1" ht="38" customHeight="1" spans="1:32">
      <c r="A328" s="55" t="s">
        <v>55</v>
      </c>
      <c r="B328" s="55" t="s">
        <v>1318</v>
      </c>
      <c r="C328" s="55" t="s">
        <v>1319</v>
      </c>
      <c r="D328" s="55" t="s">
        <v>350</v>
      </c>
      <c r="E328" s="59" t="s">
        <v>40</v>
      </c>
      <c r="F328" s="59" t="s">
        <v>40</v>
      </c>
      <c r="G328" s="55" t="s">
        <v>54</v>
      </c>
      <c r="H328" s="59" t="s">
        <v>40</v>
      </c>
      <c r="I328" s="30">
        <v>1964</v>
      </c>
      <c r="J328" s="30">
        <v>1768</v>
      </c>
      <c r="K328" s="64"/>
      <c r="L328" s="64"/>
      <c r="M328" s="64"/>
      <c r="N328" s="35">
        <v>1770</v>
      </c>
      <c r="O328" s="35">
        <v>1590</v>
      </c>
      <c r="P328" s="35">
        <v>1350</v>
      </c>
      <c r="Q328" s="35" t="e">
        <f t="shared" ref="N328:S328" si="5">Q327*0.3</f>
        <v>#VALUE!</v>
      </c>
      <c r="R328" s="35" t="e">
        <f t="shared" si="5"/>
        <v>#VALUE!</v>
      </c>
      <c r="S328" s="35">
        <f t="shared" si="5"/>
        <v>0.06</v>
      </c>
      <c r="T328" s="64"/>
      <c r="U328" s="59" t="s">
        <v>305</v>
      </c>
      <c r="V328" s="76"/>
      <c r="W328" s="83">
        <v>325</v>
      </c>
      <c r="X328" s="76"/>
      <c r="Y328" s="77"/>
      <c r="Z328" s="55"/>
      <c r="AA328" s="55"/>
      <c r="AB328" s="55"/>
      <c r="AC328" s="77"/>
      <c r="AD328" s="88"/>
      <c r="AE328" s="88"/>
      <c r="AF328" s="88"/>
    </row>
    <row r="329" s="44" customFormat="1" ht="38" customHeight="1" spans="1:32">
      <c r="A329" s="55" t="s">
        <v>55</v>
      </c>
      <c r="B329" s="55" t="s">
        <v>1320</v>
      </c>
      <c r="C329" s="55" t="s">
        <v>1321</v>
      </c>
      <c r="D329" s="55" t="s">
        <v>350</v>
      </c>
      <c r="E329" s="59" t="s">
        <v>40</v>
      </c>
      <c r="F329" s="59" t="s">
        <v>40</v>
      </c>
      <c r="G329" s="55" t="s">
        <v>54</v>
      </c>
      <c r="H329" s="59" t="s">
        <v>40</v>
      </c>
      <c r="I329" s="30">
        <v>6547</v>
      </c>
      <c r="J329" s="30">
        <v>5892</v>
      </c>
      <c r="K329" s="64"/>
      <c r="L329" s="64"/>
      <c r="M329" s="64"/>
      <c r="N329" s="35">
        <v>5900</v>
      </c>
      <c r="O329" s="35">
        <v>5300</v>
      </c>
      <c r="P329" s="35">
        <v>4500</v>
      </c>
      <c r="Q329" s="55" t="s">
        <v>41</v>
      </c>
      <c r="R329" s="55" t="s">
        <v>40</v>
      </c>
      <c r="S329" s="74">
        <v>0.2</v>
      </c>
      <c r="T329" s="64"/>
      <c r="U329" s="59"/>
      <c r="V329" s="76"/>
      <c r="W329" s="83">
        <v>326</v>
      </c>
      <c r="X329" s="76"/>
      <c r="Y329" s="77"/>
      <c r="Z329" s="77"/>
      <c r="AA329" s="77"/>
      <c r="AB329" s="77"/>
      <c r="AC329" s="77"/>
      <c r="AD329" s="88"/>
      <c r="AE329" s="88"/>
      <c r="AF329" s="88"/>
    </row>
    <row r="330" s="44" customFormat="1" ht="38" customHeight="1" spans="1:32">
      <c r="A330" s="55">
        <v>83</v>
      </c>
      <c r="B330" s="55" t="s">
        <v>1322</v>
      </c>
      <c r="C330" s="55" t="s">
        <v>1323</v>
      </c>
      <c r="D330" s="55" t="s">
        <v>350</v>
      </c>
      <c r="E330" s="59" t="s">
        <v>1324</v>
      </c>
      <c r="F330" s="59" t="s">
        <v>1325</v>
      </c>
      <c r="G330" s="55" t="s">
        <v>54</v>
      </c>
      <c r="H330" s="59" t="s">
        <v>40</v>
      </c>
      <c r="I330" s="30">
        <v>10320</v>
      </c>
      <c r="J330" s="30">
        <v>9288</v>
      </c>
      <c r="K330" s="64"/>
      <c r="L330" s="64"/>
      <c r="M330" s="64"/>
      <c r="N330" s="35">
        <v>9500</v>
      </c>
      <c r="O330" s="35">
        <v>8600</v>
      </c>
      <c r="P330" s="35">
        <v>7300</v>
      </c>
      <c r="Q330" s="55" t="s">
        <v>41</v>
      </c>
      <c r="R330" s="55" t="s">
        <v>40</v>
      </c>
      <c r="S330" s="74" t="s">
        <v>40</v>
      </c>
      <c r="T330" s="64" t="s">
        <v>355</v>
      </c>
      <c r="U330" s="59" t="s">
        <v>1326</v>
      </c>
      <c r="V330" s="76" t="s">
        <v>1327</v>
      </c>
      <c r="W330" s="83">
        <v>327</v>
      </c>
      <c r="X330" s="76">
        <v>330802018</v>
      </c>
      <c r="Y330" s="77" t="s">
        <v>1328</v>
      </c>
      <c r="Z330" s="77" t="s">
        <v>1329</v>
      </c>
      <c r="AA330" s="77"/>
      <c r="AB330" s="77" t="s">
        <v>54</v>
      </c>
      <c r="AC330" s="77" t="s">
        <v>40</v>
      </c>
      <c r="AD330" s="88">
        <v>10400</v>
      </c>
      <c r="AE330" s="88">
        <v>9360</v>
      </c>
      <c r="AF330" s="88">
        <v>7960</v>
      </c>
    </row>
    <row r="331" s="44" customFormat="1" ht="38" customHeight="1" spans="1:32">
      <c r="A331" s="55"/>
      <c r="B331" s="55"/>
      <c r="C331" s="55"/>
      <c r="D331" s="55"/>
      <c r="E331" s="59"/>
      <c r="F331" s="59"/>
      <c r="G331" s="55"/>
      <c r="H331" s="59"/>
      <c r="I331" s="37"/>
      <c r="J331" s="37"/>
      <c r="K331" s="64"/>
      <c r="L331" s="64"/>
      <c r="M331" s="64"/>
      <c r="N331" s="35"/>
      <c r="O331" s="35"/>
      <c r="P331" s="35"/>
      <c r="Q331" s="55"/>
      <c r="R331" s="55"/>
      <c r="S331" s="74"/>
      <c r="T331" s="64"/>
      <c r="U331" s="59"/>
      <c r="V331" s="76" t="s">
        <v>1330</v>
      </c>
      <c r="W331" s="83">
        <v>328</v>
      </c>
      <c r="X331" s="76">
        <v>330802036</v>
      </c>
      <c r="Y331" s="77" t="s">
        <v>1331</v>
      </c>
      <c r="Z331" s="77" t="s">
        <v>1332</v>
      </c>
      <c r="AA331" s="77"/>
      <c r="AB331" s="77" t="s">
        <v>54</v>
      </c>
      <c r="AC331" s="77" t="s">
        <v>40</v>
      </c>
      <c r="AD331" s="88">
        <v>10400</v>
      </c>
      <c r="AE331" s="88">
        <v>9360</v>
      </c>
      <c r="AF331" s="88">
        <v>7960</v>
      </c>
    </row>
    <row r="332" s="44" customFormat="1" ht="38" customHeight="1" spans="1:32">
      <c r="A332" s="55" t="s">
        <v>55</v>
      </c>
      <c r="B332" s="55" t="s">
        <v>1333</v>
      </c>
      <c r="C332" s="55" t="s">
        <v>1334</v>
      </c>
      <c r="D332" s="55" t="s">
        <v>350</v>
      </c>
      <c r="E332" s="59" t="s">
        <v>40</v>
      </c>
      <c r="F332" s="59" t="s">
        <v>40</v>
      </c>
      <c r="G332" s="55" t="s">
        <v>54</v>
      </c>
      <c r="H332" s="59" t="s">
        <v>40</v>
      </c>
      <c r="I332" s="30">
        <v>3096</v>
      </c>
      <c r="J332" s="30">
        <v>2786</v>
      </c>
      <c r="K332" s="64"/>
      <c r="L332" s="64"/>
      <c r="M332" s="64"/>
      <c r="N332" s="35">
        <v>2850</v>
      </c>
      <c r="O332" s="35">
        <v>2580</v>
      </c>
      <c r="P332" s="35">
        <v>2190</v>
      </c>
      <c r="Q332" s="35"/>
      <c r="R332" s="35"/>
      <c r="S332" s="35"/>
      <c r="T332" s="64"/>
      <c r="U332" s="59" t="s">
        <v>305</v>
      </c>
      <c r="V332" s="76" t="s">
        <v>1335</v>
      </c>
      <c r="W332" s="83">
        <v>329</v>
      </c>
      <c r="X332" s="76">
        <v>33080201801</v>
      </c>
      <c r="Y332" s="77" t="s">
        <v>1336</v>
      </c>
      <c r="Z332" s="77"/>
      <c r="AA332" s="77"/>
      <c r="AB332" s="77" t="s">
        <v>54</v>
      </c>
      <c r="AC332" s="77" t="s">
        <v>40</v>
      </c>
      <c r="AD332" s="88">
        <v>13520</v>
      </c>
      <c r="AE332" s="88">
        <v>12170</v>
      </c>
      <c r="AF332" s="88">
        <v>10345</v>
      </c>
    </row>
    <row r="333" s="44" customFormat="1" ht="38" customHeight="1" spans="1:32">
      <c r="A333" s="55"/>
      <c r="B333" s="55"/>
      <c r="C333" s="55"/>
      <c r="D333" s="55"/>
      <c r="E333" s="59"/>
      <c r="F333" s="59"/>
      <c r="G333" s="55"/>
      <c r="H333" s="59"/>
      <c r="I333" s="37"/>
      <c r="J333" s="37"/>
      <c r="K333" s="64"/>
      <c r="L333" s="64"/>
      <c r="M333" s="64"/>
      <c r="N333" s="35"/>
      <c r="O333" s="35"/>
      <c r="P333" s="35"/>
      <c r="Q333" s="35"/>
      <c r="R333" s="35"/>
      <c r="S333" s="35"/>
      <c r="T333" s="64"/>
      <c r="U333" s="59"/>
      <c r="V333" s="76" t="s">
        <v>1337</v>
      </c>
      <c r="W333" s="83">
        <v>330</v>
      </c>
      <c r="X333" s="76">
        <v>33080203601</v>
      </c>
      <c r="Y333" s="77" t="s">
        <v>1338</v>
      </c>
      <c r="Z333" s="77"/>
      <c r="AA333" s="77"/>
      <c r="AB333" s="77" t="s">
        <v>54</v>
      </c>
      <c r="AC333" s="77" t="s">
        <v>40</v>
      </c>
      <c r="AD333" s="88">
        <v>13520</v>
      </c>
      <c r="AE333" s="88">
        <v>12170</v>
      </c>
      <c r="AF333" s="88">
        <v>10345</v>
      </c>
    </row>
    <row r="334" s="44" customFormat="1" ht="66" customHeight="1" spans="1:32">
      <c r="A334" s="55">
        <v>84</v>
      </c>
      <c r="B334" s="55" t="s">
        <v>1339</v>
      </c>
      <c r="C334" s="55" t="s">
        <v>1340</v>
      </c>
      <c r="D334" s="55" t="s">
        <v>350</v>
      </c>
      <c r="E334" s="59" t="s">
        <v>1341</v>
      </c>
      <c r="F334" s="59" t="s">
        <v>1342</v>
      </c>
      <c r="G334" s="55" t="s">
        <v>54</v>
      </c>
      <c r="H334" s="59"/>
      <c r="I334" s="30">
        <v>10080</v>
      </c>
      <c r="J334" s="30">
        <v>9072</v>
      </c>
      <c r="K334" s="64"/>
      <c r="L334" s="64"/>
      <c r="M334" s="64"/>
      <c r="N334" s="35">
        <v>9200</v>
      </c>
      <c r="O334" s="35">
        <v>8300</v>
      </c>
      <c r="P334" s="35">
        <v>7100</v>
      </c>
      <c r="Q334" s="55" t="s">
        <v>41</v>
      </c>
      <c r="R334" s="55" t="s">
        <v>40</v>
      </c>
      <c r="S334" s="74" t="s">
        <v>40</v>
      </c>
      <c r="T334" s="64" t="s">
        <v>355</v>
      </c>
      <c r="U334" s="59" t="s">
        <v>1343</v>
      </c>
      <c r="V334" s="76" t="s">
        <v>1344</v>
      </c>
      <c r="W334" s="83">
        <v>331</v>
      </c>
      <c r="X334" s="76">
        <v>330802037</v>
      </c>
      <c r="Y334" s="77" t="s">
        <v>1345</v>
      </c>
      <c r="Z334" s="77" t="s">
        <v>1346</v>
      </c>
      <c r="AA334" s="77"/>
      <c r="AB334" s="77" t="s">
        <v>54</v>
      </c>
      <c r="AC334" s="77" t="s">
        <v>40</v>
      </c>
      <c r="AD334" s="88">
        <v>8660</v>
      </c>
      <c r="AE334" s="88">
        <v>7790</v>
      </c>
      <c r="AF334" s="88">
        <v>6620</v>
      </c>
    </row>
    <row r="335" s="44" customFormat="1" ht="38" customHeight="1" spans="1:32">
      <c r="A335" s="55" t="s">
        <v>55</v>
      </c>
      <c r="B335" s="55" t="s">
        <v>1347</v>
      </c>
      <c r="C335" s="55" t="s">
        <v>1348</v>
      </c>
      <c r="D335" s="55" t="s">
        <v>350</v>
      </c>
      <c r="E335" s="59" t="s">
        <v>40</v>
      </c>
      <c r="F335" s="59" t="s">
        <v>40</v>
      </c>
      <c r="G335" s="55" t="s">
        <v>54</v>
      </c>
      <c r="H335" s="59" t="s">
        <v>40</v>
      </c>
      <c r="I335" s="30">
        <v>3024</v>
      </c>
      <c r="J335" s="30">
        <v>2722</v>
      </c>
      <c r="K335" s="64"/>
      <c r="L335" s="64"/>
      <c r="M335" s="64"/>
      <c r="N335" s="35">
        <v>2760</v>
      </c>
      <c r="O335" s="35">
        <v>2490</v>
      </c>
      <c r="P335" s="35">
        <v>2130</v>
      </c>
      <c r="Q335" s="35"/>
      <c r="R335" s="35"/>
      <c r="S335" s="35"/>
      <c r="T335" s="64"/>
      <c r="U335" s="59" t="s">
        <v>305</v>
      </c>
      <c r="V335" s="76" t="s">
        <v>1349</v>
      </c>
      <c r="W335" s="83">
        <v>332</v>
      </c>
      <c r="X335" s="76">
        <v>33080203701</v>
      </c>
      <c r="Y335" s="77" t="s">
        <v>1350</v>
      </c>
      <c r="Z335" s="77"/>
      <c r="AA335" s="77"/>
      <c r="AB335" s="77" t="s">
        <v>54</v>
      </c>
      <c r="AC335" s="77" t="s">
        <v>40</v>
      </c>
      <c r="AD335" s="88">
        <v>11260</v>
      </c>
      <c r="AE335" s="88">
        <v>10125</v>
      </c>
      <c r="AF335" s="88">
        <v>8605</v>
      </c>
    </row>
    <row r="336" s="44" customFormat="1" ht="38" customHeight="1" spans="1:32">
      <c r="A336" s="55">
        <v>85</v>
      </c>
      <c r="B336" s="55" t="s">
        <v>1351</v>
      </c>
      <c r="C336" s="55" t="s">
        <v>1352</v>
      </c>
      <c r="D336" s="55" t="s">
        <v>350</v>
      </c>
      <c r="E336" s="59" t="s">
        <v>1353</v>
      </c>
      <c r="F336" s="59" t="s">
        <v>1354</v>
      </c>
      <c r="G336" s="55" t="s">
        <v>54</v>
      </c>
      <c r="H336" s="59" t="s">
        <v>40</v>
      </c>
      <c r="I336" s="30">
        <v>6720</v>
      </c>
      <c r="J336" s="30">
        <v>6048</v>
      </c>
      <c r="K336" s="64"/>
      <c r="L336" s="64"/>
      <c r="M336" s="64"/>
      <c r="N336" s="35">
        <v>6100</v>
      </c>
      <c r="O336" s="35">
        <v>5500</v>
      </c>
      <c r="P336" s="35">
        <v>4700</v>
      </c>
      <c r="Q336" s="35"/>
      <c r="R336" s="35"/>
      <c r="S336" s="35"/>
      <c r="T336" s="64" t="s">
        <v>355</v>
      </c>
      <c r="U336" s="59" t="s">
        <v>1343</v>
      </c>
      <c r="V336" s="76" t="s">
        <v>1355</v>
      </c>
      <c r="W336" s="83">
        <v>333</v>
      </c>
      <c r="X336" s="76">
        <v>330801027</v>
      </c>
      <c r="Y336" s="77" t="s">
        <v>1356</v>
      </c>
      <c r="Z336" s="77" t="s">
        <v>1357</v>
      </c>
      <c r="AA336" s="77"/>
      <c r="AB336" s="77" t="s">
        <v>54</v>
      </c>
      <c r="AC336" s="77"/>
      <c r="AD336" s="88">
        <v>5780</v>
      </c>
      <c r="AE336" s="88">
        <v>5200</v>
      </c>
      <c r="AF336" s="88">
        <v>4420</v>
      </c>
    </row>
    <row r="337" s="44" customFormat="1" ht="38" customHeight="1" spans="1:32">
      <c r="A337" s="55" t="s">
        <v>55</v>
      </c>
      <c r="B337" s="55" t="s">
        <v>1358</v>
      </c>
      <c r="C337" s="55" t="s">
        <v>1359</v>
      </c>
      <c r="D337" s="55" t="s">
        <v>350</v>
      </c>
      <c r="E337" s="59" t="s">
        <v>40</v>
      </c>
      <c r="F337" s="59" t="s">
        <v>40</v>
      </c>
      <c r="G337" s="55" t="s">
        <v>54</v>
      </c>
      <c r="H337" s="59" t="s">
        <v>40</v>
      </c>
      <c r="I337" s="30">
        <v>2016</v>
      </c>
      <c r="J337" s="30">
        <v>1814</v>
      </c>
      <c r="K337" s="64"/>
      <c r="L337" s="64"/>
      <c r="M337" s="64"/>
      <c r="N337" s="35">
        <v>1830</v>
      </c>
      <c r="O337" s="35">
        <v>1650</v>
      </c>
      <c r="P337" s="35">
        <v>1410</v>
      </c>
      <c r="Q337" s="55" t="s">
        <v>41</v>
      </c>
      <c r="R337" s="55" t="s">
        <v>40</v>
      </c>
      <c r="S337" s="74" t="s">
        <v>40</v>
      </c>
      <c r="T337" s="64"/>
      <c r="U337" s="59" t="s">
        <v>305</v>
      </c>
      <c r="V337" s="76" t="s">
        <v>1360</v>
      </c>
      <c r="W337" s="83">
        <v>334</v>
      </c>
      <c r="X337" s="76">
        <v>33080102701</v>
      </c>
      <c r="Y337" s="77" t="s">
        <v>1361</v>
      </c>
      <c r="Z337" s="77"/>
      <c r="AA337" s="77"/>
      <c r="AB337" s="77" t="s">
        <v>54</v>
      </c>
      <c r="AC337" s="77" t="s">
        <v>40</v>
      </c>
      <c r="AD337" s="88">
        <v>7515</v>
      </c>
      <c r="AE337" s="88">
        <v>6760</v>
      </c>
      <c r="AF337" s="88">
        <v>5745</v>
      </c>
    </row>
    <row r="338" s="44" customFormat="1" ht="38" customHeight="1" spans="1:32">
      <c r="A338" s="55">
        <v>86</v>
      </c>
      <c r="B338" s="55" t="s">
        <v>1362</v>
      </c>
      <c r="C338" s="55" t="s">
        <v>1363</v>
      </c>
      <c r="D338" s="55" t="s">
        <v>350</v>
      </c>
      <c r="E338" s="59" t="s">
        <v>1364</v>
      </c>
      <c r="F338" s="59" t="s">
        <v>1365</v>
      </c>
      <c r="G338" s="55" t="s">
        <v>54</v>
      </c>
      <c r="H338" s="59" t="s">
        <v>40</v>
      </c>
      <c r="I338" s="30">
        <v>6190</v>
      </c>
      <c r="J338" s="30">
        <v>5571</v>
      </c>
      <c r="K338" s="64"/>
      <c r="L338" s="64"/>
      <c r="M338" s="64"/>
      <c r="N338" s="35">
        <v>5600</v>
      </c>
      <c r="O338" s="35">
        <v>5050</v>
      </c>
      <c r="P338" s="35">
        <v>4300</v>
      </c>
      <c r="Q338" s="55" t="s">
        <v>41</v>
      </c>
      <c r="R338" s="55" t="s">
        <v>40</v>
      </c>
      <c r="S338" s="74" t="s">
        <v>40</v>
      </c>
      <c r="T338" s="64" t="s">
        <v>355</v>
      </c>
      <c r="U338" s="59" t="s">
        <v>1011</v>
      </c>
      <c r="V338" s="76" t="s">
        <v>1366</v>
      </c>
      <c r="W338" s="83">
        <v>335</v>
      </c>
      <c r="X338" s="76">
        <v>330801007</v>
      </c>
      <c r="Y338" s="77" t="s">
        <v>1367</v>
      </c>
      <c r="Z338" s="77" t="s">
        <v>1368</v>
      </c>
      <c r="AA338" s="77" t="s">
        <v>1218</v>
      </c>
      <c r="AB338" s="77" t="s">
        <v>54</v>
      </c>
      <c r="AC338" s="77" t="s">
        <v>40</v>
      </c>
      <c r="AD338" s="88">
        <v>5060</v>
      </c>
      <c r="AE338" s="88">
        <v>4550</v>
      </c>
      <c r="AF338" s="88">
        <v>3870</v>
      </c>
    </row>
    <row r="339" s="44" customFormat="1" ht="38" customHeight="1" spans="1:32">
      <c r="A339" s="55"/>
      <c r="B339" s="55"/>
      <c r="C339" s="55"/>
      <c r="D339" s="55"/>
      <c r="E339" s="59"/>
      <c r="F339" s="59"/>
      <c r="G339" s="55"/>
      <c r="H339" s="59"/>
      <c r="I339" s="37"/>
      <c r="J339" s="37"/>
      <c r="K339" s="64"/>
      <c r="L339" s="64"/>
      <c r="M339" s="64"/>
      <c r="N339" s="35"/>
      <c r="O339" s="35"/>
      <c r="P339" s="35"/>
      <c r="Q339" s="55"/>
      <c r="R339" s="55"/>
      <c r="S339" s="74"/>
      <c r="T339" s="64"/>
      <c r="U339" s="59"/>
      <c r="V339" s="76" t="s">
        <v>1369</v>
      </c>
      <c r="W339" s="83">
        <v>336</v>
      </c>
      <c r="X339" s="76">
        <v>330801008</v>
      </c>
      <c r="Y339" s="77" t="s">
        <v>1370</v>
      </c>
      <c r="Z339" s="77"/>
      <c r="AA339" s="77"/>
      <c r="AB339" s="77" t="s">
        <v>54</v>
      </c>
      <c r="AC339" s="77" t="s">
        <v>40</v>
      </c>
      <c r="AD339" s="88">
        <v>5400</v>
      </c>
      <c r="AE339" s="88">
        <v>4860</v>
      </c>
      <c r="AF339" s="88">
        <v>4130</v>
      </c>
    </row>
    <row r="340" s="44" customFormat="1" ht="38" customHeight="1" spans="1:32">
      <c r="A340" s="55"/>
      <c r="B340" s="55"/>
      <c r="C340" s="55"/>
      <c r="D340" s="55"/>
      <c r="E340" s="59"/>
      <c r="F340" s="59"/>
      <c r="G340" s="55"/>
      <c r="H340" s="59"/>
      <c r="I340" s="37"/>
      <c r="J340" s="37"/>
      <c r="K340" s="64"/>
      <c r="L340" s="64"/>
      <c r="M340" s="64"/>
      <c r="N340" s="35"/>
      <c r="O340" s="35"/>
      <c r="P340" s="35"/>
      <c r="Q340" s="55"/>
      <c r="R340" s="55"/>
      <c r="S340" s="74"/>
      <c r="T340" s="64"/>
      <c r="U340" s="59"/>
      <c r="V340" s="76" t="s">
        <v>1371</v>
      </c>
      <c r="W340" s="83">
        <v>337</v>
      </c>
      <c r="X340" s="76">
        <v>33080100802</v>
      </c>
      <c r="Y340" s="77" t="s">
        <v>1372</v>
      </c>
      <c r="Z340" s="77"/>
      <c r="AA340" s="77"/>
      <c r="AB340" s="77" t="s">
        <v>54</v>
      </c>
      <c r="AC340" s="77" t="s">
        <v>40</v>
      </c>
      <c r="AD340" s="88">
        <v>6025</v>
      </c>
      <c r="AE340" s="88">
        <v>5460</v>
      </c>
      <c r="AF340" s="88">
        <v>4640</v>
      </c>
    </row>
    <row r="341" s="44" customFormat="1" ht="38" customHeight="1" spans="1:32">
      <c r="A341" s="55" t="s">
        <v>55</v>
      </c>
      <c r="B341" s="55" t="s">
        <v>1373</v>
      </c>
      <c r="C341" s="55" t="s">
        <v>1374</v>
      </c>
      <c r="D341" s="55" t="s">
        <v>350</v>
      </c>
      <c r="E341" s="59" t="s">
        <v>40</v>
      </c>
      <c r="F341" s="59" t="s">
        <v>40</v>
      </c>
      <c r="G341" s="55" t="s">
        <v>54</v>
      </c>
      <c r="H341" s="59" t="s">
        <v>40</v>
      </c>
      <c r="I341" s="30">
        <v>1857</v>
      </c>
      <c r="J341" s="30">
        <v>1671</v>
      </c>
      <c r="K341" s="64"/>
      <c r="L341" s="64"/>
      <c r="M341" s="64"/>
      <c r="N341" s="35">
        <v>1680</v>
      </c>
      <c r="O341" s="35">
        <v>1515</v>
      </c>
      <c r="P341" s="35">
        <v>1290</v>
      </c>
      <c r="Q341" s="55" t="s">
        <v>41</v>
      </c>
      <c r="R341" s="55" t="s">
        <v>40</v>
      </c>
      <c r="S341" s="74" t="s">
        <v>40</v>
      </c>
      <c r="T341" s="64"/>
      <c r="U341" s="59" t="s">
        <v>305</v>
      </c>
      <c r="V341" s="76" t="s">
        <v>1375</v>
      </c>
      <c r="W341" s="83">
        <v>338</v>
      </c>
      <c r="X341" s="76">
        <v>33080100701</v>
      </c>
      <c r="Y341" s="77" t="s">
        <v>1376</v>
      </c>
      <c r="Z341" s="77"/>
      <c r="AA341" s="77"/>
      <c r="AB341" s="77" t="s">
        <v>54</v>
      </c>
      <c r="AC341" s="77" t="s">
        <v>40</v>
      </c>
      <c r="AD341" s="88">
        <v>6580</v>
      </c>
      <c r="AE341" s="88">
        <v>5915</v>
      </c>
      <c r="AF341" s="88">
        <v>5030</v>
      </c>
    </row>
    <row r="342" s="44" customFormat="1" ht="38" customHeight="1" spans="1:32">
      <c r="A342" s="55"/>
      <c r="B342" s="55"/>
      <c r="C342" s="55"/>
      <c r="D342" s="55"/>
      <c r="E342" s="59"/>
      <c r="F342" s="59"/>
      <c r="G342" s="55"/>
      <c r="H342" s="59"/>
      <c r="I342" s="37"/>
      <c r="J342" s="37"/>
      <c r="K342" s="64"/>
      <c r="L342" s="64"/>
      <c r="M342" s="64"/>
      <c r="N342" s="35"/>
      <c r="O342" s="35"/>
      <c r="P342" s="35"/>
      <c r="Q342" s="55"/>
      <c r="R342" s="55"/>
      <c r="S342" s="74"/>
      <c r="T342" s="64"/>
      <c r="U342" s="59"/>
      <c r="V342" s="76" t="s">
        <v>1377</v>
      </c>
      <c r="W342" s="83">
        <v>339</v>
      </c>
      <c r="X342" s="76">
        <v>33080100801</v>
      </c>
      <c r="Y342" s="77" t="s">
        <v>1378</v>
      </c>
      <c r="Z342" s="77"/>
      <c r="AA342" s="77"/>
      <c r="AB342" s="77" t="s">
        <v>54</v>
      </c>
      <c r="AC342" s="77" t="s">
        <v>40</v>
      </c>
      <c r="AD342" s="88">
        <v>7020</v>
      </c>
      <c r="AE342" s="88">
        <v>6320</v>
      </c>
      <c r="AF342" s="88">
        <v>5370</v>
      </c>
    </row>
    <row r="343" s="44" customFormat="1" ht="38" customHeight="1" spans="1:32">
      <c r="A343" s="55"/>
      <c r="B343" s="55"/>
      <c r="C343" s="55"/>
      <c r="D343" s="55"/>
      <c r="E343" s="59"/>
      <c r="F343" s="59"/>
      <c r="G343" s="55"/>
      <c r="H343" s="59"/>
      <c r="I343" s="37"/>
      <c r="J343" s="37"/>
      <c r="K343" s="64"/>
      <c r="L343" s="64"/>
      <c r="M343" s="64"/>
      <c r="N343" s="35"/>
      <c r="O343" s="35"/>
      <c r="P343" s="35"/>
      <c r="Q343" s="55"/>
      <c r="R343" s="55"/>
      <c r="S343" s="74"/>
      <c r="T343" s="64"/>
      <c r="U343" s="59"/>
      <c r="V343" s="76" t="s">
        <v>1379</v>
      </c>
      <c r="W343" s="83">
        <v>340</v>
      </c>
      <c r="X343" s="76">
        <v>33080100803</v>
      </c>
      <c r="Y343" s="77" t="s">
        <v>1380</v>
      </c>
      <c r="Z343" s="77"/>
      <c r="AA343" s="77"/>
      <c r="AB343" s="77" t="s">
        <v>54</v>
      </c>
      <c r="AC343" s="77" t="s">
        <v>40</v>
      </c>
      <c r="AD343" s="88">
        <v>7645</v>
      </c>
      <c r="AE343" s="88">
        <v>6920</v>
      </c>
      <c r="AF343" s="88">
        <v>5880</v>
      </c>
    </row>
    <row r="344" s="44" customFormat="1" ht="38" customHeight="1" spans="1:32">
      <c r="A344" s="55">
        <v>87</v>
      </c>
      <c r="B344" s="55" t="s">
        <v>1381</v>
      </c>
      <c r="C344" s="55" t="s">
        <v>1382</v>
      </c>
      <c r="D344" s="55" t="s">
        <v>350</v>
      </c>
      <c r="E344" s="59" t="s">
        <v>1383</v>
      </c>
      <c r="F344" s="59" t="s">
        <v>1365</v>
      </c>
      <c r="G344" s="55" t="s">
        <v>54</v>
      </c>
      <c r="H344" s="59" t="s">
        <v>40</v>
      </c>
      <c r="I344" s="30">
        <v>5760</v>
      </c>
      <c r="J344" s="30">
        <v>5184</v>
      </c>
      <c r="K344" s="64">
        <v>5500</v>
      </c>
      <c r="L344" s="64"/>
      <c r="M344" s="64"/>
      <c r="N344" s="35">
        <v>5500</v>
      </c>
      <c r="O344" s="35">
        <v>4950</v>
      </c>
      <c r="P344" s="68">
        <v>4200</v>
      </c>
      <c r="Q344" s="55" t="s">
        <v>41</v>
      </c>
      <c r="R344" s="55" t="s">
        <v>40</v>
      </c>
      <c r="S344" s="74" t="s">
        <v>40</v>
      </c>
      <c r="T344" s="64" t="s">
        <v>183</v>
      </c>
      <c r="U344" s="59" t="s">
        <v>973</v>
      </c>
      <c r="V344" s="76" t="s">
        <v>1384</v>
      </c>
      <c r="W344" s="83">
        <v>341</v>
      </c>
      <c r="X344" s="76">
        <v>330801001</v>
      </c>
      <c r="Y344" s="77" t="s">
        <v>1385</v>
      </c>
      <c r="Z344" s="77" t="s">
        <v>1386</v>
      </c>
      <c r="AA344" s="77"/>
      <c r="AB344" s="77" t="s">
        <v>54</v>
      </c>
      <c r="AC344" s="77" t="s">
        <v>40</v>
      </c>
      <c r="AD344" s="88">
        <v>2250</v>
      </c>
      <c r="AE344" s="88">
        <v>2160</v>
      </c>
      <c r="AF344" s="88">
        <v>1836</v>
      </c>
    </row>
    <row r="345" s="44" customFormat="1" ht="38" customHeight="1" spans="1:32">
      <c r="A345" s="55"/>
      <c r="B345" s="55"/>
      <c r="C345" s="55"/>
      <c r="D345" s="55"/>
      <c r="E345" s="59"/>
      <c r="F345" s="59"/>
      <c r="G345" s="55"/>
      <c r="H345" s="59"/>
      <c r="I345" s="37"/>
      <c r="J345" s="37"/>
      <c r="K345" s="64"/>
      <c r="L345" s="64"/>
      <c r="M345" s="64"/>
      <c r="N345" s="35"/>
      <c r="O345" s="35"/>
      <c r="P345" s="35"/>
      <c r="Q345" s="55"/>
      <c r="R345" s="55"/>
      <c r="S345" s="74"/>
      <c r="T345" s="64"/>
      <c r="U345" s="59"/>
      <c r="V345" s="76" t="s">
        <v>1387</v>
      </c>
      <c r="W345" s="83">
        <v>342</v>
      </c>
      <c r="X345" s="76">
        <v>330801002</v>
      </c>
      <c r="Y345" s="77" t="s">
        <v>1388</v>
      </c>
      <c r="Z345" s="77" t="s">
        <v>1389</v>
      </c>
      <c r="AA345" s="77"/>
      <c r="AB345" s="77" t="s">
        <v>54</v>
      </c>
      <c r="AC345" s="77" t="s">
        <v>1390</v>
      </c>
      <c r="AD345" s="88">
        <v>5500</v>
      </c>
      <c r="AE345" s="88">
        <v>4950</v>
      </c>
      <c r="AF345" s="88">
        <v>3960</v>
      </c>
    </row>
    <row r="346" s="44" customFormat="1" ht="38" customHeight="1" spans="1:32">
      <c r="A346" s="55"/>
      <c r="B346" s="55"/>
      <c r="C346" s="55"/>
      <c r="D346" s="55"/>
      <c r="E346" s="59"/>
      <c r="F346" s="59"/>
      <c r="G346" s="55"/>
      <c r="H346" s="59"/>
      <c r="I346" s="37"/>
      <c r="J346" s="37"/>
      <c r="K346" s="64"/>
      <c r="L346" s="64"/>
      <c r="M346" s="64"/>
      <c r="N346" s="35"/>
      <c r="O346" s="35"/>
      <c r="P346" s="35"/>
      <c r="Q346" s="55"/>
      <c r="R346" s="55"/>
      <c r="S346" s="74"/>
      <c r="T346" s="64"/>
      <c r="U346" s="59"/>
      <c r="V346" s="76" t="s">
        <v>1391</v>
      </c>
      <c r="W346" s="83">
        <v>343</v>
      </c>
      <c r="X346" s="76">
        <v>330803014</v>
      </c>
      <c r="Y346" s="77" t="s">
        <v>1392</v>
      </c>
      <c r="Z346" s="108" t="s">
        <v>1393</v>
      </c>
      <c r="AA346" s="77"/>
      <c r="AB346" s="77" t="s">
        <v>54</v>
      </c>
      <c r="AC346" s="77" t="s">
        <v>1394</v>
      </c>
      <c r="AD346" s="88">
        <v>9120</v>
      </c>
      <c r="AE346" s="88">
        <v>8665</v>
      </c>
      <c r="AF346" s="88">
        <v>7365</v>
      </c>
    </row>
    <row r="347" s="44" customFormat="1" ht="38" customHeight="1" spans="1:32">
      <c r="A347" s="55" t="s">
        <v>55</v>
      </c>
      <c r="B347" s="55" t="s">
        <v>1395</v>
      </c>
      <c r="C347" s="55" t="s">
        <v>1396</v>
      </c>
      <c r="D347" s="55" t="s">
        <v>350</v>
      </c>
      <c r="E347" s="59" t="s">
        <v>40</v>
      </c>
      <c r="F347" s="59" t="s">
        <v>40</v>
      </c>
      <c r="G347" s="55" t="s">
        <v>54</v>
      </c>
      <c r="H347" s="59" t="s">
        <v>40</v>
      </c>
      <c r="I347" s="30">
        <v>1728</v>
      </c>
      <c r="J347" s="30">
        <v>1555</v>
      </c>
      <c r="K347" s="64"/>
      <c r="L347" s="64"/>
      <c r="M347" s="64"/>
      <c r="N347" s="35">
        <v>1650</v>
      </c>
      <c r="O347" s="35">
        <v>1485</v>
      </c>
      <c r="P347" s="35">
        <v>1260</v>
      </c>
      <c r="Q347" s="55" t="s">
        <v>41</v>
      </c>
      <c r="R347" s="55" t="s">
        <v>40</v>
      </c>
      <c r="S347" s="74" t="s">
        <v>40</v>
      </c>
      <c r="T347" s="64"/>
      <c r="U347" s="59" t="s">
        <v>305</v>
      </c>
      <c r="V347" s="76" t="s">
        <v>1397</v>
      </c>
      <c r="W347" s="83">
        <v>344</v>
      </c>
      <c r="X347" s="76">
        <v>33080100101</v>
      </c>
      <c r="Y347" s="77" t="s">
        <v>1398</v>
      </c>
      <c r="Z347" s="77"/>
      <c r="AA347" s="77"/>
      <c r="AB347" s="77" t="s">
        <v>54</v>
      </c>
      <c r="AC347" s="77" t="s">
        <v>40</v>
      </c>
      <c r="AD347" s="88">
        <v>2925</v>
      </c>
      <c r="AE347" s="88">
        <v>2810</v>
      </c>
      <c r="AF347" s="88">
        <v>2390</v>
      </c>
    </row>
    <row r="348" s="44" customFormat="1" ht="38" customHeight="1" spans="1:32">
      <c r="A348" s="55"/>
      <c r="B348" s="55"/>
      <c r="C348" s="55"/>
      <c r="D348" s="55"/>
      <c r="E348" s="59"/>
      <c r="F348" s="59"/>
      <c r="G348" s="55"/>
      <c r="H348" s="59"/>
      <c r="I348" s="37"/>
      <c r="J348" s="37"/>
      <c r="K348" s="64"/>
      <c r="L348" s="64"/>
      <c r="M348" s="64"/>
      <c r="N348" s="35"/>
      <c r="O348" s="35"/>
      <c r="P348" s="35"/>
      <c r="Q348" s="55"/>
      <c r="R348" s="55"/>
      <c r="S348" s="74"/>
      <c r="T348" s="64"/>
      <c r="U348" s="59"/>
      <c r="V348" s="76" t="s">
        <v>1399</v>
      </c>
      <c r="W348" s="83">
        <v>345</v>
      </c>
      <c r="X348" s="76">
        <v>33080100201</v>
      </c>
      <c r="Y348" s="77" t="s">
        <v>1400</v>
      </c>
      <c r="Z348" s="77"/>
      <c r="AA348" s="77"/>
      <c r="AB348" s="77" t="s">
        <v>54</v>
      </c>
      <c r="AC348" s="77" t="s">
        <v>40</v>
      </c>
      <c r="AD348" s="88">
        <v>7150</v>
      </c>
      <c r="AE348" s="88">
        <v>6435</v>
      </c>
      <c r="AF348" s="88">
        <v>5150</v>
      </c>
    </row>
    <row r="349" s="44" customFormat="1" ht="38" customHeight="1" spans="1:32">
      <c r="A349" s="55"/>
      <c r="B349" s="55"/>
      <c r="C349" s="55"/>
      <c r="D349" s="55"/>
      <c r="E349" s="59"/>
      <c r="F349" s="59"/>
      <c r="G349" s="55"/>
      <c r="H349" s="59"/>
      <c r="I349" s="37"/>
      <c r="J349" s="37"/>
      <c r="K349" s="64"/>
      <c r="L349" s="64"/>
      <c r="M349" s="64"/>
      <c r="N349" s="35"/>
      <c r="O349" s="35"/>
      <c r="P349" s="35"/>
      <c r="Q349" s="55"/>
      <c r="R349" s="55"/>
      <c r="S349" s="74"/>
      <c r="T349" s="64"/>
      <c r="U349" s="59"/>
      <c r="V349" s="76" t="s">
        <v>1401</v>
      </c>
      <c r="W349" s="83">
        <v>346</v>
      </c>
      <c r="X349" s="76">
        <v>33080301401</v>
      </c>
      <c r="Y349" s="77" t="s">
        <v>1402</v>
      </c>
      <c r="Z349" s="77"/>
      <c r="AA349" s="77"/>
      <c r="AB349" s="77" t="s">
        <v>54</v>
      </c>
      <c r="AC349" s="77" t="s">
        <v>40</v>
      </c>
      <c r="AD349" s="88">
        <v>11855</v>
      </c>
      <c r="AE349" s="88">
        <v>11265</v>
      </c>
      <c r="AF349" s="88">
        <v>9575</v>
      </c>
    </row>
    <row r="350" s="44" customFormat="1" ht="71" customHeight="1" spans="1:32">
      <c r="A350" s="55" t="s">
        <v>55</v>
      </c>
      <c r="B350" s="55" t="s">
        <v>1403</v>
      </c>
      <c r="C350" s="55" t="s">
        <v>1404</v>
      </c>
      <c r="D350" s="55" t="s">
        <v>350</v>
      </c>
      <c r="E350" s="59" t="s">
        <v>40</v>
      </c>
      <c r="F350" s="59" t="s">
        <v>40</v>
      </c>
      <c r="G350" s="55" t="s">
        <v>54</v>
      </c>
      <c r="H350" s="59" t="s">
        <v>40</v>
      </c>
      <c r="I350" s="30">
        <v>800</v>
      </c>
      <c r="J350" s="30">
        <v>720</v>
      </c>
      <c r="K350" s="64">
        <v>625</v>
      </c>
      <c r="L350" s="64">
        <v>600</v>
      </c>
      <c r="M350" s="64">
        <v>510</v>
      </c>
      <c r="N350" s="70">
        <v>720</v>
      </c>
      <c r="O350" s="70">
        <v>650</v>
      </c>
      <c r="P350" s="70">
        <v>550</v>
      </c>
      <c r="Q350" s="35" t="s">
        <v>41</v>
      </c>
      <c r="R350" s="35" t="s">
        <v>40</v>
      </c>
      <c r="S350" s="35" t="s">
        <v>40</v>
      </c>
      <c r="T350" s="64"/>
      <c r="U350" s="59" t="s">
        <v>1210</v>
      </c>
      <c r="V350" s="76"/>
      <c r="W350" s="83">
        <v>347</v>
      </c>
      <c r="X350" s="76"/>
      <c r="Y350" s="77"/>
      <c r="Z350" s="77"/>
      <c r="AA350" s="77"/>
      <c r="AB350" s="77"/>
      <c r="AC350" s="77"/>
      <c r="AD350" s="88"/>
      <c r="AE350" s="88"/>
      <c r="AF350" s="88"/>
    </row>
    <row r="351" s="44" customFormat="1" ht="38" customHeight="1" spans="1:32">
      <c r="A351" s="55">
        <v>88</v>
      </c>
      <c r="B351" s="55" t="s">
        <v>1405</v>
      </c>
      <c r="C351" s="55" t="s">
        <v>1406</v>
      </c>
      <c r="D351" s="55" t="s">
        <v>350</v>
      </c>
      <c r="E351" s="59" t="s">
        <v>1407</v>
      </c>
      <c r="F351" s="59" t="s">
        <v>1365</v>
      </c>
      <c r="G351" s="55" t="s">
        <v>54</v>
      </c>
      <c r="H351" s="59" t="s">
        <v>40</v>
      </c>
      <c r="I351" s="30">
        <v>5010</v>
      </c>
      <c r="J351" s="30">
        <v>4509</v>
      </c>
      <c r="K351" s="64">
        <v>4750</v>
      </c>
      <c r="L351" s="64">
        <v>4275</v>
      </c>
      <c r="M351" s="64">
        <v>3420</v>
      </c>
      <c r="N351" s="35">
        <v>4750</v>
      </c>
      <c r="O351" s="35">
        <v>4275</v>
      </c>
      <c r="P351" s="68">
        <v>3650</v>
      </c>
      <c r="Q351" s="55" t="s">
        <v>41</v>
      </c>
      <c r="R351" s="55" t="s">
        <v>40</v>
      </c>
      <c r="S351" s="74" t="s">
        <v>40</v>
      </c>
      <c r="T351" s="64" t="s">
        <v>183</v>
      </c>
      <c r="U351" s="59" t="s">
        <v>973</v>
      </c>
      <c r="V351" s="76" t="s">
        <v>1408</v>
      </c>
      <c r="W351" s="83">
        <v>348</v>
      </c>
      <c r="X351" s="76">
        <v>330801004</v>
      </c>
      <c r="Y351" s="77" t="s">
        <v>1409</v>
      </c>
      <c r="Z351" s="77" t="s">
        <v>1410</v>
      </c>
      <c r="AA351" s="77"/>
      <c r="AB351" s="77" t="s">
        <v>54</v>
      </c>
      <c r="AC351" s="77" t="s">
        <v>40</v>
      </c>
      <c r="AD351" s="88">
        <v>4750</v>
      </c>
      <c r="AE351" s="88">
        <v>4275</v>
      </c>
      <c r="AF351" s="88">
        <v>3420</v>
      </c>
    </row>
    <row r="352" s="44" customFormat="1" ht="38" customHeight="1" spans="1:32">
      <c r="A352" s="55" t="s">
        <v>55</v>
      </c>
      <c r="B352" s="55" t="s">
        <v>1411</v>
      </c>
      <c r="C352" s="55" t="s">
        <v>1412</v>
      </c>
      <c r="D352" s="55" t="s">
        <v>350</v>
      </c>
      <c r="E352" s="59" t="s">
        <v>40</v>
      </c>
      <c r="F352" s="59" t="s">
        <v>40</v>
      </c>
      <c r="G352" s="55" t="s">
        <v>54</v>
      </c>
      <c r="H352" s="59" t="s">
        <v>40</v>
      </c>
      <c r="I352" s="30">
        <v>1503</v>
      </c>
      <c r="J352" s="30">
        <v>1353</v>
      </c>
      <c r="K352" s="64"/>
      <c r="L352" s="64"/>
      <c r="M352" s="64"/>
      <c r="N352" s="35">
        <v>1425</v>
      </c>
      <c r="O352" s="35">
        <v>1285</v>
      </c>
      <c r="P352" s="35">
        <v>1095</v>
      </c>
      <c r="Q352" s="55" t="s">
        <v>41</v>
      </c>
      <c r="R352" s="55" t="s">
        <v>40</v>
      </c>
      <c r="S352" s="74" t="s">
        <v>40</v>
      </c>
      <c r="T352" s="64"/>
      <c r="U352" s="59" t="s">
        <v>305</v>
      </c>
      <c r="V352" s="76" t="s">
        <v>1413</v>
      </c>
      <c r="W352" s="83">
        <v>349</v>
      </c>
      <c r="X352" s="76">
        <v>33080100401</v>
      </c>
      <c r="Y352" s="77" t="s">
        <v>1414</v>
      </c>
      <c r="Z352" s="77"/>
      <c r="AA352" s="77"/>
      <c r="AB352" s="77" t="s">
        <v>54</v>
      </c>
      <c r="AC352" s="77" t="s">
        <v>40</v>
      </c>
      <c r="AD352" s="88">
        <v>6175</v>
      </c>
      <c r="AE352" s="88">
        <v>5555</v>
      </c>
      <c r="AF352" s="88">
        <v>4445</v>
      </c>
    </row>
    <row r="353" s="44" customFormat="1" ht="38" customHeight="1" spans="1:32">
      <c r="A353" s="55" t="s">
        <v>55</v>
      </c>
      <c r="B353" s="55" t="s">
        <v>1415</v>
      </c>
      <c r="C353" s="55" t="s">
        <v>1416</v>
      </c>
      <c r="D353" s="55" t="s">
        <v>350</v>
      </c>
      <c r="E353" s="59" t="s">
        <v>40</v>
      </c>
      <c r="F353" s="59" t="s">
        <v>40</v>
      </c>
      <c r="G353" s="55" t="s">
        <v>54</v>
      </c>
      <c r="H353" s="59" t="s">
        <v>40</v>
      </c>
      <c r="I353" s="30">
        <v>800</v>
      </c>
      <c r="J353" s="30">
        <v>720</v>
      </c>
      <c r="K353" s="64">
        <v>625</v>
      </c>
      <c r="L353" s="64">
        <v>600</v>
      </c>
      <c r="M353" s="64">
        <v>510</v>
      </c>
      <c r="N353" s="70">
        <v>720</v>
      </c>
      <c r="O353" s="70">
        <v>650</v>
      </c>
      <c r="P353" s="70">
        <v>550</v>
      </c>
      <c r="Q353" s="55" t="s">
        <v>41</v>
      </c>
      <c r="R353" s="55" t="s">
        <v>40</v>
      </c>
      <c r="S353" s="74" t="s">
        <v>40</v>
      </c>
      <c r="T353" s="64"/>
      <c r="U353" s="59" t="s">
        <v>1210</v>
      </c>
      <c r="V353" s="76" t="s">
        <v>1417</v>
      </c>
      <c r="W353" s="83">
        <v>350</v>
      </c>
      <c r="X353" s="76">
        <v>33080100402</v>
      </c>
      <c r="Y353" s="77" t="s">
        <v>1418</v>
      </c>
      <c r="Z353" s="77"/>
      <c r="AA353" s="77"/>
      <c r="AB353" s="77" t="s">
        <v>54</v>
      </c>
      <c r="AC353" s="77" t="s">
        <v>40</v>
      </c>
      <c r="AD353" s="88">
        <v>5375</v>
      </c>
      <c r="AE353" s="88">
        <v>4875</v>
      </c>
      <c r="AF353" s="88">
        <v>3930</v>
      </c>
    </row>
    <row r="354" s="44" customFormat="1" ht="38" customHeight="1" spans="1:32">
      <c r="A354" s="55"/>
      <c r="B354" s="55"/>
      <c r="C354" s="55"/>
      <c r="D354" s="55"/>
      <c r="E354" s="59"/>
      <c r="F354" s="59"/>
      <c r="G354" s="55"/>
      <c r="H354" s="59"/>
      <c r="I354" s="37"/>
      <c r="J354" s="37"/>
      <c r="K354" s="64"/>
      <c r="L354" s="64"/>
      <c r="M354" s="64"/>
      <c r="N354" s="70"/>
      <c r="O354" s="70"/>
      <c r="P354" s="70"/>
      <c r="Q354" s="55"/>
      <c r="R354" s="55"/>
      <c r="S354" s="74"/>
      <c r="T354" s="64"/>
      <c r="U354" s="59"/>
      <c r="V354" s="76" t="s">
        <v>1419</v>
      </c>
      <c r="W354" s="83">
        <v>351</v>
      </c>
      <c r="X354" s="76">
        <v>33080100403</v>
      </c>
      <c r="Y354" s="77" t="s">
        <v>1420</v>
      </c>
      <c r="Z354" s="77"/>
      <c r="AA354" s="77"/>
      <c r="AB354" s="77" t="s">
        <v>54</v>
      </c>
      <c r="AC354" s="77" t="s">
        <v>40</v>
      </c>
      <c r="AD354" s="88">
        <v>6800</v>
      </c>
      <c r="AE354" s="88">
        <v>6155</v>
      </c>
      <c r="AF354" s="88">
        <v>4955</v>
      </c>
    </row>
    <row r="355" s="44" customFormat="1" ht="81" customHeight="1" spans="1:32">
      <c r="A355" s="55">
        <v>89</v>
      </c>
      <c r="B355" s="55" t="s">
        <v>1421</v>
      </c>
      <c r="C355" s="55" t="s">
        <v>1422</v>
      </c>
      <c r="D355" s="55" t="s">
        <v>350</v>
      </c>
      <c r="E355" s="59" t="s">
        <v>1423</v>
      </c>
      <c r="F355" s="59" t="s">
        <v>1365</v>
      </c>
      <c r="G355" s="55" t="s">
        <v>54</v>
      </c>
      <c r="H355" s="59" t="s">
        <v>40</v>
      </c>
      <c r="I355" s="30">
        <v>3260</v>
      </c>
      <c r="J355" s="30">
        <v>2934</v>
      </c>
      <c r="K355" s="64">
        <v>2875</v>
      </c>
      <c r="L355" s="64">
        <v>2760</v>
      </c>
      <c r="M355" s="64">
        <v>2346</v>
      </c>
      <c r="N355" s="68">
        <v>2950</v>
      </c>
      <c r="O355" s="35">
        <v>2760</v>
      </c>
      <c r="P355" s="35">
        <v>2346</v>
      </c>
      <c r="Q355" s="55" t="s">
        <v>41</v>
      </c>
      <c r="R355" s="55" t="s">
        <v>40</v>
      </c>
      <c r="S355" s="74" t="s">
        <v>40</v>
      </c>
      <c r="T355" s="64" t="s">
        <v>994</v>
      </c>
      <c r="U355" s="59" t="s">
        <v>1424</v>
      </c>
      <c r="V355" s="76" t="s">
        <v>1425</v>
      </c>
      <c r="W355" s="83">
        <v>352</v>
      </c>
      <c r="X355" s="76">
        <v>330801012</v>
      </c>
      <c r="Y355" s="77" t="s">
        <v>1426</v>
      </c>
      <c r="Z355" s="77" t="s">
        <v>1427</v>
      </c>
      <c r="AA355" s="77" t="s">
        <v>1218</v>
      </c>
      <c r="AB355" s="77" t="s">
        <v>54</v>
      </c>
      <c r="AC355" s="77" t="s">
        <v>40</v>
      </c>
      <c r="AD355" s="88">
        <v>2875</v>
      </c>
      <c r="AE355" s="88">
        <v>2760</v>
      </c>
      <c r="AF355" s="88">
        <v>2346</v>
      </c>
    </row>
    <row r="356" s="44" customFormat="1" ht="38" customHeight="1" spans="1:32">
      <c r="A356" s="55" t="s">
        <v>55</v>
      </c>
      <c r="B356" s="55" t="s">
        <v>1428</v>
      </c>
      <c r="C356" s="55" t="s">
        <v>1429</v>
      </c>
      <c r="D356" s="55" t="s">
        <v>350</v>
      </c>
      <c r="E356" s="59" t="s">
        <v>40</v>
      </c>
      <c r="F356" s="59" t="s">
        <v>40</v>
      </c>
      <c r="G356" s="55" t="s">
        <v>54</v>
      </c>
      <c r="H356" s="59" t="s">
        <v>40</v>
      </c>
      <c r="I356" s="30">
        <v>978</v>
      </c>
      <c r="J356" s="30">
        <v>880</v>
      </c>
      <c r="K356" s="64"/>
      <c r="L356" s="64"/>
      <c r="M356" s="64"/>
      <c r="N356" s="35">
        <v>885</v>
      </c>
      <c r="O356" s="35">
        <v>830</v>
      </c>
      <c r="P356" s="35">
        <v>705</v>
      </c>
      <c r="Q356" s="55" t="s">
        <v>41</v>
      </c>
      <c r="R356" s="55" t="s">
        <v>40</v>
      </c>
      <c r="S356" s="74" t="s">
        <v>40</v>
      </c>
      <c r="T356" s="64"/>
      <c r="U356" s="59"/>
      <c r="V356" s="76" t="s">
        <v>1430</v>
      </c>
      <c r="W356" s="83">
        <v>353</v>
      </c>
      <c r="X356" s="76">
        <v>33080101201</v>
      </c>
      <c r="Y356" s="77" t="s">
        <v>1431</v>
      </c>
      <c r="Z356" s="77"/>
      <c r="AA356" s="77"/>
      <c r="AB356" s="77" t="s">
        <v>54</v>
      </c>
      <c r="AC356" s="77" t="s">
        <v>40</v>
      </c>
      <c r="AD356" s="88">
        <v>3740</v>
      </c>
      <c r="AE356" s="88">
        <v>3590</v>
      </c>
      <c r="AF356" s="88">
        <v>3050</v>
      </c>
    </row>
    <row r="357" s="44" customFormat="1" ht="64" customHeight="1" spans="1:32">
      <c r="A357" s="55">
        <v>90</v>
      </c>
      <c r="B357" s="122" t="s">
        <v>1432</v>
      </c>
      <c r="C357" s="55" t="s">
        <v>1433</v>
      </c>
      <c r="D357" s="55" t="s">
        <v>350</v>
      </c>
      <c r="E357" s="59" t="s">
        <v>1434</v>
      </c>
      <c r="F357" s="59" t="s">
        <v>1435</v>
      </c>
      <c r="G357" s="55" t="s">
        <v>54</v>
      </c>
      <c r="H357" s="59" t="s">
        <v>1436</v>
      </c>
      <c r="I357" s="30">
        <v>5760</v>
      </c>
      <c r="J357" s="30">
        <v>5184</v>
      </c>
      <c r="K357" s="64">
        <v>5500</v>
      </c>
      <c r="L357" s="64">
        <v>4950</v>
      </c>
      <c r="M357" s="64">
        <v>3960</v>
      </c>
      <c r="N357" s="35">
        <v>5500</v>
      </c>
      <c r="O357" s="35">
        <v>4950</v>
      </c>
      <c r="P357" s="68">
        <v>4200</v>
      </c>
      <c r="Q357" s="55" t="s">
        <v>41</v>
      </c>
      <c r="R357" s="55" t="s">
        <v>40</v>
      </c>
      <c r="S357" s="74" t="s">
        <v>40</v>
      </c>
      <c r="T357" s="64" t="s">
        <v>183</v>
      </c>
      <c r="U357" s="59" t="s">
        <v>973</v>
      </c>
      <c r="V357" s="76" t="s">
        <v>1437</v>
      </c>
      <c r="W357" s="83">
        <v>354</v>
      </c>
      <c r="X357" s="76">
        <v>330801009</v>
      </c>
      <c r="Y357" s="77" t="s">
        <v>1438</v>
      </c>
      <c r="Z357" s="77"/>
      <c r="AA357" s="77" t="s">
        <v>1439</v>
      </c>
      <c r="AB357" s="77" t="s">
        <v>54</v>
      </c>
      <c r="AC357" s="77" t="s">
        <v>1440</v>
      </c>
      <c r="AD357" s="88">
        <v>5500</v>
      </c>
      <c r="AE357" s="88">
        <v>4950</v>
      </c>
      <c r="AF357" s="88">
        <v>3960</v>
      </c>
    </row>
    <row r="358" s="44" customFormat="1" ht="26" customHeight="1" spans="1:32">
      <c r="A358" s="55" t="s">
        <v>895</v>
      </c>
      <c r="B358" s="122" t="s">
        <v>1432</v>
      </c>
      <c r="C358" s="55" t="s">
        <v>1441</v>
      </c>
      <c r="D358" s="55" t="s">
        <v>350</v>
      </c>
      <c r="E358" s="59" t="s">
        <v>40</v>
      </c>
      <c r="F358" s="59" t="s">
        <v>40</v>
      </c>
      <c r="G358" s="55" t="s">
        <v>54</v>
      </c>
      <c r="H358" s="59"/>
      <c r="I358" s="30">
        <v>12000</v>
      </c>
      <c r="J358" s="30">
        <v>10800</v>
      </c>
      <c r="K358" s="64">
        <v>10977.7777777778</v>
      </c>
      <c r="L358" s="64"/>
      <c r="M358" s="64"/>
      <c r="N358" s="35">
        <v>11000</v>
      </c>
      <c r="O358" s="35">
        <v>9900</v>
      </c>
      <c r="P358" s="35">
        <v>8400</v>
      </c>
      <c r="Q358" s="55" t="s">
        <v>41</v>
      </c>
      <c r="R358" s="55" t="s">
        <v>40</v>
      </c>
      <c r="S358" s="74" t="s">
        <v>40</v>
      </c>
      <c r="T358" s="64"/>
      <c r="U358" s="59" t="s">
        <v>42</v>
      </c>
      <c r="V358" s="76" t="s">
        <v>1442</v>
      </c>
      <c r="W358" s="83">
        <v>355</v>
      </c>
      <c r="X358" s="76">
        <v>330801014</v>
      </c>
      <c r="Y358" s="77" t="s">
        <v>1443</v>
      </c>
      <c r="Z358" s="77"/>
      <c r="AA358" s="77"/>
      <c r="AB358" s="77" t="s">
        <v>54</v>
      </c>
      <c r="AC358" s="77" t="s">
        <v>1444</v>
      </c>
      <c r="AD358" s="88">
        <v>10400</v>
      </c>
      <c r="AE358" s="88">
        <v>9280</v>
      </c>
      <c r="AF358" s="88">
        <v>7890</v>
      </c>
    </row>
    <row r="359" s="44" customFormat="1" ht="26" customHeight="1" spans="1:32">
      <c r="A359" s="55"/>
      <c r="B359" s="55"/>
      <c r="C359" s="55"/>
      <c r="D359" s="55"/>
      <c r="E359" s="59"/>
      <c r="F359" s="59"/>
      <c r="G359" s="55"/>
      <c r="H359" s="59"/>
      <c r="I359" s="37"/>
      <c r="J359" s="37"/>
      <c r="K359" s="64"/>
      <c r="L359" s="64"/>
      <c r="M359" s="64"/>
      <c r="N359" s="35"/>
      <c r="O359" s="35"/>
      <c r="P359" s="35"/>
      <c r="Q359" s="55"/>
      <c r="R359" s="55"/>
      <c r="S359" s="74"/>
      <c r="T359" s="64"/>
      <c r="U359" s="59"/>
      <c r="V359" s="76" t="s">
        <v>1445</v>
      </c>
      <c r="W359" s="83">
        <v>356</v>
      </c>
      <c r="X359" s="76">
        <v>33080101401</v>
      </c>
      <c r="Y359" s="77" t="s">
        <v>1446</v>
      </c>
      <c r="Z359" s="77" t="s">
        <v>40</v>
      </c>
      <c r="AA359" s="77"/>
      <c r="AB359" s="77" t="s">
        <v>54</v>
      </c>
      <c r="AC359" s="77" t="s">
        <v>1447</v>
      </c>
      <c r="AD359" s="88">
        <v>11700</v>
      </c>
      <c r="AE359" s="88">
        <v>10530</v>
      </c>
      <c r="AF359" s="88">
        <v>8950</v>
      </c>
    </row>
    <row r="360" s="44" customFormat="1" ht="26" customHeight="1" spans="1:32">
      <c r="A360" s="55"/>
      <c r="B360" s="55"/>
      <c r="C360" s="55"/>
      <c r="D360" s="55"/>
      <c r="E360" s="59"/>
      <c r="F360" s="59"/>
      <c r="G360" s="55"/>
      <c r="H360" s="59"/>
      <c r="I360" s="37"/>
      <c r="J360" s="37"/>
      <c r="K360" s="64"/>
      <c r="L360" s="64"/>
      <c r="M360" s="64"/>
      <c r="N360" s="35"/>
      <c r="O360" s="35"/>
      <c r="P360" s="35"/>
      <c r="Q360" s="55"/>
      <c r="R360" s="55"/>
      <c r="S360" s="74"/>
      <c r="T360" s="64"/>
      <c r="U360" s="59"/>
      <c r="V360" s="76" t="s">
        <v>1448</v>
      </c>
      <c r="W360" s="83">
        <v>357</v>
      </c>
      <c r="X360" s="76">
        <v>33080101402</v>
      </c>
      <c r="Y360" s="77" t="s">
        <v>1449</v>
      </c>
      <c r="Z360" s="77"/>
      <c r="AA360" s="77"/>
      <c r="AB360" s="77" t="s">
        <v>54</v>
      </c>
      <c r="AC360" s="77" t="s">
        <v>40</v>
      </c>
      <c r="AD360" s="88">
        <v>13405</v>
      </c>
      <c r="AE360" s="88">
        <v>12065</v>
      </c>
      <c r="AF360" s="88">
        <v>10255</v>
      </c>
    </row>
    <row r="361" s="44" customFormat="1" ht="26" customHeight="1" spans="1:32">
      <c r="A361" s="55"/>
      <c r="B361" s="55"/>
      <c r="C361" s="55"/>
      <c r="D361" s="55"/>
      <c r="E361" s="59"/>
      <c r="F361" s="59"/>
      <c r="G361" s="55"/>
      <c r="H361" s="59"/>
      <c r="I361" s="37"/>
      <c r="J361" s="37"/>
      <c r="K361" s="64"/>
      <c r="L361" s="64"/>
      <c r="M361" s="64"/>
      <c r="N361" s="35"/>
      <c r="O361" s="35"/>
      <c r="P361" s="35"/>
      <c r="Q361" s="55"/>
      <c r="R361" s="55"/>
      <c r="S361" s="74"/>
      <c r="T361" s="64"/>
      <c r="U361" s="59"/>
      <c r="V361" s="76" t="s">
        <v>1450</v>
      </c>
      <c r="W361" s="83">
        <v>358</v>
      </c>
      <c r="X361" s="76">
        <v>33080101403</v>
      </c>
      <c r="Y361" s="77" t="s">
        <v>1451</v>
      </c>
      <c r="Z361" s="77" t="s">
        <v>40</v>
      </c>
      <c r="AA361" s="77"/>
      <c r="AB361" s="77" t="s">
        <v>54</v>
      </c>
      <c r="AC361" s="77" t="s">
        <v>1447</v>
      </c>
      <c r="AD361" s="88">
        <v>15210</v>
      </c>
      <c r="AE361" s="88">
        <v>13690</v>
      </c>
      <c r="AF361" s="88">
        <v>11635</v>
      </c>
    </row>
    <row r="362" s="44" customFormat="1" ht="26" customHeight="1" spans="1:32">
      <c r="A362" s="55" t="s">
        <v>55</v>
      </c>
      <c r="B362" s="55" t="s">
        <v>1452</v>
      </c>
      <c r="C362" s="55" t="s">
        <v>1453</v>
      </c>
      <c r="D362" s="55" t="s">
        <v>350</v>
      </c>
      <c r="E362" s="59" t="s">
        <v>40</v>
      </c>
      <c r="F362" s="59" t="s">
        <v>40</v>
      </c>
      <c r="G362" s="55" t="s">
        <v>54</v>
      </c>
      <c r="H362" s="59" t="s">
        <v>40</v>
      </c>
      <c r="I362" s="30">
        <v>1728</v>
      </c>
      <c r="J362" s="30">
        <v>1555</v>
      </c>
      <c r="K362" s="64"/>
      <c r="L362" s="64"/>
      <c r="M362" s="64"/>
      <c r="N362" s="35">
        <v>1650</v>
      </c>
      <c r="O362" s="35">
        <v>1485</v>
      </c>
      <c r="P362" s="35">
        <v>1260</v>
      </c>
      <c r="Q362" s="35" t="e">
        <f t="shared" ref="N362:S362" si="6">Q357*0.3</f>
        <v>#VALUE!</v>
      </c>
      <c r="R362" s="35" t="e">
        <f t="shared" si="6"/>
        <v>#VALUE!</v>
      </c>
      <c r="S362" s="35" t="e">
        <f t="shared" si="6"/>
        <v>#VALUE!</v>
      </c>
      <c r="T362" s="64"/>
      <c r="U362" s="59" t="s">
        <v>305</v>
      </c>
      <c r="V362" s="76" t="s">
        <v>1454</v>
      </c>
      <c r="W362" s="83">
        <v>359</v>
      </c>
      <c r="X362" s="76">
        <v>33080100901</v>
      </c>
      <c r="Y362" s="77" t="s">
        <v>1455</v>
      </c>
      <c r="Z362" s="77"/>
      <c r="AA362" s="77"/>
      <c r="AB362" s="77" t="s">
        <v>54</v>
      </c>
      <c r="AC362" s="77" t="s">
        <v>40</v>
      </c>
      <c r="AD362" s="88">
        <v>7150</v>
      </c>
      <c r="AE362" s="88">
        <v>6435</v>
      </c>
      <c r="AF362" s="88">
        <v>5150</v>
      </c>
    </row>
    <row r="363" s="44" customFormat="1" ht="26" customHeight="1" spans="1:32">
      <c r="A363" s="55" t="s">
        <v>55</v>
      </c>
      <c r="B363" s="55" t="s">
        <v>1456</v>
      </c>
      <c r="C363" s="55" t="s">
        <v>1457</v>
      </c>
      <c r="D363" s="55" t="s">
        <v>350</v>
      </c>
      <c r="E363" s="59" t="s">
        <v>40</v>
      </c>
      <c r="F363" s="59" t="s">
        <v>40</v>
      </c>
      <c r="G363" s="55" t="s">
        <v>54</v>
      </c>
      <c r="H363" s="59" t="s">
        <v>40</v>
      </c>
      <c r="I363" s="30">
        <v>800</v>
      </c>
      <c r="J363" s="30">
        <v>720</v>
      </c>
      <c r="K363" s="64">
        <v>625</v>
      </c>
      <c r="L363" s="64">
        <v>600</v>
      </c>
      <c r="M363" s="64">
        <v>510</v>
      </c>
      <c r="N363" s="35">
        <v>720</v>
      </c>
      <c r="O363" s="35">
        <v>650</v>
      </c>
      <c r="P363" s="35">
        <v>550</v>
      </c>
      <c r="Q363" s="55" t="s">
        <v>41</v>
      </c>
      <c r="R363" s="55" t="s">
        <v>40</v>
      </c>
      <c r="S363" s="74" t="s">
        <v>40</v>
      </c>
      <c r="T363" s="64"/>
      <c r="U363" s="59" t="s">
        <v>1156</v>
      </c>
      <c r="V363" s="76" t="s">
        <v>1458</v>
      </c>
      <c r="W363" s="83">
        <v>360</v>
      </c>
      <c r="X363" s="76">
        <v>33080100902</v>
      </c>
      <c r="Y363" s="77" t="s">
        <v>1459</v>
      </c>
      <c r="Z363" s="77"/>
      <c r="AA363" s="77"/>
      <c r="AB363" s="77" t="s">
        <v>54</v>
      </c>
      <c r="AC363" s="77" t="s">
        <v>40</v>
      </c>
      <c r="AD363" s="88">
        <v>6125</v>
      </c>
      <c r="AE363" s="88">
        <v>5550</v>
      </c>
      <c r="AF363" s="88">
        <v>4470</v>
      </c>
    </row>
    <row r="364" s="44" customFormat="1" ht="26" customHeight="1" spans="1:32">
      <c r="A364" s="55"/>
      <c r="B364" s="55"/>
      <c r="C364" s="55"/>
      <c r="D364" s="55"/>
      <c r="E364" s="59"/>
      <c r="F364" s="59"/>
      <c r="G364" s="55"/>
      <c r="H364" s="59"/>
      <c r="I364" s="37"/>
      <c r="J364" s="37"/>
      <c r="K364" s="64"/>
      <c r="L364" s="64"/>
      <c r="M364" s="64"/>
      <c r="N364" s="35"/>
      <c r="O364" s="35"/>
      <c r="P364" s="35"/>
      <c r="Q364" s="55"/>
      <c r="R364" s="55"/>
      <c r="S364" s="74"/>
      <c r="T364" s="64"/>
      <c r="U364" s="59"/>
      <c r="V364" s="76" t="s">
        <v>1460</v>
      </c>
      <c r="W364" s="83">
        <v>361</v>
      </c>
      <c r="X364" s="76">
        <v>33080100903</v>
      </c>
      <c r="Y364" s="77" t="s">
        <v>1461</v>
      </c>
      <c r="Z364" s="77"/>
      <c r="AA364" s="77"/>
      <c r="AB364" s="77" t="s">
        <v>54</v>
      </c>
      <c r="AC364" s="77" t="s">
        <v>40</v>
      </c>
      <c r="AD364" s="88">
        <v>7775</v>
      </c>
      <c r="AE364" s="88">
        <v>7035</v>
      </c>
      <c r="AF364" s="88">
        <v>5660</v>
      </c>
    </row>
    <row r="365" s="44" customFormat="1" ht="26" customHeight="1" spans="1:32">
      <c r="A365" s="55"/>
      <c r="B365" s="55"/>
      <c r="C365" s="55"/>
      <c r="D365" s="55"/>
      <c r="E365" s="59"/>
      <c r="F365" s="59"/>
      <c r="G365" s="55"/>
      <c r="H365" s="59"/>
      <c r="I365" s="37"/>
      <c r="J365" s="37"/>
      <c r="K365" s="64"/>
      <c r="L365" s="64"/>
      <c r="M365" s="64"/>
      <c r="N365" s="35"/>
      <c r="O365" s="35"/>
      <c r="P365" s="35"/>
      <c r="Q365" s="55"/>
      <c r="R365" s="55"/>
      <c r="S365" s="74"/>
      <c r="T365" s="64"/>
      <c r="U365" s="59"/>
      <c r="V365" s="76" t="s">
        <v>1462</v>
      </c>
      <c r="W365" s="83">
        <v>362</v>
      </c>
      <c r="X365" s="76">
        <v>330801013</v>
      </c>
      <c r="Y365" s="77" t="s">
        <v>1463</v>
      </c>
      <c r="Z365" s="77"/>
      <c r="AA365" s="77"/>
      <c r="AB365" s="77" t="s">
        <v>54</v>
      </c>
      <c r="AC365" s="77" t="s">
        <v>40</v>
      </c>
      <c r="AD365" s="88">
        <v>5570</v>
      </c>
      <c r="AE365" s="88">
        <v>5010</v>
      </c>
      <c r="AF365" s="88">
        <v>4260</v>
      </c>
    </row>
    <row r="366" s="44" customFormat="1" ht="26" customHeight="1" spans="1:32">
      <c r="A366" s="55"/>
      <c r="B366" s="55"/>
      <c r="C366" s="55"/>
      <c r="D366" s="55"/>
      <c r="E366" s="59"/>
      <c r="F366" s="59"/>
      <c r="G366" s="55"/>
      <c r="H366" s="59"/>
      <c r="I366" s="37"/>
      <c r="J366" s="37"/>
      <c r="K366" s="64"/>
      <c r="L366" s="64"/>
      <c r="M366" s="64"/>
      <c r="N366" s="35"/>
      <c r="O366" s="35"/>
      <c r="P366" s="35"/>
      <c r="Q366" s="55"/>
      <c r="R366" s="55"/>
      <c r="S366" s="74"/>
      <c r="T366" s="64"/>
      <c r="U366" s="59"/>
      <c r="V366" s="76" t="s">
        <v>1464</v>
      </c>
      <c r="W366" s="83">
        <v>363</v>
      </c>
      <c r="X366" s="76">
        <v>33080101301</v>
      </c>
      <c r="Y366" s="77" t="s">
        <v>1465</v>
      </c>
      <c r="Z366" s="77"/>
      <c r="AA366" s="77"/>
      <c r="AB366" s="77" t="s">
        <v>54</v>
      </c>
      <c r="AC366" s="77" t="s">
        <v>40</v>
      </c>
      <c r="AD366" s="88">
        <v>7240</v>
      </c>
      <c r="AE366" s="88">
        <v>6515</v>
      </c>
      <c r="AF366" s="88">
        <v>5540</v>
      </c>
    </row>
    <row r="367" s="44" customFormat="1" ht="26" customHeight="1" spans="1:32">
      <c r="A367" s="55" t="s">
        <v>55</v>
      </c>
      <c r="B367" s="55" t="s">
        <v>1466</v>
      </c>
      <c r="C367" s="55" t="s">
        <v>1467</v>
      </c>
      <c r="D367" s="55" t="s">
        <v>350</v>
      </c>
      <c r="E367" s="59" t="s">
        <v>40</v>
      </c>
      <c r="F367" s="59" t="s">
        <v>40</v>
      </c>
      <c r="G367" s="55" t="s">
        <v>54</v>
      </c>
      <c r="H367" s="59"/>
      <c r="I367" s="30">
        <v>1545</v>
      </c>
      <c r="J367" s="30">
        <v>1391</v>
      </c>
      <c r="K367" s="64"/>
      <c r="L367" s="64"/>
      <c r="M367" s="64"/>
      <c r="N367" s="35">
        <v>1475</v>
      </c>
      <c r="O367" s="35">
        <v>1328</v>
      </c>
      <c r="P367" s="35">
        <v>1127</v>
      </c>
      <c r="Q367" s="55" t="s">
        <v>41</v>
      </c>
      <c r="R367" s="55" t="s">
        <v>40</v>
      </c>
      <c r="S367" s="74" t="s">
        <v>40</v>
      </c>
      <c r="T367" s="64"/>
      <c r="U367" s="59" t="s">
        <v>1468</v>
      </c>
      <c r="V367" s="76" t="s">
        <v>1469</v>
      </c>
      <c r="W367" s="83">
        <v>364</v>
      </c>
      <c r="X367" s="76">
        <v>330802027</v>
      </c>
      <c r="Y367" s="77" t="s">
        <v>1470</v>
      </c>
      <c r="Z367" s="77" t="s">
        <v>1471</v>
      </c>
      <c r="AA367" s="77"/>
      <c r="AB367" s="77" t="s">
        <v>54</v>
      </c>
      <c r="AC367" s="77" t="s">
        <v>40</v>
      </c>
      <c r="AD367" s="88">
        <v>6190</v>
      </c>
      <c r="AE367" s="88">
        <v>5570</v>
      </c>
      <c r="AF367" s="88">
        <v>4730</v>
      </c>
    </row>
    <row r="368" s="44" customFormat="1" ht="26" customHeight="1" spans="1:32">
      <c r="A368" s="55"/>
      <c r="B368" s="55"/>
      <c r="C368" s="55"/>
      <c r="D368" s="55"/>
      <c r="E368" s="59"/>
      <c r="F368" s="59"/>
      <c r="G368" s="55"/>
      <c r="H368" s="59"/>
      <c r="I368" s="37"/>
      <c r="J368" s="37"/>
      <c r="K368" s="64"/>
      <c r="L368" s="64"/>
      <c r="M368" s="64"/>
      <c r="N368" s="35"/>
      <c r="O368" s="35"/>
      <c r="P368" s="35"/>
      <c r="Q368" s="55"/>
      <c r="R368" s="55"/>
      <c r="S368" s="74"/>
      <c r="T368" s="64"/>
      <c r="U368" s="59"/>
      <c r="V368" s="76" t="s">
        <v>1472</v>
      </c>
      <c r="W368" s="83">
        <v>365</v>
      </c>
      <c r="X368" s="76">
        <v>33080202701</v>
      </c>
      <c r="Y368" s="77" t="s">
        <v>1473</v>
      </c>
      <c r="Z368" s="77"/>
      <c r="AA368" s="77"/>
      <c r="AB368" s="77" t="s">
        <v>54</v>
      </c>
      <c r="AC368" s="77" t="s">
        <v>40</v>
      </c>
      <c r="AD368" s="88">
        <v>8045</v>
      </c>
      <c r="AE368" s="88">
        <v>7240</v>
      </c>
      <c r="AF368" s="88">
        <v>6155</v>
      </c>
    </row>
    <row r="369" s="44" customFormat="1" ht="38" customHeight="1" spans="1:32">
      <c r="A369" s="55">
        <v>91</v>
      </c>
      <c r="B369" s="55" t="s">
        <v>1474</v>
      </c>
      <c r="C369" s="55" t="s">
        <v>1475</v>
      </c>
      <c r="D369" s="55" t="s">
        <v>350</v>
      </c>
      <c r="E369" s="59" t="s">
        <v>1476</v>
      </c>
      <c r="F369" s="59" t="s">
        <v>1477</v>
      </c>
      <c r="G369" s="55" t="s">
        <v>54</v>
      </c>
      <c r="H369" s="59"/>
      <c r="I369" s="30">
        <v>7890</v>
      </c>
      <c r="J369" s="30">
        <v>7101</v>
      </c>
      <c r="K369" s="64">
        <v>6600</v>
      </c>
      <c r="L369" s="64"/>
      <c r="M369" s="64">
        <v>0.91254752851711</v>
      </c>
      <c r="N369" s="35">
        <v>7200</v>
      </c>
      <c r="O369" s="35">
        <v>6500</v>
      </c>
      <c r="P369" s="35">
        <v>5500</v>
      </c>
      <c r="Q369" s="55" t="s">
        <v>41</v>
      </c>
      <c r="R369" s="55" t="s">
        <v>40</v>
      </c>
      <c r="S369" s="74" t="s">
        <v>40</v>
      </c>
      <c r="T369" s="64" t="s">
        <v>994</v>
      </c>
      <c r="U369" s="59" t="s">
        <v>1478</v>
      </c>
      <c r="V369" s="76" t="s">
        <v>1479</v>
      </c>
      <c r="W369" s="83">
        <v>366</v>
      </c>
      <c r="X369" s="76">
        <v>330802044</v>
      </c>
      <c r="Y369" s="77" t="s">
        <v>1480</v>
      </c>
      <c r="Z369" s="77" t="s">
        <v>1481</v>
      </c>
      <c r="AA369" s="77"/>
      <c r="AB369" s="77" t="s">
        <v>54</v>
      </c>
      <c r="AC369" s="77" t="s">
        <v>40</v>
      </c>
      <c r="AD369" s="88">
        <v>11100</v>
      </c>
      <c r="AE369" s="88">
        <v>9990</v>
      </c>
      <c r="AF369" s="88">
        <v>8490</v>
      </c>
    </row>
    <row r="370" s="44" customFormat="1" ht="38" customHeight="1" spans="1:32">
      <c r="A370" s="55"/>
      <c r="B370" s="55"/>
      <c r="C370" s="55"/>
      <c r="D370" s="55"/>
      <c r="E370" s="59"/>
      <c r="F370" s="59"/>
      <c r="G370" s="55"/>
      <c r="H370" s="59"/>
      <c r="I370" s="37"/>
      <c r="J370" s="37"/>
      <c r="K370" s="64"/>
      <c r="L370" s="64"/>
      <c r="M370" s="64"/>
      <c r="N370" s="35"/>
      <c r="O370" s="35"/>
      <c r="P370" s="35"/>
      <c r="Q370" s="55"/>
      <c r="R370" s="55"/>
      <c r="S370" s="74"/>
      <c r="T370" s="64"/>
      <c r="U370" s="59"/>
      <c r="V370" s="76" t="s">
        <v>1327</v>
      </c>
      <c r="W370" s="83">
        <v>367</v>
      </c>
      <c r="X370" s="76">
        <v>330802018</v>
      </c>
      <c r="Y370" s="77" t="s">
        <v>1328</v>
      </c>
      <c r="Z370" s="77" t="s">
        <v>1329</v>
      </c>
      <c r="AA370" s="77"/>
      <c r="AB370" s="77" t="s">
        <v>54</v>
      </c>
      <c r="AC370" s="77" t="s">
        <v>40</v>
      </c>
      <c r="AD370" s="88">
        <v>10400</v>
      </c>
      <c r="AE370" s="88">
        <v>9360</v>
      </c>
      <c r="AF370" s="88">
        <v>7960</v>
      </c>
    </row>
    <row r="371" s="44" customFormat="1" ht="38" customHeight="1" spans="1:32">
      <c r="A371" s="55"/>
      <c r="B371" s="55"/>
      <c r="C371" s="55"/>
      <c r="D371" s="55"/>
      <c r="E371" s="59"/>
      <c r="F371" s="59"/>
      <c r="G371" s="55"/>
      <c r="H371" s="59"/>
      <c r="I371" s="37"/>
      <c r="J371" s="37"/>
      <c r="K371" s="64"/>
      <c r="L371" s="64"/>
      <c r="M371" s="64"/>
      <c r="N371" s="35"/>
      <c r="O371" s="35"/>
      <c r="P371" s="35"/>
      <c r="Q371" s="55"/>
      <c r="R371" s="55"/>
      <c r="S371" s="74"/>
      <c r="T371" s="64"/>
      <c r="U371" s="59"/>
      <c r="V371" s="76" t="s">
        <v>1112</v>
      </c>
      <c r="W371" s="83">
        <v>368</v>
      </c>
      <c r="X371" s="76">
        <v>330802024</v>
      </c>
      <c r="Y371" s="77" t="s">
        <v>1113</v>
      </c>
      <c r="Z371" s="77" t="s">
        <v>1114</v>
      </c>
      <c r="AA371" s="77"/>
      <c r="AB371" s="77" t="s">
        <v>54</v>
      </c>
      <c r="AC371" s="77" t="s">
        <v>40</v>
      </c>
      <c r="AD371" s="88">
        <v>6600</v>
      </c>
      <c r="AE371" s="88">
        <v>5940</v>
      </c>
      <c r="AF371" s="88">
        <v>5050</v>
      </c>
    </row>
    <row r="372" s="44" customFormat="1" ht="38" customHeight="1" spans="1:32">
      <c r="A372" s="55" t="s">
        <v>55</v>
      </c>
      <c r="B372" s="55" t="s">
        <v>1482</v>
      </c>
      <c r="C372" s="55" t="s">
        <v>1483</v>
      </c>
      <c r="D372" s="55" t="s">
        <v>350</v>
      </c>
      <c r="E372" s="59" t="s">
        <v>40</v>
      </c>
      <c r="F372" s="59" t="s">
        <v>40</v>
      </c>
      <c r="G372" s="55" t="s">
        <v>54</v>
      </c>
      <c r="H372" s="59" t="s">
        <v>40</v>
      </c>
      <c r="I372" s="30">
        <v>2367</v>
      </c>
      <c r="J372" s="30">
        <v>2130</v>
      </c>
      <c r="K372" s="64"/>
      <c r="L372" s="64"/>
      <c r="M372" s="64"/>
      <c r="N372" s="35">
        <v>2160</v>
      </c>
      <c r="O372" s="35">
        <v>1950</v>
      </c>
      <c r="P372" s="35">
        <v>1650</v>
      </c>
      <c r="Q372" s="55" t="s">
        <v>41</v>
      </c>
      <c r="R372" s="55" t="s">
        <v>40</v>
      </c>
      <c r="S372" s="74" t="s">
        <v>40</v>
      </c>
      <c r="T372" s="64"/>
      <c r="U372" s="59" t="s">
        <v>305</v>
      </c>
      <c r="V372" s="76" t="s">
        <v>1484</v>
      </c>
      <c r="W372" s="83">
        <v>369</v>
      </c>
      <c r="X372" s="76">
        <v>33080204401</v>
      </c>
      <c r="Y372" s="77" t="s">
        <v>1485</v>
      </c>
      <c r="Z372" s="77"/>
      <c r="AA372" s="77"/>
      <c r="AB372" s="77" t="s">
        <v>54</v>
      </c>
      <c r="AC372" s="77" t="s">
        <v>40</v>
      </c>
      <c r="AD372" s="88">
        <v>14430</v>
      </c>
      <c r="AE372" s="88">
        <v>12985</v>
      </c>
      <c r="AF372" s="88">
        <v>11035</v>
      </c>
    </row>
    <row r="373" s="44" customFormat="1" ht="38" customHeight="1" spans="1:32">
      <c r="A373" s="55"/>
      <c r="B373" s="55"/>
      <c r="C373" s="55"/>
      <c r="D373" s="55"/>
      <c r="E373" s="59"/>
      <c r="F373" s="59"/>
      <c r="G373" s="55"/>
      <c r="H373" s="59"/>
      <c r="I373" s="37"/>
      <c r="J373" s="37"/>
      <c r="K373" s="64"/>
      <c r="L373" s="64"/>
      <c r="M373" s="64"/>
      <c r="N373" s="35"/>
      <c r="O373" s="35"/>
      <c r="P373" s="35"/>
      <c r="Q373" s="55"/>
      <c r="R373" s="55"/>
      <c r="S373" s="74"/>
      <c r="T373" s="64"/>
      <c r="U373" s="59"/>
      <c r="V373" s="76" t="s">
        <v>1335</v>
      </c>
      <c r="W373" s="83">
        <v>370</v>
      </c>
      <c r="X373" s="76">
        <v>33080201801</v>
      </c>
      <c r="Y373" s="77" t="s">
        <v>1336</v>
      </c>
      <c r="Z373" s="77"/>
      <c r="AA373" s="77"/>
      <c r="AB373" s="77" t="s">
        <v>54</v>
      </c>
      <c r="AC373" s="77" t="s">
        <v>40</v>
      </c>
      <c r="AD373" s="88">
        <v>13520</v>
      </c>
      <c r="AE373" s="88">
        <v>12170</v>
      </c>
      <c r="AF373" s="88">
        <v>10345</v>
      </c>
    </row>
    <row r="374" s="44" customFormat="1" ht="38" customHeight="1" spans="1:32">
      <c r="A374" s="55"/>
      <c r="B374" s="55"/>
      <c r="C374" s="55"/>
      <c r="D374" s="55"/>
      <c r="E374" s="59"/>
      <c r="F374" s="59"/>
      <c r="G374" s="55"/>
      <c r="H374" s="59"/>
      <c r="I374" s="37"/>
      <c r="J374" s="37"/>
      <c r="K374" s="64"/>
      <c r="L374" s="64"/>
      <c r="M374" s="64"/>
      <c r="N374" s="35"/>
      <c r="O374" s="35"/>
      <c r="P374" s="35"/>
      <c r="Q374" s="55"/>
      <c r="R374" s="55"/>
      <c r="S374" s="74"/>
      <c r="T374" s="64"/>
      <c r="U374" s="59"/>
      <c r="V374" s="76" t="s">
        <v>1117</v>
      </c>
      <c r="W374" s="83">
        <v>371</v>
      </c>
      <c r="X374" s="76">
        <v>33080202401</v>
      </c>
      <c r="Y374" s="77" t="s">
        <v>1118</v>
      </c>
      <c r="Z374" s="77"/>
      <c r="AA374" s="77"/>
      <c r="AB374" s="77" t="s">
        <v>54</v>
      </c>
      <c r="AC374" s="77" t="s">
        <v>40</v>
      </c>
      <c r="AD374" s="88">
        <v>8580</v>
      </c>
      <c r="AE374" s="88">
        <v>7720</v>
      </c>
      <c r="AF374" s="88">
        <v>6560</v>
      </c>
    </row>
    <row r="375" s="44" customFormat="1" ht="38" customHeight="1" spans="1:32">
      <c r="A375" s="55">
        <v>92</v>
      </c>
      <c r="B375" s="55" t="s">
        <v>1486</v>
      </c>
      <c r="C375" s="55" t="s">
        <v>1487</v>
      </c>
      <c r="D375" s="55" t="s">
        <v>350</v>
      </c>
      <c r="E375" s="59" t="s">
        <v>1488</v>
      </c>
      <c r="F375" s="59" t="s">
        <v>1435</v>
      </c>
      <c r="G375" s="55" t="s">
        <v>54</v>
      </c>
      <c r="H375" s="59" t="s">
        <v>40</v>
      </c>
      <c r="I375" s="30">
        <v>5570</v>
      </c>
      <c r="J375" s="30">
        <v>5013</v>
      </c>
      <c r="K375" s="64">
        <v>5300</v>
      </c>
      <c r="L375" s="64">
        <v>4770</v>
      </c>
      <c r="M375" s="64">
        <v>3815</v>
      </c>
      <c r="N375" s="35">
        <v>5300</v>
      </c>
      <c r="O375" s="35">
        <v>4770</v>
      </c>
      <c r="P375" s="68">
        <v>4050</v>
      </c>
      <c r="Q375" s="55" t="s">
        <v>41</v>
      </c>
      <c r="R375" s="55" t="s">
        <v>40</v>
      </c>
      <c r="S375" s="74" t="s">
        <v>40</v>
      </c>
      <c r="T375" s="64" t="s">
        <v>183</v>
      </c>
      <c r="U375" s="59" t="s">
        <v>973</v>
      </c>
      <c r="V375" s="76" t="s">
        <v>1489</v>
      </c>
      <c r="W375" s="83">
        <v>372</v>
      </c>
      <c r="X375" s="76">
        <v>330801003</v>
      </c>
      <c r="Y375" s="77" t="s">
        <v>1490</v>
      </c>
      <c r="Z375" s="77" t="s">
        <v>1491</v>
      </c>
      <c r="AA375" s="77"/>
      <c r="AB375" s="77" t="s">
        <v>54</v>
      </c>
      <c r="AC375" s="77" t="s">
        <v>1492</v>
      </c>
      <c r="AD375" s="88">
        <v>5300</v>
      </c>
      <c r="AE375" s="88">
        <v>4770</v>
      </c>
      <c r="AF375" s="88">
        <v>3815</v>
      </c>
    </row>
    <row r="376" s="44" customFormat="1" ht="38" customHeight="1" spans="1:32">
      <c r="A376" s="55" t="s">
        <v>55</v>
      </c>
      <c r="B376" s="55" t="s">
        <v>1493</v>
      </c>
      <c r="C376" s="55" t="s">
        <v>1494</v>
      </c>
      <c r="D376" s="55" t="s">
        <v>350</v>
      </c>
      <c r="E376" s="59" t="s">
        <v>40</v>
      </c>
      <c r="F376" s="59" t="s">
        <v>40</v>
      </c>
      <c r="G376" s="55" t="s">
        <v>54</v>
      </c>
      <c r="H376" s="59" t="s">
        <v>40</v>
      </c>
      <c r="I376" s="30">
        <v>1671</v>
      </c>
      <c r="J376" s="30">
        <v>1504</v>
      </c>
      <c r="K376" s="64"/>
      <c r="L376" s="64"/>
      <c r="M376" s="64"/>
      <c r="N376" s="35">
        <v>1590</v>
      </c>
      <c r="O376" s="35">
        <v>1430</v>
      </c>
      <c r="P376" s="35">
        <v>1215</v>
      </c>
      <c r="Q376" s="55" t="s">
        <v>41</v>
      </c>
      <c r="R376" s="55" t="s">
        <v>40</v>
      </c>
      <c r="S376" s="74" t="s">
        <v>40</v>
      </c>
      <c r="T376" s="64"/>
      <c r="U376" s="59" t="s">
        <v>305</v>
      </c>
      <c r="V376" s="76" t="s">
        <v>1495</v>
      </c>
      <c r="W376" s="83">
        <v>373</v>
      </c>
      <c r="X376" s="76">
        <v>33080100301</v>
      </c>
      <c r="Y376" s="77" t="s">
        <v>1496</v>
      </c>
      <c r="Z376" s="77"/>
      <c r="AA376" s="77"/>
      <c r="AB376" s="77" t="s">
        <v>54</v>
      </c>
      <c r="AC376" s="77" t="s">
        <v>40</v>
      </c>
      <c r="AD376" s="88">
        <v>6890</v>
      </c>
      <c r="AE376" s="88">
        <v>6200</v>
      </c>
      <c r="AF376" s="88">
        <v>4960</v>
      </c>
    </row>
    <row r="377" s="44" customFormat="1" ht="38" customHeight="1" spans="1:32">
      <c r="A377" s="55" t="s">
        <v>55</v>
      </c>
      <c r="B377" s="55" t="s">
        <v>1497</v>
      </c>
      <c r="C377" s="55" t="s">
        <v>1498</v>
      </c>
      <c r="D377" s="55" t="s">
        <v>350</v>
      </c>
      <c r="E377" s="59" t="s">
        <v>40</v>
      </c>
      <c r="F377" s="59" t="s">
        <v>40</v>
      </c>
      <c r="G377" s="55" t="s">
        <v>54</v>
      </c>
      <c r="H377" s="59" t="s">
        <v>40</v>
      </c>
      <c r="I377" s="30">
        <v>800</v>
      </c>
      <c r="J377" s="30">
        <v>720</v>
      </c>
      <c r="K377" s="64">
        <v>625</v>
      </c>
      <c r="L377" s="64">
        <v>600</v>
      </c>
      <c r="M377" s="64">
        <v>510</v>
      </c>
      <c r="N377" s="70">
        <v>720</v>
      </c>
      <c r="O377" s="70">
        <v>650</v>
      </c>
      <c r="P377" s="70">
        <v>550</v>
      </c>
      <c r="Q377" s="55" t="s">
        <v>41</v>
      </c>
      <c r="R377" s="55" t="s">
        <v>40</v>
      </c>
      <c r="S377" s="74" t="s">
        <v>40</v>
      </c>
      <c r="T377" s="64"/>
      <c r="U377" s="59" t="s">
        <v>1210</v>
      </c>
      <c r="V377" s="76" t="s">
        <v>1499</v>
      </c>
      <c r="W377" s="83">
        <v>374</v>
      </c>
      <c r="X377" s="76">
        <v>33080100302</v>
      </c>
      <c r="Y377" s="77" t="s">
        <v>1500</v>
      </c>
      <c r="Z377" s="77"/>
      <c r="AA377" s="77"/>
      <c r="AB377" s="77" t="s">
        <v>54</v>
      </c>
      <c r="AC377" s="77" t="s">
        <v>40</v>
      </c>
      <c r="AD377" s="88">
        <v>5925</v>
      </c>
      <c r="AE377" s="88">
        <v>5370</v>
      </c>
      <c r="AF377" s="88">
        <v>4325</v>
      </c>
    </row>
    <row r="378" s="44" customFormat="1" ht="38" customHeight="1" spans="1:32">
      <c r="A378" s="55"/>
      <c r="B378" s="55"/>
      <c r="C378" s="55"/>
      <c r="D378" s="55"/>
      <c r="E378" s="59"/>
      <c r="F378" s="59"/>
      <c r="G378" s="55"/>
      <c r="H378" s="59"/>
      <c r="I378" s="37"/>
      <c r="J378" s="37"/>
      <c r="K378" s="64"/>
      <c r="L378" s="64"/>
      <c r="M378" s="64"/>
      <c r="N378" s="70"/>
      <c r="O378" s="70"/>
      <c r="P378" s="70"/>
      <c r="Q378" s="55"/>
      <c r="R378" s="55"/>
      <c r="S378" s="74"/>
      <c r="T378" s="64"/>
      <c r="U378" s="59"/>
      <c r="V378" s="76" t="s">
        <v>1501</v>
      </c>
      <c r="W378" s="83">
        <v>375</v>
      </c>
      <c r="X378" s="76">
        <v>33080100303</v>
      </c>
      <c r="Y378" s="77" t="s">
        <v>1502</v>
      </c>
      <c r="Z378" s="77"/>
      <c r="AA378" s="77"/>
      <c r="AB378" s="77" t="s">
        <v>54</v>
      </c>
      <c r="AC378" s="77" t="s">
        <v>40</v>
      </c>
      <c r="AD378" s="88">
        <v>7515</v>
      </c>
      <c r="AE378" s="88">
        <v>6800</v>
      </c>
      <c r="AF378" s="88">
        <v>5470</v>
      </c>
    </row>
    <row r="379" s="44" customFormat="1" ht="38" customHeight="1" spans="1:32">
      <c r="A379" s="55" t="s">
        <v>55</v>
      </c>
      <c r="B379" s="55" t="s">
        <v>1503</v>
      </c>
      <c r="C379" s="55" t="s">
        <v>1504</v>
      </c>
      <c r="D379" s="55" t="s">
        <v>350</v>
      </c>
      <c r="E379" s="59" t="s">
        <v>40</v>
      </c>
      <c r="F379" s="59" t="s">
        <v>40</v>
      </c>
      <c r="G379" s="55" t="s">
        <v>54</v>
      </c>
      <c r="H379" s="59" t="s">
        <v>40</v>
      </c>
      <c r="I379" s="30">
        <v>2110</v>
      </c>
      <c r="J379" s="30">
        <v>1899</v>
      </c>
      <c r="K379" s="64"/>
      <c r="L379" s="64"/>
      <c r="M379" s="64"/>
      <c r="N379" s="35">
        <v>2005</v>
      </c>
      <c r="O379" s="35">
        <v>1805</v>
      </c>
      <c r="P379" s="35">
        <v>1535</v>
      </c>
      <c r="Q379" s="55" t="s">
        <v>41</v>
      </c>
      <c r="R379" s="55" t="s">
        <v>40</v>
      </c>
      <c r="S379" s="74" t="s">
        <v>40</v>
      </c>
      <c r="T379" s="64"/>
      <c r="U379" s="59" t="s">
        <v>1468</v>
      </c>
      <c r="V379" s="76" t="s">
        <v>1112</v>
      </c>
      <c r="W379" s="83">
        <v>376</v>
      </c>
      <c r="X379" s="76">
        <v>330802024</v>
      </c>
      <c r="Y379" s="55" t="s">
        <v>1113</v>
      </c>
      <c r="Z379" s="77" t="s">
        <v>1114</v>
      </c>
      <c r="AA379" s="77"/>
      <c r="AB379" s="77" t="s">
        <v>54</v>
      </c>
      <c r="AC379" s="77" t="s">
        <v>40</v>
      </c>
      <c r="AD379" s="88">
        <v>6600</v>
      </c>
      <c r="AE379" s="88">
        <v>5940</v>
      </c>
      <c r="AF379" s="88">
        <v>5050</v>
      </c>
    </row>
    <row r="380" s="44" customFormat="1" ht="38" customHeight="1" spans="1:32">
      <c r="A380" s="55"/>
      <c r="B380" s="55"/>
      <c r="C380" s="55"/>
      <c r="D380" s="55"/>
      <c r="E380" s="59"/>
      <c r="F380" s="59"/>
      <c r="G380" s="55"/>
      <c r="H380" s="59"/>
      <c r="I380" s="37"/>
      <c r="J380" s="37"/>
      <c r="K380" s="64"/>
      <c r="L380" s="64"/>
      <c r="M380" s="64"/>
      <c r="N380" s="35"/>
      <c r="O380" s="35"/>
      <c r="P380" s="35"/>
      <c r="Q380" s="55"/>
      <c r="R380" s="55"/>
      <c r="S380" s="74"/>
      <c r="T380" s="64"/>
      <c r="U380" s="59"/>
      <c r="V380" s="76" t="s">
        <v>1117</v>
      </c>
      <c r="W380" s="83">
        <v>377</v>
      </c>
      <c r="X380" s="76">
        <v>33080202401</v>
      </c>
      <c r="Y380" s="77" t="s">
        <v>1118</v>
      </c>
      <c r="Z380" s="77"/>
      <c r="AA380" s="77"/>
      <c r="AB380" s="77" t="s">
        <v>54</v>
      </c>
      <c r="AC380" s="77" t="s">
        <v>40</v>
      </c>
      <c r="AD380" s="88">
        <v>8580</v>
      </c>
      <c r="AE380" s="88">
        <v>7720</v>
      </c>
      <c r="AF380" s="88">
        <v>6560</v>
      </c>
    </row>
    <row r="381" s="44" customFormat="1" ht="38" customHeight="1" spans="1:32">
      <c r="A381" s="55">
        <v>93</v>
      </c>
      <c r="B381" s="55" t="s">
        <v>1505</v>
      </c>
      <c r="C381" s="55" t="s">
        <v>1506</v>
      </c>
      <c r="D381" s="55" t="s">
        <v>350</v>
      </c>
      <c r="E381" s="59" t="s">
        <v>1507</v>
      </c>
      <c r="F381" s="59" t="s">
        <v>1435</v>
      </c>
      <c r="G381" s="55" t="s">
        <v>54</v>
      </c>
      <c r="H381" s="59" t="s">
        <v>40</v>
      </c>
      <c r="I381" s="30">
        <v>6360</v>
      </c>
      <c r="J381" s="30">
        <v>5724</v>
      </c>
      <c r="K381" s="64">
        <v>5528.75</v>
      </c>
      <c r="L381" s="64"/>
      <c r="M381" s="64"/>
      <c r="N381" s="68">
        <v>5800</v>
      </c>
      <c r="O381" s="35">
        <v>5200</v>
      </c>
      <c r="P381" s="35">
        <v>4400</v>
      </c>
      <c r="Q381" s="55" t="s">
        <v>41</v>
      </c>
      <c r="R381" s="55" t="s">
        <v>40</v>
      </c>
      <c r="S381" s="74" t="s">
        <v>40</v>
      </c>
      <c r="T381" s="64" t="s">
        <v>994</v>
      </c>
      <c r="U381" s="59" t="s">
        <v>1508</v>
      </c>
      <c r="V381" s="76" t="s">
        <v>1509</v>
      </c>
      <c r="W381" s="83">
        <v>378</v>
      </c>
      <c r="X381" s="76">
        <v>330801005</v>
      </c>
      <c r="Y381" s="77" t="s">
        <v>1510</v>
      </c>
      <c r="Z381" s="77"/>
      <c r="AA381" s="77"/>
      <c r="AB381" s="77" t="s">
        <v>54</v>
      </c>
      <c r="AC381" s="77" t="s">
        <v>1511</v>
      </c>
      <c r="AD381" s="88">
        <v>5060</v>
      </c>
      <c r="AE381" s="88">
        <v>4550</v>
      </c>
      <c r="AF381" s="88">
        <v>3870</v>
      </c>
    </row>
    <row r="382" s="44" customFormat="1" ht="38" customHeight="1" spans="1:32">
      <c r="A382" s="55"/>
      <c r="B382" s="55"/>
      <c r="C382" s="55"/>
      <c r="D382" s="55"/>
      <c r="E382" s="59"/>
      <c r="F382" s="59"/>
      <c r="G382" s="55"/>
      <c r="H382" s="59"/>
      <c r="I382" s="37"/>
      <c r="J382" s="37"/>
      <c r="K382" s="64"/>
      <c r="L382" s="64"/>
      <c r="M382" s="64"/>
      <c r="N382" s="68"/>
      <c r="O382" s="35"/>
      <c r="P382" s="35"/>
      <c r="Q382" s="55"/>
      <c r="R382" s="55"/>
      <c r="S382" s="74"/>
      <c r="T382" s="64"/>
      <c r="U382" s="59"/>
      <c r="V382" s="76" t="s">
        <v>1512</v>
      </c>
      <c r="W382" s="83">
        <v>379</v>
      </c>
      <c r="X382" s="76">
        <v>33080100502</v>
      </c>
      <c r="Y382" s="77" t="s">
        <v>1513</v>
      </c>
      <c r="Z382" s="77"/>
      <c r="AA382" s="77"/>
      <c r="AB382" s="77" t="s">
        <v>54</v>
      </c>
      <c r="AC382" s="77" t="s">
        <v>40</v>
      </c>
      <c r="AD382" s="88">
        <v>5685</v>
      </c>
      <c r="AE382" s="88">
        <v>5150</v>
      </c>
      <c r="AF382" s="88">
        <v>4380</v>
      </c>
    </row>
    <row r="383" s="44" customFormat="1" ht="38" customHeight="1" spans="1:32">
      <c r="A383" s="55" t="s">
        <v>55</v>
      </c>
      <c r="B383" s="55" t="s">
        <v>1514</v>
      </c>
      <c r="C383" s="55" t="s">
        <v>1515</v>
      </c>
      <c r="D383" s="55" t="s">
        <v>350</v>
      </c>
      <c r="E383" s="59" t="s">
        <v>40</v>
      </c>
      <c r="F383" s="59" t="s">
        <v>40</v>
      </c>
      <c r="G383" s="55" t="s">
        <v>54</v>
      </c>
      <c r="H383" s="59" t="s">
        <v>40</v>
      </c>
      <c r="I383" s="30">
        <v>1908</v>
      </c>
      <c r="J383" s="30">
        <v>1717</v>
      </c>
      <c r="K383" s="64"/>
      <c r="L383" s="64"/>
      <c r="M383" s="64"/>
      <c r="N383" s="35">
        <v>1740</v>
      </c>
      <c r="O383" s="35">
        <v>1560</v>
      </c>
      <c r="P383" s="35">
        <v>1320</v>
      </c>
      <c r="Q383" s="55" t="s">
        <v>41</v>
      </c>
      <c r="R383" s="55" t="s">
        <v>40</v>
      </c>
      <c r="S383" s="74" t="s">
        <v>40</v>
      </c>
      <c r="T383" s="64"/>
      <c r="U383" s="59" t="s">
        <v>305</v>
      </c>
      <c r="V383" s="76" t="s">
        <v>1516</v>
      </c>
      <c r="W383" s="83">
        <v>380</v>
      </c>
      <c r="X383" s="76">
        <v>33080100501</v>
      </c>
      <c r="Y383" s="77" t="s">
        <v>1517</v>
      </c>
      <c r="Z383" s="77"/>
      <c r="AA383" s="77"/>
      <c r="AB383" s="77" t="s">
        <v>54</v>
      </c>
      <c r="AC383" s="77" t="s">
        <v>40</v>
      </c>
      <c r="AD383" s="88">
        <v>6580</v>
      </c>
      <c r="AE383" s="88">
        <v>5915</v>
      </c>
      <c r="AF383" s="88">
        <v>5030</v>
      </c>
    </row>
    <row r="384" s="44" customFormat="1" ht="38" customHeight="1" spans="1:32">
      <c r="A384" s="55"/>
      <c r="B384" s="55"/>
      <c r="C384" s="55"/>
      <c r="D384" s="55"/>
      <c r="E384" s="59"/>
      <c r="F384" s="59"/>
      <c r="G384" s="55"/>
      <c r="H384" s="59"/>
      <c r="I384" s="37"/>
      <c r="J384" s="37"/>
      <c r="K384" s="64"/>
      <c r="L384" s="64"/>
      <c r="M384" s="64"/>
      <c r="N384" s="35"/>
      <c r="O384" s="35"/>
      <c r="P384" s="35"/>
      <c r="Q384" s="55"/>
      <c r="R384" s="55"/>
      <c r="S384" s="74"/>
      <c r="T384" s="64"/>
      <c r="U384" s="59"/>
      <c r="V384" s="76" t="s">
        <v>1518</v>
      </c>
      <c r="W384" s="83">
        <v>381</v>
      </c>
      <c r="X384" s="76">
        <v>33080100503</v>
      </c>
      <c r="Y384" s="77" t="s">
        <v>1519</v>
      </c>
      <c r="Z384" s="77"/>
      <c r="AA384" s="77"/>
      <c r="AB384" s="77" t="s">
        <v>54</v>
      </c>
      <c r="AC384" s="77" t="s">
        <v>40</v>
      </c>
      <c r="AD384" s="88">
        <v>7205</v>
      </c>
      <c r="AE384" s="88">
        <v>6515</v>
      </c>
      <c r="AF384" s="88">
        <v>5540</v>
      </c>
    </row>
    <row r="385" s="44" customFormat="1" ht="54" customHeight="1" spans="1:32">
      <c r="A385" s="55">
        <v>94</v>
      </c>
      <c r="B385" s="55" t="s">
        <v>1520</v>
      </c>
      <c r="C385" s="55" t="s">
        <v>1521</v>
      </c>
      <c r="D385" s="55" t="s">
        <v>350</v>
      </c>
      <c r="E385" s="59" t="s">
        <v>1522</v>
      </c>
      <c r="F385" s="59" t="s">
        <v>1435</v>
      </c>
      <c r="G385" s="55" t="s">
        <v>54</v>
      </c>
      <c r="H385" s="59" t="s">
        <v>40</v>
      </c>
      <c r="I385" s="30">
        <v>4860</v>
      </c>
      <c r="J385" s="30">
        <v>4374</v>
      </c>
      <c r="K385" s="64">
        <v>4220</v>
      </c>
      <c r="L385" s="64">
        <v>3800</v>
      </c>
      <c r="M385" s="64">
        <v>3230</v>
      </c>
      <c r="N385" s="68">
        <v>4400</v>
      </c>
      <c r="O385" s="68">
        <v>3950</v>
      </c>
      <c r="P385" s="68">
        <v>3350</v>
      </c>
      <c r="Q385" s="55" t="s">
        <v>41</v>
      </c>
      <c r="R385" s="55" t="s">
        <v>40</v>
      </c>
      <c r="S385" s="74" t="s">
        <v>40</v>
      </c>
      <c r="T385" s="64" t="s">
        <v>994</v>
      </c>
      <c r="U385" s="110" t="s">
        <v>1523</v>
      </c>
      <c r="V385" s="76" t="s">
        <v>1524</v>
      </c>
      <c r="W385" s="83">
        <v>382</v>
      </c>
      <c r="X385" s="76">
        <v>330801011</v>
      </c>
      <c r="Y385" s="77" t="s">
        <v>1525</v>
      </c>
      <c r="Z385" s="77"/>
      <c r="AA385" s="77"/>
      <c r="AB385" s="77" t="s">
        <v>54</v>
      </c>
      <c r="AC385" s="77" t="s">
        <v>1526</v>
      </c>
      <c r="AD385" s="88">
        <v>4220</v>
      </c>
      <c r="AE385" s="88">
        <v>3800</v>
      </c>
      <c r="AF385" s="88">
        <v>3230</v>
      </c>
    </row>
    <row r="386" s="44" customFormat="1" ht="38" customHeight="1" spans="1:32">
      <c r="A386" s="55" t="s">
        <v>55</v>
      </c>
      <c r="B386" s="55" t="s">
        <v>1527</v>
      </c>
      <c r="C386" s="55" t="s">
        <v>1528</v>
      </c>
      <c r="D386" s="55" t="s">
        <v>350</v>
      </c>
      <c r="E386" s="59" t="s">
        <v>40</v>
      </c>
      <c r="F386" s="59" t="s">
        <v>40</v>
      </c>
      <c r="G386" s="55" t="s">
        <v>54</v>
      </c>
      <c r="H386" s="59" t="s">
        <v>40</v>
      </c>
      <c r="I386" s="30">
        <v>1458</v>
      </c>
      <c r="J386" s="30">
        <v>1312</v>
      </c>
      <c r="K386" s="64"/>
      <c r="L386" s="64"/>
      <c r="M386" s="64"/>
      <c r="N386" s="35">
        <v>1320</v>
      </c>
      <c r="O386" s="35">
        <v>1185</v>
      </c>
      <c r="P386" s="35">
        <v>1005</v>
      </c>
      <c r="Q386" s="55" t="s">
        <v>41</v>
      </c>
      <c r="R386" s="55" t="s">
        <v>40</v>
      </c>
      <c r="S386" s="74" t="s">
        <v>40</v>
      </c>
      <c r="T386" s="64"/>
      <c r="U386" s="110" t="s">
        <v>305</v>
      </c>
      <c r="V386" s="76" t="s">
        <v>1529</v>
      </c>
      <c r="W386" s="83">
        <v>383</v>
      </c>
      <c r="X386" s="76">
        <v>33080101101</v>
      </c>
      <c r="Y386" s="77" t="s">
        <v>1530</v>
      </c>
      <c r="Z386" s="77"/>
      <c r="AA386" s="77"/>
      <c r="AB386" s="77" t="s">
        <v>54</v>
      </c>
      <c r="AC386" s="77" t="s">
        <v>40</v>
      </c>
      <c r="AD386" s="88">
        <v>5485</v>
      </c>
      <c r="AE386" s="88">
        <v>4940</v>
      </c>
      <c r="AF386" s="88">
        <v>4200</v>
      </c>
    </row>
    <row r="387" s="44" customFormat="1" ht="63" customHeight="1" spans="1:32">
      <c r="A387" s="55">
        <v>95</v>
      </c>
      <c r="B387" s="55" t="s">
        <v>1531</v>
      </c>
      <c r="C387" s="55" t="s">
        <v>1532</v>
      </c>
      <c r="D387" s="55" t="s">
        <v>350</v>
      </c>
      <c r="E387" s="59" t="s">
        <v>1533</v>
      </c>
      <c r="F387" s="59" t="s">
        <v>1534</v>
      </c>
      <c r="G387" s="55" t="s">
        <v>54</v>
      </c>
      <c r="H387" s="59" t="s">
        <v>40</v>
      </c>
      <c r="I387" s="30">
        <v>6000</v>
      </c>
      <c r="J387" s="30">
        <v>5400</v>
      </c>
      <c r="K387" s="64">
        <v>5160</v>
      </c>
      <c r="L387" s="64">
        <v>4640</v>
      </c>
      <c r="M387" s="64">
        <v>3940</v>
      </c>
      <c r="N387" s="68">
        <v>5400</v>
      </c>
      <c r="O387" s="68">
        <v>4850</v>
      </c>
      <c r="P387" s="68">
        <v>4100</v>
      </c>
      <c r="Q387" s="55" t="s">
        <v>41</v>
      </c>
      <c r="R387" s="55" t="s">
        <v>40</v>
      </c>
      <c r="S387" s="74" t="s">
        <v>40</v>
      </c>
      <c r="T387" s="64" t="s">
        <v>994</v>
      </c>
      <c r="U387" s="110" t="s">
        <v>1535</v>
      </c>
      <c r="V387" s="76" t="s">
        <v>1536</v>
      </c>
      <c r="W387" s="83">
        <v>384</v>
      </c>
      <c r="X387" s="76">
        <v>330802001</v>
      </c>
      <c r="Y387" s="77" t="s">
        <v>1537</v>
      </c>
      <c r="Z387" s="77" t="s">
        <v>1538</v>
      </c>
      <c r="AA387" s="77"/>
      <c r="AB387" s="77" t="s">
        <v>54</v>
      </c>
      <c r="AC387" s="77" t="s">
        <v>40</v>
      </c>
      <c r="AD387" s="88">
        <v>5160</v>
      </c>
      <c r="AE387" s="88">
        <v>4640</v>
      </c>
      <c r="AF387" s="88">
        <v>3940</v>
      </c>
    </row>
    <row r="388" s="44" customFormat="1" ht="38" customHeight="1" spans="1:32">
      <c r="A388" s="55" t="s">
        <v>55</v>
      </c>
      <c r="B388" s="55" t="s">
        <v>1539</v>
      </c>
      <c r="C388" s="55" t="s">
        <v>1540</v>
      </c>
      <c r="D388" s="55" t="s">
        <v>350</v>
      </c>
      <c r="E388" s="59" t="s">
        <v>40</v>
      </c>
      <c r="F388" s="59" t="s">
        <v>40</v>
      </c>
      <c r="G388" s="55" t="s">
        <v>54</v>
      </c>
      <c r="H388" s="59" t="s">
        <v>40</v>
      </c>
      <c r="I388" s="30">
        <v>1800</v>
      </c>
      <c r="J388" s="30">
        <v>1620</v>
      </c>
      <c r="K388" s="64"/>
      <c r="L388" s="64"/>
      <c r="M388" s="64"/>
      <c r="N388" s="35">
        <v>1620</v>
      </c>
      <c r="O388" s="35">
        <v>1455</v>
      </c>
      <c r="P388" s="35">
        <v>1230</v>
      </c>
      <c r="Q388" s="55" t="s">
        <v>41</v>
      </c>
      <c r="R388" s="55" t="s">
        <v>40</v>
      </c>
      <c r="S388" s="74" t="s">
        <v>40</v>
      </c>
      <c r="T388" s="64"/>
      <c r="U388" s="110" t="s">
        <v>305</v>
      </c>
      <c r="V388" s="76" t="s">
        <v>1541</v>
      </c>
      <c r="W388" s="83">
        <v>385</v>
      </c>
      <c r="X388" s="76">
        <v>33080200101</v>
      </c>
      <c r="Y388" s="77" t="s">
        <v>1542</v>
      </c>
      <c r="Z388" s="77"/>
      <c r="AA388" s="77"/>
      <c r="AB388" s="77" t="s">
        <v>54</v>
      </c>
      <c r="AC388" s="77" t="s">
        <v>40</v>
      </c>
      <c r="AD388" s="88">
        <v>6710</v>
      </c>
      <c r="AE388" s="88">
        <v>6030</v>
      </c>
      <c r="AF388" s="88">
        <v>5125</v>
      </c>
    </row>
    <row r="389" s="44" customFormat="1" ht="62" customHeight="1" spans="1:32">
      <c r="A389" s="55">
        <v>96</v>
      </c>
      <c r="B389" s="55" t="s">
        <v>1543</v>
      </c>
      <c r="C389" s="55" t="s">
        <v>1544</v>
      </c>
      <c r="D389" s="55" t="s">
        <v>350</v>
      </c>
      <c r="E389" s="59" t="s">
        <v>1545</v>
      </c>
      <c r="F389" s="59" t="s">
        <v>1546</v>
      </c>
      <c r="G389" s="55" t="s">
        <v>54</v>
      </c>
      <c r="H389" s="59" t="s">
        <v>40</v>
      </c>
      <c r="I389" s="30">
        <v>6720</v>
      </c>
      <c r="J389" s="30">
        <v>6048</v>
      </c>
      <c r="K389" s="64">
        <v>5780</v>
      </c>
      <c r="L389" s="64">
        <v>5200</v>
      </c>
      <c r="M389" s="64">
        <v>4420</v>
      </c>
      <c r="N389" s="68">
        <v>6000</v>
      </c>
      <c r="O389" s="68">
        <v>5400</v>
      </c>
      <c r="P389" s="68">
        <v>4600</v>
      </c>
      <c r="Q389" s="112" t="s">
        <v>41</v>
      </c>
      <c r="R389" s="112" t="s">
        <v>40</v>
      </c>
      <c r="S389" s="113" t="s">
        <v>40</v>
      </c>
      <c r="T389" s="64" t="s">
        <v>994</v>
      </c>
      <c r="U389" s="110" t="s">
        <v>1535</v>
      </c>
      <c r="V389" s="76" t="s">
        <v>1547</v>
      </c>
      <c r="W389" s="83">
        <v>386</v>
      </c>
      <c r="X389" s="76">
        <v>330802002</v>
      </c>
      <c r="Y389" s="77" t="s">
        <v>1548</v>
      </c>
      <c r="Z389" s="77"/>
      <c r="AA389" s="77"/>
      <c r="AB389" s="77" t="s">
        <v>54</v>
      </c>
      <c r="AC389" s="77" t="s">
        <v>40</v>
      </c>
      <c r="AD389" s="88">
        <v>5780</v>
      </c>
      <c r="AE389" s="88">
        <v>5200</v>
      </c>
      <c r="AF389" s="88">
        <v>4420</v>
      </c>
    </row>
    <row r="390" s="44" customFormat="1" ht="38" customHeight="1" spans="1:32">
      <c r="A390" s="55" t="s">
        <v>55</v>
      </c>
      <c r="B390" s="55" t="s">
        <v>1549</v>
      </c>
      <c r="C390" s="55" t="s">
        <v>1550</v>
      </c>
      <c r="D390" s="55" t="s">
        <v>350</v>
      </c>
      <c r="E390" s="59" t="s">
        <v>40</v>
      </c>
      <c r="F390" s="59" t="s">
        <v>40</v>
      </c>
      <c r="G390" s="55" t="s">
        <v>54</v>
      </c>
      <c r="H390" s="59" t="s">
        <v>40</v>
      </c>
      <c r="I390" s="30">
        <v>2016</v>
      </c>
      <c r="J390" s="30">
        <v>1814</v>
      </c>
      <c r="K390" s="64"/>
      <c r="L390" s="64"/>
      <c r="M390" s="64"/>
      <c r="N390" s="35">
        <v>1800</v>
      </c>
      <c r="O390" s="35">
        <v>1620</v>
      </c>
      <c r="P390" s="35">
        <v>1380</v>
      </c>
      <c r="Q390" s="35" t="e">
        <f>Q389*0.3</f>
        <v>#VALUE!</v>
      </c>
      <c r="R390" s="35" t="e">
        <f>R389*0.3</f>
        <v>#VALUE!</v>
      </c>
      <c r="S390" s="35" t="e">
        <f>S389*0.3</f>
        <v>#VALUE!</v>
      </c>
      <c r="T390" s="64"/>
      <c r="U390" s="110" t="s">
        <v>305</v>
      </c>
      <c r="V390" s="76" t="s">
        <v>1551</v>
      </c>
      <c r="W390" s="83">
        <v>387</v>
      </c>
      <c r="X390" s="76">
        <v>33080200201</v>
      </c>
      <c r="Y390" s="77" t="s">
        <v>1552</v>
      </c>
      <c r="Z390" s="77"/>
      <c r="AA390" s="77"/>
      <c r="AB390" s="77" t="s">
        <v>54</v>
      </c>
      <c r="AC390" s="77" t="s">
        <v>40</v>
      </c>
      <c r="AD390" s="88">
        <v>7515</v>
      </c>
      <c r="AE390" s="88">
        <v>6760</v>
      </c>
      <c r="AF390" s="88">
        <v>5745</v>
      </c>
    </row>
    <row r="391" s="44" customFormat="1" ht="66" customHeight="1" spans="1:32">
      <c r="A391" s="55">
        <v>97</v>
      </c>
      <c r="B391" s="55" t="s">
        <v>1553</v>
      </c>
      <c r="C391" s="55" t="s">
        <v>1554</v>
      </c>
      <c r="D391" s="55" t="s">
        <v>350</v>
      </c>
      <c r="E391" s="59" t="s">
        <v>1555</v>
      </c>
      <c r="F391" s="59" t="s">
        <v>1556</v>
      </c>
      <c r="G391" s="55" t="s">
        <v>54</v>
      </c>
      <c r="H391" s="59" t="s">
        <v>40</v>
      </c>
      <c r="I391" s="30">
        <v>7230</v>
      </c>
      <c r="J391" s="30">
        <v>6507</v>
      </c>
      <c r="K391" s="64">
        <v>6840</v>
      </c>
      <c r="L391" s="64">
        <v>6155</v>
      </c>
      <c r="M391" s="64">
        <v>4920</v>
      </c>
      <c r="N391" s="35">
        <v>6840</v>
      </c>
      <c r="O391" s="35">
        <v>6155</v>
      </c>
      <c r="P391" s="68">
        <v>5230</v>
      </c>
      <c r="Q391" s="55" t="s">
        <v>41</v>
      </c>
      <c r="R391" s="55" t="s">
        <v>40</v>
      </c>
      <c r="S391" s="74" t="s">
        <v>40</v>
      </c>
      <c r="T391" s="64" t="s">
        <v>183</v>
      </c>
      <c r="U391" s="110" t="s">
        <v>973</v>
      </c>
      <c r="V391" s="76" t="s">
        <v>1557</v>
      </c>
      <c r="W391" s="83">
        <v>388</v>
      </c>
      <c r="X391" s="76">
        <v>330802023</v>
      </c>
      <c r="Y391" s="77" t="s">
        <v>1558</v>
      </c>
      <c r="Z391" s="77" t="s">
        <v>1559</v>
      </c>
      <c r="AA391" s="77"/>
      <c r="AB391" s="77" t="s">
        <v>54</v>
      </c>
      <c r="AC391" s="77" t="s">
        <v>40</v>
      </c>
      <c r="AD391" s="88">
        <v>6840</v>
      </c>
      <c r="AE391" s="88">
        <v>6155</v>
      </c>
      <c r="AF391" s="88">
        <v>4920</v>
      </c>
    </row>
    <row r="392" s="44" customFormat="1" ht="38" customHeight="1" spans="1:32">
      <c r="A392" s="55" t="s">
        <v>55</v>
      </c>
      <c r="B392" s="55" t="s">
        <v>1560</v>
      </c>
      <c r="C392" s="55" t="s">
        <v>1561</v>
      </c>
      <c r="D392" s="55" t="s">
        <v>350</v>
      </c>
      <c r="E392" s="59" t="s">
        <v>40</v>
      </c>
      <c r="F392" s="59" t="s">
        <v>40</v>
      </c>
      <c r="G392" s="55" t="s">
        <v>54</v>
      </c>
      <c r="H392" s="59" t="s">
        <v>40</v>
      </c>
      <c r="I392" s="30">
        <v>2169</v>
      </c>
      <c r="J392" s="30">
        <v>1952</v>
      </c>
      <c r="K392" s="64"/>
      <c r="L392" s="64"/>
      <c r="M392" s="64"/>
      <c r="N392" s="35">
        <v>2050</v>
      </c>
      <c r="O392" s="35">
        <v>1845</v>
      </c>
      <c r="P392" s="35">
        <v>1570</v>
      </c>
      <c r="Q392" s="35" t="e">
        <f>Q391*0.3</f>
        <v>#VALUE!</v>
      </c>
      <c r="R392" s="35" t="e">
        <f>R391*0.3</f>
        <v>#VALUE!</v>
      </c>
      <c r="S392" s="35" t="e">
        <f>S391*0.3</f>
        <v>#VALUE!</v>
      </c>
      <c r="T392" s="64"/>
      <c r="U392" s="110" t="s">
        <v>305</v>
      </c>
      <c r="V392" s="76" t="s">
        <v>1562</v>
      </c>
      <c r="W392" s="83">
        <v>389</v>
      </c>
      <c r="X392" s="76">
        <v>33080202301</v>
      </c>
      <c r="Y392" s="77" t="s">
        <v>1563</v>
      </c>
      <c r="Z392" s="77"/>
      <c r="AA392" s="77"/>
      <c r="AB392" s="77" t="s">
        <v>54</v>
      </c>
      <c r="AC392" s="77" t="s">
        <v>40</v>
      </c>
      <c r="AD392" s="88">
        <v>8890</v>
      </c>
      <c r="AE392" s="88">
        <v>8000</v>
      </c>
      <c r="AF392" s="88">
        <v>6395</v>
      </c>
    </row>
    <row r="393" s="44" customFormat="1" ht="38" customHeight="1" spans="1:32">
      <c r="A393" s="55" t="s">
        <v>55</v>
      </c>
      <c r="B393" s="55" t="s">
        <v>1564</v>
      </c>
      <c r="C393" s="55" t="s">
        <v>1565</v>
      </c>
      <c r="D393" s="55" t="s">
        <v>350</v>
      </c>
      <c r="E393" s="59" t="s">
        <v>40</v>
      </c>
      <c r="F393" s="59" t="s">
        <v>40</v>
      </c>
      <c r="G393" s="55" t="s">
        <v>54</v>
      </c>
      <c r="H393" s="59"/>
      <c r="I393" s="30">
        <v>4080</v>
      </c>
      <c r="J393" s="30">
        <v>3672</v>
      </c>
      <c r="K393" s="64"/>
      <c r="L393" s="64"/>
      <c r="M393" s="64"/>
      <c r="N393" s="35">
        <v>3860</v>
      </c>
      <c r="O393" s="35">
        <v>3475</v>
      </c>
      <c r="P393" s="35">
        <v>2950</v>
      </c>
      <c r="Q393" s="55" t="s">
        <v>41</v>
      </c>
      <c r="R393" s="55" t="s">
        <v>40</v>
      </c>
      <c r="S393" s="74" t="s">
        <v>40</v>
      </c>
      <c r="T393" s="64"/>
      <c r="U393" s="59" t="s">
        <v>1566</v>
      </c>
      <c r="V393" s="76" t="s">
        <v>1567</v>
      </c>
      <c r="W393" s="83">
        <v>390</v>
      </c>
      <c r="X393" s="76">
        <v>330802031</v>
      </c>
      <c r="Y393" s="77" t="s">
        <v>1568</v>
      </c>
      <c r="Z393" s="77" t="s">
        <v>1569</v>
      </c>
      <c r="AA393" s="77"/>
      <c r="AB393" s="77" t="s">
        <v>54</v>
      </c>
      <c r="AC393" s="77" t="s">
        <v>40</v>
      </c>
      <c r="AD393" s="88">
        <v>9690</v>
      </c>
      <c r="AE393" s="88">
        <v>8720</v>
      </c>
      <c r="AF393" s="88">
        <v>7410</v>
      </c>
    </row>
    <row r="394" s="44" customFormat="1" ht="38" customHeight="1" spans="1:32">
      <c r="A394" s="55"/>
      <c r="B394" s="55"/>
      <c r="C394" s="55"/>
      <c r="D394" s="55"/>
      <c r="E394" s="59"/>
      <c r="F394" s="59"/>
      <c r="G394" s="55"/>
      <c r="H394" s="59"/>
      <c r="I394" s="37"/>
      <c r="J394" s="37"/>
      <c r="K394" s="64"/>
      <c r="L394" s="64"/>
      <c r="M394" s="64"/>
      <c r="N394" s="35"/>
      <c r="O394" s="35"/>
      <c r="P394" s="35"/>
      <c r="Q394" s="55"/>
      <c r="R394" s="55"/>
      <c r="S394" s="74"/>
      <c r="T394" s="64"/>
      <c r="U394" s="59"/>
      <c r="V394" s="76" t="s">
        <v>1570</v>
      </c>
      <c r="W394" s="83">
        <v>391</v>
      </c>
      <c r="X394" s="76">
        <v>33080203101</v>
      </c>
      <c r="Y394" s="77" t="s">
        <v>1571</v>
      </c>
      <c r="Z394" s="77"/>
      <c r="AA394" s="77"/>
      <c r="AB394" s="77" t="s">
        <v>54</v>
      </c>
      <c r="AC394" s="77" t="s">
        <v>40</v>
      </c>
      <c r="AD394" s="88">
        <v>12595</v>
      </c>
      <c r="AE394" s="88">
        <v>11335</v>
      </c>
      <c r="AF394" s="88">
        <v>9635</v>
      </c>
    </row>
    <row r="395" s="44" customFormat="1" ht="51" customHeight="1" spans="1:32">
      <c r="A395" s="55">
        <v>98</v>
      </c>
      <c r="B395" s="55" t="s">
        <v>1572</v>
      </c>
      <c r="C395" s="55" t="s">
        <v>1573</v>
      </c>
      <c r="D395" s="55" t="s">
        <v>350</v>
      </c>
      <c r="E395" s="59" t="s">
        <v>1574</v>
      </c>
      <c r="F395" s="59" t="s">
        <v>1575</v>
      </c>
      <c r="G395" s="55" t="s">
        <v>54</v>
      </c>
      <c r="H395" s="59" t="s">
        <v>40</v>
      </c>
      <c r="I395" s="30">
        <v>10080</v>
      </c>
      <c r="J395" s="30">
        <v>9072</v>
      </c>
      <c r="K395" s="64">
        <v>8660</v>
      </c>
      <c r="L395" s="64">
        <v>7790</v>
      </c>
      <c r="M395" s="64">
        <v>6620</v>
      </c>
      <c r="N395" s="68">
        <v>9100</v>
      </c>
      <c r="O395" s="68">
        <v>8200</v>
      </c>
      <c r="P395" s="68">
        <v>7000</v>
      </c>
      <c r="Q395" s="112" t="s">
        <v>41</v>
      </c>
      <c r="R395" s="112" t="s">
        <v>40</v>
      </c>
      <c r="S395" s="113" t="s">
        <v>40</v>
      </c>
      <c r="T395" s="64" t="s">
        <v>994</v>
      </c>
      <c r="U395" s="110" t="s">
        <v>1535</v>
      </c>
      <c r="V395" s="76" t="s">
        <v>1576</v>
      </c>
      <c r="W395" s="83">
        <v>392</v>
      </c>
      <c r="X395" s="76">
        <v>330802035</v>
      </c>
      <c r="Y395" s="77" t="s">
        <v>1577</v>
      </c>
      <c r="Z395" s="77" t="s">
        <v>1578</v>
      </c>
      <c r="AA395" s="77"/>
      <c r="AB395" s="77" t="s">
        <v>54</v>
      </c>
      <c r="AC395" s="77" t="s">
        <v>40</v>
      </c>
      <c r="AD395" s="88">
        <v>8660</v>
      </c>
      <c r="AE395" s="88">
        <v>7790</v>
      </c>
      <c r="AF395" s="88">
        <v>6620</v>
      </c>
    </row>
    <row r="396" s="44" customFormat="1" ht="51" customHeight="1" spans="1:32">
      <c r="A396" s="55" t="s">
        <v>55</v>
      </c>
      <c r="B396" s="55" t="s">
        <v>1579</v>
      </c>
      <c r="C396" s="55" t="s">
        <v>1580</v>
      </c>
      <c r="D396" s="55" t="s">
        <v>350</v>
      </c>
      <c r="E396" s="59" t="s">
        <v>40</v>
      </c>
      <c r="F396" s="59" t="s">
        <v>40</v>
      </c>
      <c r="G396" s="55" t="s">
        <v>54</v>
      </c>
      <c r="H396" s="59" t="s">
        <v>40</v>
      </c>
      <c r="I396" s="30">
        <v>3024</v>
      </c>
      <c r="J396" s="30">
        <v>2722</v>
      </c>
      <c r="K396" s="64"/>
      <c r="L396" s="64"/>
      <c r="M396" s="64"/>
      <c r="N396" s="35">
        <v>2730</v>
      </c>
      <c r="O396" s="35">
        <v>2460</v>
      </c>
      <c r="P396" s="35">
        <v>2100</v>
      </c>
      <c r="Q396" s="55" t="s">
        <v>41</v>
      </c>
      <c r="R396" s="55" t="s">
        <v>40</v>
      </c>
      <c r="S396" s="74" t="s">
        <v>40</v>
      </c>
      <c r="T396" s="64"/>
      <c r="U396" s="59" t="s">
        <v>305</v>
      </c>
      <c r="V396" s="76" t="s">
        <v>1581</v>
      </c>
      <c r="W396" s="83">
        <v>393</v>
      </c>
      <c r="X396" s="76">
        <v>33080203501</v>
      </c>
      <c r="Y396" s="77" t="s">
        <v>1582</v>
      </c>
      <c r="Z396" s="77"/>
      <c r="AA396" s="77"/>
      <c r="AB396" s="77" t="s">
        <v>54</v>
      </c>
      <c r="AC396" s="77" t="s">
        <v>40</v>
      </c>
      <c r="AD396" s="88">
        <v>11260</v>
      </c>
      <c r="AE396" s="88">
        <v>10125</v>
      </c>
      <c r="AF396" s="88">
        <v>8605</v>
      </c>
    </row>
    <row r="397" s="44" customFormat="1" ht="38" customHeight="1" spans="1:32">
      <c r="A397" s="55">
        <v>99</v>
      </c>
      <c r="B397" s="55" t="s">
        <v>1583</v>
      </c>
      <c r="C397" s="55" t="s">
        <v>1584</v>
      </c>
      <c r="D397" s="55" t="s">
        <v>350</v>
      </c>
      <c r="E397" s="59" t="s">
        <v>1585</v>
      </c>
      <c r="F397" s="59" t="s">
        <v>1586</v>
      </c>
      <c r="G397" s="55" t="s">
        <v>54</v>
      </c>
      <c r="H397" s="59" t="s">
        <v>40</v>
      </c>
      <c r="I397" s="30">
        <v>10080</v>
      </c>
      <c r="J397" s="30">
        <v>9072</v>
      </c>
      <c r="K397" s="63">
        <v>9387.74193548387</v>
      </c>
      <c r="L397" s="64"/>
      <c r="M397" s="64"/>
      <c r="N397" s="35">
        <v>9400</v>
      </c>
      <c r="O397" s="35">
        <v>8450</v>
      </c>
      <c r="P397" s="35">
        <v>7180</v>
      </c>
      <c r="Q397" s="55" t="s">
        <v>41</v>
      </c>
      <c r="R397" s="55" t="s">
        <v>40</v>
      </c>
      <c r="S397" s="74" t="s">
        <v>40</v>
      </c>
      <c r="T397" s="64" t="s">
        <v>42</v>
      </c>
      <c r="U397" s="59" t="s">
        <v>920</v>
      </c>
      <c r="V397" s="76" t="s">
        <v>1587</v>
      </c>
      <c r="W397" s="83">
        <v>394</v>
      </c>
      <c r="X397" s="76">
        <v>330802033</v>
      </c>
      <c r="Y397" s="77" t="s">
        <v>1588</v>
      </c>
      <c r="Z397" s="77" t="s">
        <v>1589</v>
      </c>
      <c r="AA397" s="77"/>
      <c r="AB397" s="77" t="s">
        <v>54</v>
      </c>
      <c r="AC397" s="77" t="s">
        <v>40</v>
      </c>
      <c r="AD397" s="88">
        <v>9600</v>
      </c>
      <c r="AE397" s="88">
        <v>8640</v>
      </c>
      <c r="AF397" s="88">
        <v>6900</v>
      </c>
    </row>
    <row r="398" s="44" customFormat="1" ht="38" customHeight="1" spans="1:32">
      <c r="A398" s="55"/>
      <c r="B398" s="55"/>
      <c r="C398" s="55"/>
      <c r="D398" s="55"/>
      <c r="E398" s="59"/>
      <c r="F398" s="59"/>
      <c r="G398" s="55"/>
      <c r="H398" s="59"/>
      <c r="I398" s="37"/>
      <c r="J398" s="37"/>
      <c r="K398" s="63"/>
      <c r="L398" s="64"/>
      <c r="M398" s="64"/>
      <c r="N398" s="35"/>
      <c r="O398" s="35"/>
      <c r="P398" s="35"/>
      <c r="Q398" s="55"/>
      <c r="R398" s="55"/>
      <c r="S398" s="74"/>
      <c r="T398" s="64"/>
      <c r="U398" s="59"/>
      <c r="V398" s="76" t="s">
        <v>1590</v>
      </c>
      <c r="W398" s="83">
        <v>395</v>
      </c>
      <c r="X398" s="76">
        <v>330802034</v>
      </c>
      <c r="Y398" s="77" t="s">
        <v>1591</v>
      </c>
      <c r="Z398" s="77" t="s">
        <v>1592</v>
      </c>
      <c r="AA398" s="77"/>
      <c r="AB398" s="77" t="s">
        <v>54</v>
      </c>
      <c r="AC398" s="77" t="s">
        <v>40</v>
      </c>
      <c r="AD398" s="88">
        <v>8660</v>
      </c>
      <c r="AE398" s="88">
        <v>7790</v>
      </c>
      <c r="AF398" s="88">
        <v>6620</v>
      </c>
    </row>
    <row r="399" s="44" customFormat="1" ht="29" customHeight="1" spans="1:32">
      <c r="A399" s="55" t="s">
        <v>55</v>
      </c>
      <c r="B399" s="55" t="s">
        <v>1593</v>
      </c>
      <c r="C399" s="55" t="s">
        <v>1594</v>
      </c>
      <c r="D399" s="55" t="s">
        <v>350</v>
      </c>
      <c r="E399" s="59" t="s">
        <v>40</v>
      </c>
      <c r="F399" s="59" t="s">
        <v>40</v>
      </c>
      <c r="G399" s="55" t="s">
        <v>54</v>
      </c>
      <c r="H399" s="59" t="s">
        <v>40</v>
      </c>
      <c r="I399" s="30">
        <v>3024</v>
      </c>
      <c r="J399" s="30">
        <v>2722</v>
      </c>
      <c r="K399" s="64"/>
      <c r="L399" s="64"/>
      <c r="M399" s="64"/>
      <c r="N399" s="35">
        <v>2820</v>
      </c>
      <c r="O399" s="35">
        <v>2535</v>
      </c>
      <c r="P399" s="35">
        <v>2155</v>
      </c>
      <c r="Q399" s="55" t="s">
        <v>41</v>
      </c>
      <c r="R399" s="55" t="s">
        <v>40</v>
      </c>
      <c r="S399" s="74" t="s">
        <v>40</v>
      </c>
      <c r="T399" s="64"/>
      <c r="U399" s="59"/>
      <c r="V399" s="76" t="s">
        <v>1595</v>
      </c>
      <c r="W399" s="83">
        <v>396</v>
      </c>
      <c r="X399" s="76">
        <v>33080203301</v>
      </c>
      <c r="Y399" s="77" t="s">
        <v>1596</v>
      </c>
      <c r="Z399" s="77"/>
      <c r="AA399" s="77"/>
      <c r="AB399" s="77" t="s">
        <v>54</v>
      </c>
      <c r="AC399" s="77" t="s">
        <v>40</v>
      </c>
      <c r="AD399" s="88">
        <v>12480</v>
      </c>
      <c r="AE399" s="88">
        <v>11230</v>
      </c>
      <c r="AF399" s="88">
        <v>8970</v>
      </c>
    </row>
    <row r="400" s="44" customFormat="1" ht="29" customHeight="1" spans="1:32">
      <c r="A400" s="55"/>
      <c r="B400" s="55"/>
      <c r="C400" s="55"/>
      <c r="D400" s="55"/>
      <c r="E400" s="59"/>
      <c r="F400" s="59"/>
      <c r="G400" s="55"/>
      <c r="H400" s="59"/>
      <c r="I400" s="37"/>
      <c r="J400" s="37"/>
      <c r="K400" s="64"/>
      <c r="L400" s="64"/>
      <c r="M400" s="64"/>
      <c r="N400" s="35"/>
      <c r="O400" s="35"/>
      <c r="P400" s="35"/>
      <c r="Q400" s="55"/>
      <c r="R400" s="55"/>
      <c r="S400" s="74"/>
      <c r="T400" s="64"/>
      <c r="U400" s="59"/>
      <c r="V400" s="76" t="s">
        <v>1597</v>
      </c>
      <c r="W400" s="83">
        <v>397</v>
      </c>
      <c r="X400" s="76">
        <v>33080203401</v>
      </c>
      <c r="Y400" s="77" t="s">
        <v>1598</v>
      </c>
      <c r="Z400" s="77"/>
      <c r="AA400" s="77"/>
      <c r="AB400" s="77" t="s">
        <v>54</v>
      </c>
      <c r="AC400" s="77" t="s">
        <v>40</v>
      </c>
      <c r="AD400" s="88">
        <v>11260</v>
      </c>
      <c r="AE400" s="88">
        <v>10125</v>
      </c>
      <c r="AF400" s="88">
        <v>8605</v>
      </c>
    </row>
    <row r="401" s="44" customFormat="1" ht="38" customHeight="1" spans="1:32">
      <c r="A401" s="55" t="s">
        <v>55</v>
      </c>
      <c r="B401" s="55" t="s">
        <v>1599</v>
      </c>
      <c r="C401" s="55" t="s">
        <v>1600</v>
      </c>
      <c r="D401" s="55" t="s">
        <v>350</v>
      </c>
      <c r="E401" s="59" t="s">
        <v>40</v>
      </c>
      <c r="F401" s="59" t="s">
        <v>40</v>
      </c>
      <c r="G401" s="55" t="s">
        <v>54</v>
      </c>
      <c r="H401" s="59"/>
      <c r="I401" s="30">
        <v>1814</v>
      </c>
      <c r="J401" s="30">
        <v>1633</v>
      </c>
      <c r="K401" s="64"/>
      <c r="L401" s="64"/>
      <c r="M401" s="64"/>
      <c r="N401" s="35">
        <v>1690</v>
      </c>
      <c r="O401" s="35">
        <v>1520</v>
      </c>
      <c r="P401" s="35">
        <v>1290</v>
      </c>
      <c r="Q401" s="55" t="s">
        <v>41</v>
      </c>
      <c r="R401" s="55" t="s">
        <v>40</v>
      </c>
      <c r="S401" s="74" t="s">
        <v>40</v>
      </c>
      <c r="T401" s="64"/>
      <c r="U401" s="59" t="s">
        <v>1601</v>
      </c>
      <c r="V401" s="76"/>
      <c r="W401" s="83">
        <v>398</v>
      </c>
      <c r="X401" s="76"/>
      <c r="Y401" s="77"/>
      <c r="Z401" s="77"/>
      <c r="AA401" s="77"/>
      <c r="AB401" s="77"/>
      <c r="AC401" s="77"/>
      <c r="AD401" s="88"/>
      <c r="AE401" s="88"/>
      <c r="AF401" s="88"/>
    </row>
    <row r="402" s="44" customFormat="1" ht="57" customHeight="1" spans="1:32">
      <c r="A402" s="55">
        <v>100</v>
      </c>
      <c r="B402" s="55" t="s">
        <v>1602</v>
      </c>
      <c r="C402" s="55" t="s">
        <v>1603</v>
      </c>
      <c r="D402" s="55" t="s">
        <v>350</v>
      </c>
      <c r="E402" s="59" t="s">
        <v>1604</v>
      </c>
      <c r="F402" s="59" t="s">
        <v>1035</v>
      </c>
      <c r="G402" s="55" t="s">
        <v>54</v>
      </c>
      <c r="H402" s="59" t="s">
        <v>40</v>
      </c>
      <c r="I402" s="30">
        <v>4800</v>
      </c>
      <c r="J402" s="30">
        <v>4320</v>
      </c>
      <c r="K402" s="64">
        <v>4220</v>
      </c>
      <c r="L402" s="64">
        <v>3800</v>
      </c>
      <c r="M402" s="64">
        <v>3230</v>
      </c>
      <c r="N402" s="68">
        <v>4350</v>
      </c>
      <c r="O402" s="68">
        <v>3900</v>
      </c>
      <c r="P402" s="68">
        <v>3310</v>
      </c>
      <c r="Q402" s="55" t="s">
        <v>41</v>
      </c>
      <c r="R402" s="55" t="s">
        <v>40</v>
      </c>
      <c r="S402" s="74" t="s">
        <v>40</v>
      </c>
      <c r="T402" s="64" t="s">
        <v>994</v>
      </c>
      <c r="U402" s="110" t="s">
        <v>1535</v>
      </c>
      <c r="V402" s="76" t="s">
        <v>1605</v>
      </c>
      <c r="W402" s="83">
        <v>399</v>
      </c>
      <c r="X402" s="76">
        <v>330802032</v>
      </c>
      <c r="Y402" s="77" t="s">
        <v>1606</v>
      </c>
      <c r="Z402" s="77" t="s">
        <v>1607</v>
      </c>
      <c r="AA402" s="77"/>
      <c r="AB402" s="77" t="s">
        <v>54</v>
      </c>
      <c r="AC402" s="77" t="s">
        <v>40</v>
      </c>
      <c r="AD402" s="88">
        <v>4220</v>
      </c>
      <c r="AE402" s="88">
        <v>3800</v>
      </c>
      <c r="AF402" s="88">
        <v>3230</v>
      </c>
    </row>
    <row r="403" s="44" customFormat="1" ht="38" customHeight="1" spans="1:32">
      <c r="A403" s="55" t="s">
        <v>55</v>
      </c>
      <c r="B403" s="55" t="s">
        <v>1608</v>
      </c>
      <c r="C403" s="55" t="s">
        <v>1609</v>
      </c>
      <c r="D403" s="55" t="s">
        <v>350</v>
      </c>
      <c r="E403" s="59" t="s">
        <v>40</v>
      </c>
      <c r="F403" s="59" t="s">
        <v>40</v>
      </c>
      <c r="G403" s="55" t="s">
        <v>54</v>
      </c>
      <c r="H403" s="59" t="s">
        <v>40</v>
      </c>
      <c r="I403" s="30">
        <v>1440</v>
      </c>
      <c r="J403" s="30">
        <v>1296</v>
      </c>
      <c r="K403" s="64"/>
      <c r="L403" s="64"/>
      <c r="M403" s="64"/>
      <c r="N403" s="35">
        <v>1305</v>
      </c>
      <c r="O403" s="35">
        <v>1170</v>
      </c>
      <c r="P403" s="35">
        <v>995</v>
      </c>
      <c r="Q403" s="55" t="s">
        <v>41</v>
      </c>
      <c r="R403" s="55" t="s">
        <v>40</v>
      </c>
      <c r="S403" s="74" t="s">
        <v>40</v>
      </c>
      <c r="T403" s="64"/>
      <c r="U403" s="110" t="s">
        <v>305</v>
      </c>
      <c r="V403" s="76" t="s">
        <v>1610</v>
      </c>
      <c r="W403" s="83">
        <v>400</v>
      </c>
      <c r="X403" s="76">
        <v>33080203201</v>
      </c>
      <c r="Y403" s="77" t="s">
        <v>1611</v>
      </c>
      <c r="Z403" s="77"/>
      <c r="AA403" s="77"/>
      <c r="AB403" s="77" t="s">
        <v>54</v>
      </c>
      <c r="AC403" s="77" t="s">
        <v>40</v>
      </c>
      <c r="AD403" s="88">
        <v>5485</v>
      </c>
      <c r="AE403" s="88">
        <v>4940</v>
      </c>
      <c r="AF403" s="88">
        <v>4200</v>
      </c>
    </row>
    <row r="404" s="44" customFormat="1" ht="38" customHeight="1" spans="1:32">
      <c r="A404" s="55">
        <v>101</v>
      </c>
      <c r="B404" s="55" t="s">
        <v>1612</v>
      </c>
      <c r="C404" s="55" t="s">
        <v>1613</v>
      </c>
      <c r="D404" s="55" t="s">
        <v>350</v>
      </c>
      <c r="E404" s="59" t="s">
        <v>1614</v>
      </c>
      <c r="F404" s="59" t="s">
        <v>1615</v>
      </c>
      <c r="G404" s="55" t="s">
        <v>54</v>
      </c>
      <c r="H404" s="59" t="s">
        <v>40</v>
      </c>
      <c r="I404" s="30">
        <v>11520</v>
      </c>
      <c r="J404" s="30">
        <v>10368</v>
      </c>
      <c r="K404" s="64">
        <v>9900</v>
      </c>
      <c r="L404" s="64"/>
      <c r="M404" s="64"/>
      <c r="N404" s="68">
        <v>10500</v>
      </c>
      <c r="O404" s="68">
        <v>9500</v>
      </c>
      <c r="P404" s="68">
        <v>8100</v>
      </c>
      <c r="Q404" s="55" t="s">
        <v>41</v>
      </c>
      <c r="R404" s="55" t="s">
        <v>40</v>
      </c>
      <c r="S404" s="74" t="s">
        <v>40</v>
      </c>
      <c r="T404" s="64" t="s">
        <v>994</v>
      </c>
      <c r="U404" s="59" t="s">
        <v>1111</v>
      </c>
      <c r="V404" s="76" t="s">
        <v>1616</v>
      </c>
      <c r="W404" s="83">
        <v>401</v>
      </c>
      <c r="X404" s="76">
        <v>330802025</v>
      </c>
      <c r="Y404" s="77" t="s">
        <v>1617</v>
      </c>
      <c r="Z404" s="77" t="s">
        <v>1618</v>
      </c>
      <c r="AA404" s="77"/>
      <c r="AB404" s="77" t="s">
        <v>54</v>
      </c>
      <c r="AC404" s="77" t="s">
        <v>40</v>
      </c>
      <c r="AD404" s="88">
        <v>9900</v>
      </c>
      <c r="AE404" s="88">
        <v>8910</v>
      </c>
      <c r="AF404" s="88">
        <v>7570</v>
      </c>
    </row>
    <row r="405" s="44" customFormat="1" ht="38" customHeight="1" spans="1:32">
      <c r="A405" s="55"/>
      <c r="B405" s="55"/>
      <c r="C405" s="55"/>
      <c r="D405" s="55"/>
      <c r="E405" s="59"/>
      <c r="F405" s="59"/>
      <c r="G405" s="55"/>
      <c r="H405" s="59"/>
      <c r="I405" s="37"/>
      <c r="J405" s="37"/>
      <c r="K405" s="64"/>
      <c r="L405" s="64"/>
      <c r="M405" s="64"/>
      <c r="N405" s="68"/>
      <c r="O405" s="68"/>
      <c r="P405" s="68"/>
      <c r="Q405" s="55"/>
      <c r="R405" s="55"/>
      <c r="S405" s="74"/>
      <c r="T405" s="64"/>
      <c r="U405" s="59"/>
      <c r="V405" s="92" t="s">
        <v>1619</v>
      </c>
      <c r="W405" s="83">
        <v>402</v>
      </c>
      <c r="X405" s="92">
        <v>330802026</v>
      </c>
      <c r="Y405" s="93" t="s">
        <v>1620</v>
      </c>
      <c r="Z405" s="116" t="s">
        <v>1621</v>
      </c>
      <c r="AA405" s="116"/>
      <c r="AB405" s="116" t="s">
        <v>54</v>
      </c>
      <c r="AC405" s="77" t="s">
        <v>40</v>
      </c>
      <c r="AD405" s="88">
        <v>6410</v>
      </c>
      <c r="AE405" s="88">
        <v>5770</v>
      </c>
      <c r="AF405" s="88">
        <v>4900</v>
      </c>
    </row>
    <row r="406" s="44" customFormat="1" ht="38" customHeight="1" spans="1:32">
      <c r="A406" s="55" t="s">
        <v>55</v>
      </c>
      <c r="B406" s="55" t="s">
        <v>1622</v>
      </c>
      <c r="C406" s="55" t="s">
        <v>1623</v>
      </c>
      <c r="D406" s="55" t="s">
        <v>350</v>
      </c>
      <c r="E406" s="59" t="s">
        <v>40</v>
      </c>
      <c r="F406" s="59" t="s">
        <v>40</v>
      </c>
      <c r="G406" s="55" t="s">
        <v>54</v>
      </c>
      <c r="H406" s="59" t="s">
        <v>40</v>
      </c>
      <c r="I406" s="30">
        <v>3456</v>
      </c>
      <c r="J406" s="30">
        <v>3110</v>
      </c>
      <c r="K406" s="64"/>
      <c r="L406" s="64"/>
      <c r="M406" s="64"/>
      <c r="N406" s="35">
        <v>3150</v>
      </c>
      <c r="O406" s="35">
        <v>2850</v>
      </c>
      <c r="P406" s="35">
        <v>2430</v>
      </c>
      <c r="Q406" s="55" t="s">
        <v>41</v>
      </c>
      <c r="R406" s="55" t="s">
        <v>40</v>
      </c>
      <c r="S406" s="74" t="s">
        <v>40</v>
      </c>
      <c r="T406" s="64"/>
      <c r="U406" s="59" t="s">
        <v>305</v>
      </c>
      <c r="V406" s="76" t="s">
        <v>1624</v>
      </c>
      <c r="W406" s="83">
        <v>403</v>
      </c>
      <c r="X406" s="76">
        <v>33080202501</v>
      </c>
      <c r="Y406" s="77" t="s">
        <v>1625</v>
      </c>
      <c r="Z406" s="77"/>
      <c r="AA406" s="77"/>
      <c r="AB406" s="77" t="s">
        <v>54</v>
      </c>
      <c r="AC406" s="77" t="s">
        <v>40</v>
      </c>
      <c r="AD406" s="88">
        <v>12870</v>
      </c>
      <c r="AE406" s="88">
        <v>11585</v>
      </c>
      <c r="AF406" s="88">
        <v>9845</v>
      </c>
    </row>
    <row r="407" s="44" customFormat="1" ht="38" customHeight="1" spans="1:32">
      <c r="A407" s="55"/>
      <c r="B407" s="55"/>
      <c r="C407" s="55"/>
      <c r="D407" s="55"/>
      <c r="E407" s="59"/>
      <c r="F407" s="59"/>
      <c r="G407" s="55"/>
      <c r="H407" s="59"/>
      <c r="I407" s="37"/>
      <c r="J407" s="37"/>
      <c r="K407" s="64"/>
      <c r="L407" s="64"/>
      <c r="M407" s="64"/>
      <c r="N407" s="35"/>
      <c r="O407" s="35"/>
      <c r="P407" s="35"/>
      <c r="Q407" s="55"/>
      <c r="R407" s="55"/>
      <c r="S407" s="74"/>
      <c r="T407" s="64"/>
      <c r="U407" s="59"/>
      <c r="V407" s="92" t="s">
        <v>1626</v>
      </c>
      <c r="W407" s="83">
        <v>404</v>
      </c>
      <c r="X407" s="92">
        <v>33080202601</v>
      </c>
      <c r="Y407" s="93" t="s">
        <v>1627</v>
      </c>
      <c r="Z407" s="116"/>
      <c r="AA407" s="116"/>
      <c r="AB407" s="116" t="s">
        <v>54</v>
      </c>
      <c r="AC407" s="77" t="s">
        <v>40</v>
      </c>
      <c r="AD407" s="88">
        <v>8335</v>
      </c>
      <c r="AE407" s="88">
        <v>7500</v>
      </c>
      <c r="AF407" s="88">
        <v>6375</v>
      </c>
    </row>
    <row r="408" s="44" customFormat="1" ht="38" customHeight="1" spans="1:32">
      <c r="A408" s="55" t="s">
        <v>55</v>
      </c>
      <c r="B408" s="55" t="s">
        <v>1628</v>
      </c>
      <c r="C408" s="55" t="s">
        <v>1629</v>
      </c>
      <c r="D408" s="55" t="s">
        <v>350</v>
      </c>
      <c r="E408" s="59" t="s">
        <v>40</v>
      </c>
      <c r="F408" s="59" t="s">
        <v>40</v>
      </c>
      <c r="G408" s="55" t="s">
        <v>54</v>
      </c>
      <c r="H408" s="59"/>
      <c r="I408" s="30">
        <v>1728</v>
      </c>
      <c r="J408" s="30">
        <v>1555</v>
      </c>
      <c r="K408" s="64"/>
      <c r="L408" s="64"/>
      <c r="M408" s="64"/>
      <c r="N408" s="35">
        <v>1575</v>
      </c>
      <c r="O408" s="35">
        <v>1425</v>
      </c>
      <c r="P408" s="35">
        <v>1215</v>
      </c>
      <c r="Q408" s="55" t="s">
        <v>41</v>
      </c>
      <c r="R408" s="55" t="s">
        <v>40</v>
      </c>
      <c r="S408" s="74" t="s">
        <v>40</v>
      </c>
      <c r="T408" s="64"/>
      <c r="U408" s="59" t="s">
        <v>1601</v>
      </c>
      <c r="V408" s="76"/>
      <c r="W408" s="83">
        <v>405</v>
      </c>
      <c r="X408" s="76"/>
      <c r="Y408" s="77"/>
      <c r="Z408" s="77"/>
      <c r="AA408" s="77"/>
      <c r="AB408" s="77"/>
      <c r="AC408" s="77"/>
      <c r="AD408" s="88"/>
      <c r="AE408" s="88"/>
      <c r="AF408" s="88"/>
    </row>
    <row r="409" s="44" customFormat="1" ht="38" customHeight="1" spans="1:32">
      <c r="A409" s="55">
        <v>102</v>
      </c>
      <c r="B409" s="55" t="s">
        <v>1630</v>
      </c>
      <c r="C409" s="55" t="s">
        <v>1631</v>
      </c>
      <c r="D409" s="55" t="s">
        <v>350</v>
      </c>
      <c r="E409" s="59" t="s">
        <v>1632</v>
      </c>
      <c r="F409" s="59" t="s">
        <v>1633</v>
      </c>
      <c r="G409" s="55" t="s">
        <v>54</v>
      </c>
      <c r="H409" s="59" t="s">
        <v>40</v>
      </c>
      <c r="I409" s="30">
        <v>9130</v>
      </c>
      <c r="J409" s="30">
        <v>8217</v>
      </c>
      <c r="K409" s="64">
        <v>8665</v>
      </c>
      <c r="L409" s="64">
        <v>7800</v>
      </c>
      <c r="M409" s="64">
        <v>6240</v>
      </c>
      <c r="N409" s="35">
        <v>8665</v>
      </c>
      <c r="O409" s="35">
        <v>7800</v>
      </c>
      <c r="P409" s="68">
        <v>6630</v>
      </c>
      <c r="Q409" s="55" t="s">
        <v>41</v>
      </c>
      <c r="R409" s="55" t="s">
        <v>40</v>
      </c>
      <c r="S409" s="74" t="s">
        <v>40</v>
      </c>
      <c r="T409" s="64" t="s">
        <v>183</v>
      </c>
      <c r="U409" s="59" t="s">
        <v>973</v>
      </c>
      <c r="V409" s="76" t="s">
        <v>1634</v>
      </c>
      <c r="W409" s="83">
        <v>406</v>
      </c>
      <c r="X409" s="76">
        <v>330802029</v>
      </c>
      <c r="Y409" s="77" t="s">
        <v>1635</v>
      </c>
      <c r="Z409" s="77"/>
      <c r="AA409" s="77"/>
      <c r="AB409" s="77" t="s">
        <v>54</v>
      </c>
      <c r="AC409" s="77" t="s">
        <v>40</v>
      </c>
      <c r="AD409" s="88">
        <v>8665</v>
      </c>
      <c r="AE409" s="88">
        <v>7800</v>
      </c>
      <c r="AF409" s="88">
        <v>6240</v>
      </c>
    </row>
    <row r="410" s="44" customFormat="1" ht="38" customHeight="1" spans="1:32">
      <c r="A410" s="55" t="s">
        <v>55</v>
      </c>
      <c r="B410" s="55" t="s">
        <v>1636</v>
      </c>
      <c r="C410" s="55" t="s">
        <v>1637</v>
      </c>
      <c r="D410" s="55" t="s">
        <v>350</v>
      </c>
      <c r="E410" s="59" t="s">
        <v>40</v>
      </c>
      <c r="F410" s="59" t="s">
        <v>40</v>
      </c>
      <c r="G410" s="55" t="s">
        <v>54</v>
      </c>
      <c r="H410" s="59" t="s">
        <v>40</v>
      </c>
      <c r="I410" s="30">
        <v>2739</v>
      </c>
      <c r="J410" s="30">
        <v>2465</v>
      </c>
      <c r="K410" s="64"/>
      <c r="L410" s="64"/>
      <c r="M410" s="64"/>
      <c r="N410" s="35">
        <v>2600</v>
      </c>
      <c r="O410" s="35">
        <v>2340</v>
      </c>
      <c r="P410" s="35">
        <v>1990</v>
      </c>
      <c r="Q410" s="55" t="s">
        <v>41</v>
      </c>
      <c r="R410" s="55" t="s">
        <v>40</v>
      </c>
      <c r="S410" s="74" t="s">
        <v>40</v>
      </c>
      <c r="T410" s="64"/>
      <c r="U410" s="59" t="s">
        <v>305</v>
      </c>
      <c r="V410" s="76" t="s">
        <v>1638</v>
      </c>
      <c r="W410" s="83">
        <v>407</v>
      </c>
      <c r="X410" s="76">
        <v>33080202901</v>
      </c>
      <c r="Y410" s="77" t="s">
        <v>1639</v>
      </c>
      <c r="Z410" s="77"/>
      <c r="AA410" s="77"/>
      <c r="AB410" s="77" t="s">
        <v>54</v>
      </c>
      <c r="AC410" s="77" t="s">
        <v>40</v>
      </c>
      <c r="AD410" s="88">
        <v>11265</v>
      </c>
      <c r="AE410" s="88">
        <v>10140</v>
      </c>
      <c r="AF410" s="88">
        <v>8110</v>
      </c>
    </row>
    <row r="411" s="44" customFormat="1" ht="38" customHeight="1" spans="1:32">
      <c r="A411" s="55" t="s">
        <v>55</v>
      </c>
      <c r="B411" s="55" t="s">
        <v>1640</v>
      </c>
      <c r="C411" s="55" t="s">
        <v>1641</v>
      </c>
      <c r="D411" s="55" t="s">
        <v>350</v>
      </c>
      <c r="E411" s="59" t="s">
        <v>40</v>
      </c>
      <c r="F411" s="59" t="s">
        <v>40</v>
      </c>
      <c r="G411" s="55" t="s">
        <v>54</v>
      </c>
      <c r="H411" s="59" t="s">
        <v>40</v>
      </c>
      <c r="I411" s="30">
        <v>9130</v>
      </c>
      <c r="J411" s="30">
        <v>8217</v>
      </c>
      <c r="K411" s="64"/>
      <c r="L411" s="64"/>
      <c r="M411" s="64"/>
      <c r="N411" s="35">
        <v>8665</v>
      </c>
      <c r="O411" s="35">
        <v>7800</v>
      </c>
      <c r="P411" s="35">
        <v>6630</v>
      </c>
      <c r="Q411" s="55" t="s">
        <v>41</v>
      </c>
      <c r="R411" s="55" t="s">
        <v>40</v>
      </c>
      <c r="S411" s="74" t="s">
        <v>40</v>
      </c>
      <c r="T411" s="64"/>
      <c r="U411" s="59"/>
      <c r="V411" s="76"/>
      <c r="W411" s="83">
        <v>408</v>
      </c>
      <c r="X411" s="76"/>
      <c r="Y411" s="77"/>
      <c r="Z411" s="77"/>
      <c r="AA411" s="77"/>
      <c r="AB411" s="77"/>
      <c r="AC411" s="77"/>
      <c r="AD411" s="88"/>
      <c r="AE411" s="88"/>
      <c r="AF411" s="88"/>
    </row>
    <row r="412" s="44" customFormat="1" ht="38" customHeight="1" spans="1:32">
      <c r="A412" s="55" t="s">
        <v>55</v>
      </c>
      <c r="B412" s="55" t="s">
        <v>1642</v>
      </c>
      <c r="C412" s="55" t="s">
        <v>1643</v>
      </c>
      <c r="D412" s="55" t="s">
        <v>350</v>
      </c>
      <c r="E412" s="59" t="s">
        <v>40</v>
      </c>
      <c r="F412" s="59" t="s">
        <v>40</v>
      </c>
      <c r="G412" s="55" t="s">
        <v>54</v>
      </c>
      <c r="H412" s="59" t="s">
        <v>40</v>
      </c>
      <c r="I412" s="30">
        <v>9130</v>
      </c>
      <c r="J412" s="30">
        <v>8217</v>
      </c>
      <c r="K412" s="64"/>
      <c r="L412" s="64"/>
      <c r="M412" s="64"/>
      <c r="N412" s="35">
        <v>8665</v>
      </c>
      <c r="O412" s="35">
        <v>7800</v>
      </c>
      <c r="P412" s="35">
        <v>6630</v>
      </c>
      <c r="Q412" s="55" t="s">
        <v>41</v>
      </c>
      <c r="R412" s="55" t="s">
        <v>40</v>
      </c>
      <c r="S412" s="74" t="s">
        <v>40</v>
      </c>
      <c r="T412" s="64"/>
      <c r="U412" s="59"/>
      <c r="V412" s="76"/>
      <c r="W412" s="83">
        <v>409</v>
      </c>
      <c r="X412" s="76"/>
      <c r="Y412" s="77"/>
      <c r="Z412" s="77"/>
      <c r="AA412" s="77"/>
      <c r="AB412" s="77"/>
      <c r="AC412" s="77"/>
      <c r="AD412" s="88"/>
      <c r="AE412" s="88"/>
      <c r="AF412" s="88"/>
    </row>
    <row r="413" s="45" customFormat="1" ht="38" customHeight="1" spans="1:249">
      <c r="A413" s="55">
        <v>103</v>
      </c>
      <c r="B413" s="55" t="s">
        <v>1644</v>
      </c>
      <c r="C413" s="55" t="s">
        <v>1645</v>
      </c>
      <c r="D413" s="55" t="s">
        <v>350</v>
      </c>
      <c r="E413" s="59" t="s">
        <v>1646</v>
      </c>
      <c r="F413" s="59" t="s">
        <v>1633</v>
      </c>
      <c r="G413" s="55" t="s">
        <v>54</v>
      </c>
      <c r="H413" s="59" t="s">
        <v>40</v>
      </c>
      <c r="I413" s="30">
        <v>10320</v>
      </c>
      <c r="J413" s="30">
        <v>9288</v>
      </c>
      <c r="K413" s="64">
        <v>8870</v>
      </c>
      <c r="L413" s="64">
        <v>7980</v>
      </c>
      <c r="M413" s="64">
        <v>6780</v>
      </c>
      <c r="N413" s="68">
        <v>9300</v>
      </c>
      <c r="O413" s="68">
        <v>8400</v>
      </c>
      <c r="P413" s="68">
        <v>7150</v>
      </c>
      <c r="Q413" s="68" t="str">
        <f t="shared" ref="N413:S413" si="7">Q421</f>
        <v>医保</v>
      </c>
      <c r="R413" s="68" t="str">
        <f t="shared" si="7"/>
        <v/>
      </c>
      <c r="S413" s="68" t="str">
        <f t="shared" si="7"/>
        <v/>
      </c>
      <c r="T413" s="64" t="s">
        <v>994</v>
      </c>
      <c r="U413" s="115" t="s">
        <v>1535</v>
      </c>
      <c r="V413" s="76" t="s">
        <v>1647</v>
      </c>
      <c r="W413" s="83">
        <v>410</v>
      </c>
      <c r="X413" s="76">
        <v>330802043</v>
      </c>
      <c r="Y413" s="77" t="s">
        <v>1648</v>
      </c>
      <c r="Z413" s="77" t="s">
        <v>1649</v>
      </c>
      <c r="AA413" s="77"/>
      <c r="AB413" s="77" t="s">
        <v>54</v>
      </c>
      <c r="AC413" s="77" t="s">
        <v>40</v>
      </c>
      <c r="AD413" s="88">
        <v>8870</v>
      </c>
      <c r="AE413" s="88">
        <v>7980</v>
      </c>
      <c r="AF413" s="88">
        <v>6780</v>
      </c>
      <c r="AG413" s="44"/>
      <c r="AH413" s="44"/>
      <c r="AI413" s="44"/>
      <c r="AJ413" s="44"/>
      <c r="AK413" s="44"/>
      <c r="AL413" s="44"/>
      <c r="AM413" s="44"/>
      <c r="AN413" s="44"/>
      <c r="AO413" s="44"/>
      <c r="AP413" s="44"/>
      <c r="AQ413" s="44"/>
      <c r="AR413" s="44"/>
      <c r="AS413" s="44"/>
      <c r="AT413" s="44"/>
      <c r="AU413" s="44"/>
      <c r="AV413" s="44"/>
      <c r="AW413" s="44"/>
      <c r="AX413" s="44"/>
      <c r="AY413" s="44"/>
      <c r="AZ413" s="44"/>
      <c r="BA413" s="44"/>
      <c r="BB413" s="44"/>
      <c r="BC413" s="44"/>
      <c r="BD413" s="44"/>
      <c r="BE413" s="44"/>
      <c r="BF413" s="44"/>
      <c r="BG413" s="44"/>
      <c r="BH413" s="44"/>
      <c r="BI413" s="44"/>
      <c r="BJ413" s="44"/>
      <c r="BK413" s="44"/>
      <c r="BL413" s="44"/>
      <c r="BM413" s="44"/>
      <c r="BN413" s="44"/>
      <c r="BO413" s="44"/>
      <c r="BP413" s="44"/>
      <c r="BQ413" s="44"/>
      <c r="BR413" s="44"/>
      <c r="BS413" s="44"/>
      <c r="BT413" s="44"/>
      <c r="BU413" s="44"/>
      <c r="BV413" s="44"/>
      <c r="BW413" s="44"/>
      <c r="BX413" s="44"/>
      <c r="BY413" s="44"/>
      <c r="BZ413" s="44"/>
      <c r="CA413" s="44"/>
      <c r="CB413" s="44"/>
      <c r="CC413" s="44"/>
      <c r="CD413" s="44"/>
      <c r="CE413" s="44"/>
      <c r="CF413" s="44"/>
      <c r="CG413" s="44"/>
      <c r="CH413" s="44"/>
      <c r="CI413" s="44"/>
      <c r="CJ413" s="44"/>
      <c r="CK413" s="44"/>
      <c r="CL413" s="44"/>
      <c r="CM413" s="44"/>
      <c r="CN413" s="44"/>
      <c r="CO413" s="44"/>
      <c r="CP413" s="44"/>
      <c r="CQ413" s="44"/>
      <c r="CR413" s="44"/>
      <c r="CS413" s="44"/>
      <c r="CT413" s="44"/>
      <c r="CU413" s="44"/>
      <c r="CV413" s="44"/>
      <c r="CW413" s="44"/>
      <c r="CX413" s="44"/>
      <c r="CY413" s="44"/>
      <c r="CZ413" s="44"/>
      <c r="DA413" s="44"/>
      <c r="DB413" s="44"/>
      <c r="DC413" s="44"/>
      <c r="DD413" s="44"/>
      <c r="DE413" s="44"/>
      <c r="DF413" s="44"/>
      <c r="DG413" s="44"/>
      <c r="DH413" s="44"/>
      <c r="DI413" s="44"/>
      <c r="DJ413" s="44"/>
      <c r="DK413" s="44"/>
      <c r="DL413" s="44"/>
      <c r="DM413" s="44"/>
      <c r="DN413" s="44"/>
      <c r="DO413" s="44"/>
      <c r="DP413" s="44"/>
      <c r="DQ413" s="44"/>
      <c r="DR413" s="44"/>
      <c r="DS413" s="44"/>
      <c r="DT413" s="44"/>
      <c r="DU413" s="44"/>
      <c r="DV413" s="44"/>
      <c r="DW413" s="44"/>
      <c r="DX413" s="44"/>
      <c r="DY413" s="44"/>
      <c r="DZ413" s="44"/>
      <c r="EA413" s="44"/>
      <c r="EB413" s="44"/>
      <c r="EC413" s="44"/>
      <c r="ED413" s="44"/>
      <c r="EE413" s="44"/>
      <c r="EF413" s="44"/>
      <c r="EG413" s="44"/>
      <c r="EH413" s="44"/>
      <c r="EI413" s="44"/>
      <c r="EJ413" s="44"/>
      <c r="EK413" s="44"/>
      <c r="EL413" s="44"/>
      <c r="EM413" s="44"/>
      <c r="EN413" s="44"/>
      <c r="EO413" s="44"/>
      <c r="EP413" s="44"/>
      <c r="EQ413" s="44"/>
      <c r="ER413" s="44"/>
      <c r="ES413" s="44"/>
      <c r="ET413" s="44"/>
      <c r="EU413" s="44"/>
      <c r="EV413" s="44"/>
      <c r="EW413" s="44"/>
      <c r="EX413" s="44"/>
      <c r="EY413" s="44"/>
      <c r="EZ413" s="44"/>
      <c r="FA413" s="44"/>
      <c r="FB413" s="44"/>
      <c r="FC413" s="44"/>
      <c r="FD413" s="44"/>
      <c r="FE413" s="44"/>
      <c r="FF413" s="44"/>
      <c r="FG413" s="44"/>
      <c r="FH413" s="44"/>
      <c r="FI413" s="44"/>
      <c r="FJ413" s="44"/>
      <c r="FK413" s="44"/>
      <c r="FL413" s="44"/>
      <c r="FM413" s="44"/>
      <c r="FN413" s="44"/>
      <c r="FO413" s="44"/>
      <c r="FP413" s="44"/>
      <c r="FQ413" s="44"/>
      <c r="FR413" s="44"/>
      <c r="FS413" s="44"/>
      <c r="FT413" s="44"/>
      <c r="FU413" s="44"/>
      <c r="FV413" s="44"/>
      <c r="FW413" s="44"/>
      <c r="FX413" s="44"/>
      <c r="FY413" s="44"/>
      <c r="FZ413" s="44"/>
      <c r="GA413" s="44"/>
      <c r="GB413" s="44"/>
      <c r="GC413" s="44"/>
      <c r="GD413" s="44"/>
      <c r="GE413" s="44"/>
      <c r="GF413" s="44"/>
      <c r="GG413" s="44"/>
      <c r="GH413" s="44"/>
      <c r="GI413" s="44"/>
      <c r="GJ413" s="44"/>
      <c r="GK413" s="44"/>
      <c r="GL413" s="44"/>
      <c r="GM413" s="44"/>
      <c r="GN413" s="44"/>
      <c r="GO413" s="44"/>
      <c r="GP413" s="44"/>
      <c r="GQ413" s="44"/>
      <c r="GR413" s="44"/>
      <c r="GS413" s="44"/>
      <c r="GT413" s="44"/>
      <c r="GU413" s="44"/>
      <c r="GV413" s="44"/>
      <c r="GW413" s="44"/>
      <c r="GX413" s="44"/>
      <c r="GY413" s="44"/>
      <c r="GZ413" s="44"/>
      <c r="HA413" s="44"/>
      <c r="HB413" s="44"/>
      <c r="HC413" s="44"/>
      <c r="HD413" s="44"/>
      <c r="HE413" s="44"/>
      <c r="HF413" s="44"/>
      <c r="HG413" s="44"/>
      <c r="HH413" s="44"/>
      <c r="HI413" s="44"/>
      <c r="HJ413" s="44"/>
      <c r="HK413" s="44"/>
      <c r="HL413" s="44"/>
      <c r="HM413" s="44"/>
      <c r="HN413" s="44"/>
      <c r="HO413" s="44"/>
      <c r="HP413" s="44"/>
      <c r="HQ413" s="44"/>
      <c r="HR413" s="44"/>
      <c r="HS413" s="44"/>
      <c r="HT413" s="44"/>
      <c r="HU413" s="44"/>
      <c r="HV413" s="44"/>
      <c r="HW413" s="44"/>
      <c r="HX413" s="44"/>
      <c r="HY413" s="44"/>
      <c r="HZ413" s="44"/>
      <c r="IA413" s="44"/>
      <c r="IB413" s="44"/>
      <c r="IC413" s="44"/>
      <c r="ID413" s="44"/>
      <c r="IE413" s="44"/>
      <c r="IF413" s="44"/>
      <c r="IG413" s="44"/>
      <c r="IH413" s="44"/>
      <c r="II413" s="44"/>
      <c r="IJ413" s="44"/>
      <c r="IK413" s="44"/>
      <c r="IL413" s="44"/>
      <c r="IM413" s="44"/>
      <c r="IN413" s="44"/>
      <c r="IO413" s="44"/>
    </row>
    <row r="414" s="44" customFormat="1" ht="38" customHeight="1" spans="1:32">
      <c r="A414" s="55" t="s">
        <v>55</v>
      </c>
      <c r="B414" s="55" t="s">
        <v>1650</v>
      </c>
      <c r="C414" s="55" t="s">
        <v>1651</v>
      </c>
      <c r="D414" s="55" t="s">
        <v>350</v>
      </c>
      <c r="E414" s="59" t="s">
        <v>40</v>
      </c>
      <c r="F414" s="59" t="s">
        <v>40</v>
      </c>
      <c r="G414" s="55" t="s">
        <v>54</v>
      </c>
      <c r="H414" s="59" t="s">
        <v>40</v>
      </c>
      <c r="I414" s="30">
        <v>3096</v>
      </c>
      <c r="J414" s="30">
        <v>2786</v>
      </c>
      <c r="K414" s="64"/>
      <c r="L414" s="64"/>
      <c r="M414" s="64"/>
      <c r="N414" s="68">
        <v>2790</v>
      </c>
      <c r="O414" s="68">
        <v>2520</v>
      </c>
      <c r="P414" s="68">
        <v>2145</v>
      </c>
      <c r="Q414" s="68" t="e">
        <f t="shared" ref="N414:S414" si="8">Q422</f>
        <v>#VALUE!</v>
      </c>
      <c r="R414" s="68" t="e">
        <f t="shared" si="8"/>
        <v>#VALUE!</v>
      </c>
      <c r="S414" s="68" t="e">
        <f t="shared" si="8"/>
        <v>#VALUE!</v>
      </c>
      <c r="T414" s="64"/>
      <c r="U414" s="115" t="s">
        <v>305</v>
      </c>
      <c r="V414" s="76" t="s">
        <v>1652</v>
      </c>
      <c r="W414" s="83">
        <v>411</v>
      </c>
      <c r="X414" s="76">
        <v>33080204301</v>
      </c>
      <c r="Y414" s="77" t="s">
        <v>1653</v>
      </c>
      <c r="Z414" s="77"/>
      <c r="AA414" s="77"/>
      <c r="AB414" s="77" t="s">
        <v>54</v>
      </c>
      <c r="AC414" s="77" t="s">
        <v>40</v>
      </c>
      <c r="AD414" s="88">
        <v>11530</v>
      </c>
      <c r="AE414" s="88">
        <v>10375</v>
      </c>
      <c r="AF414" s="88">
        <v>8820</v>
      </c>
    </row>
    <row r="415" s="44" customFormat="1" ht="38" customHeight="1" spans="1:32">
      <c r="A415" s="55">
        <v>104</v>
      </c>
      <c r="B415" s="55" t="s">
        <v>1654</v>
      </c>
      <c r="C415" s="55" t="s">
        <v>1655</v>
      </c>
      <c r="D415" s="55" t="s">
        <v>350</v>
      </c>
      <c r="E415" s="59" t="s">
        <v>1656</v>
      </c>
      <c r="F415" s="59" t="s">
        <v>1657</v>
      </c>
      <c r="G415" s="55" t="s">
        <v>54</v>
      </c>
      <c r="H415" s="59" t="s">
        <v>40</v>
      </c>
      <c r="I415" s="30">
        <v>6340</v>
      </c>
      <c r="J415" s="30">
        <v>5706</v>
      </c>
      <c r="K415" s="64">
        <v>5570</v>
      </c>
      <c r="L415" s="64"/>
      <c r="M415" s="64"/>
      <c r="N415" s="68">
        <v>5700</v>
      </c>
      <c r="O415" s="68">
        <v>5150</v>
      </c>
      <c r="P415" s="68">
        <v>4400</v>
      </c>
      <c r="Q415" s="55" t="s">
        <v>41</v>
      </c>
      <c r="R415" s="55" t="s">
        <v>40</v>
      </c>
      <c r="S415" s="74" t="s">
        <v>40</v>
      </c>
      <c r="T415" s="64" t="s">
        <v>994</v>
      </c>
      <c r="U415" s="59" t="s">
        <v>1658</v>
      </c>
      <c r="V415" s="76" t="s">
        <v>1659</v>
      </c>
      <c r="W415" s="83">
        <v>412</v>
      </c>
      <c r="X415" s="76">
        <v>330802028</v>
      </c>
      <c r="Y415" s="77" t="s">
        <v>1660</v>
      </c>
      <c r="Z415" s="77" t="s">
        <v>1661</v>
      </c>
      <c r="AA415" s="77"/>
      <c r="AB415" s="77" t="s">
        <v>54</v>
      </c>
      <c r="AC415" s="77" t="s">
        <v>40</v>
      </c>
      <c r="AD415" s="88">
        <v>5570</v>
      </c>
      <c r="AE415" s="88">
        <v>5010</v>
      </c>
      <c r="AF415" s="88">
        <v>4260</v>
      </c>
    </row>
    <row r="416" s="44" customFormat="1" ht="38" customHeight="1" spans="1:32">
      <c r="A416" s="55" t="s">
        <v>55</v>
      </c>
      <c r="B416" s="55" t="s">
        <v>1662</v>
      </c>
      <c r="C416" s="55" t="s">
        <v>1663</v>
      </c>
      <c r="D416" s="55" t="s">
        <v>350</v>
      </c>
      <c r="E416" s="59" t="s">
        <v>40</v>
      </c>
      <c r="F416" s="59" t="s">
        <v>40</v>
      </c>
      <c r="G416" s="55" t="s">
        <v>54</v>
      </c>
      <c r="H416" s="59" t="s">
        <v>40</v>
      </c>
      <c r="I416" s="30">
        <v>1902</v>
      </c>
      <c r="J416" s="30">
        <v>1712</v>
      </c>
      <c r="K416" s="64"/>
      <c r="L416" s="64"/>
      <c r="M416" s="64"/>
      <c r="N416" s="35">
        <v>1710</v>
      </c>
      <c r="O416" s="35">
        <v>1545</v>
      </c>
      <c r="P416" s="35">
        <v>1320</v>
      </c>
      <c r="Q416" s="35" t="e">
        <f>Q415*0.3</f>
        <v>#VALUE!</v>
      </c>
      <c r="R416" s="35" t="e">
        <f>R415*0.3</f>
        <v>#VALUE!</v>
      </c>
      <c r="S416" s="35" t="e">
        <f>S415*0.3</f>
        <v>#VALUE!</v>
      </c>
      <c r="T416" s="64"/>
      <c r="U416" s="59" t="s">
        <v>305</v>
      </c>
      <c r="V416" s="76" t="s">
        <v>1664</v>
      </c>
      <c r="W416" s="83">
        <v>413</v>
      </c>
      <c r="X416" s="76">
        <v>33080202801</v>
      </c>
      <c r="Y416" s="77" t="s">
        <v>1665</v>
      </c>
      <c r="Z416" s="77"/>
      <c r="AA416" s="77"/>
      <c r="AB416" s="77" t="s">
        <v>54</v>
      </c>
      <c r="AC416" s="77" t="s">
        <v>40</v>
      </c>
      <c r="AD416" s="88">
        <v>7240</v>
      </c>
      <c r="AE416" s="88">
        <v>6515</v>
      </c>
      <c r="AF416" s="88">
        <v>5540</v>
      </c>
    </row>
    <row r="417" s="44" customFormat="1" ht="38" customHeight="1" spans="1:32">
      <c r="A417" s="55">
        <v>105</v>
      </c>
      <c r="B417" s="55" t="s">
        <v>1666</v>
      </c>
      <c r="C417" s="55" t="s">
        <v>1667</v>
      </c>
      <c r="D417" s="55" t="s">
        <v>350</v>
      </c>
      <c r="E417" s="59" t="s">
        <v>1668</v>
      </c>
      <c r="F417" s="59" t="s">
        <v>1657</v>
      </c>
      <c r="G417" s="55" t="s">
        <v>54</v>
      </c>
      <c r="H417" s="59" t="s">
        <v>40</v>
      </c>
      <c r="I417" s="30">
        <v>5180</v>
      </c>
      <c r="J417" s="30">
        <v>4662</v>
      </c>
      <c r="K417" s="64"/>
      <c r="L417" s="64"/>
      <c r="M417" s="64"/>
      <c r="N417" s="68">
        <v>4700</v>
      </c>
      <c r="O417" s="68">
        <v>4250</v>
      </c>
      <c r="P417" s="68">
        <v>3650</v>
      </c>
      <c r="Q417" s="55" t="s">
        <v>41</v>
      </c>
      <c r="R417" s="55" t="s">
        <v>40</v>
      </c>
      <c r="S417" s="74" t="s">
        <v>40</v>
      </c>
      <c r="T417" s="64" t="s">
        <v>994</v>
      </c>
      <c r="U417" s="115" t="s">
        <v>1535</v>
      </c>
      <c r="V417" s="76" t="s">
        <v>1669</v>
      </c>
      <c r="W417" s="83">
        <v>414</v>
      </c>
      <c r="X417" s="76">
        <v>330802015</v>
      </c>
      <c r="Y417" s="77" t="s">
        <v>1670</v>
      </c>
      <c r="Z417" s="77"/>
      <c r="AA417" s="77"/>
      <c r="AB417" s="77" t="s">
        <v>54</v>
      </c>
      <c r="AC417" s="77" t="s">
        <v>40</v>
      </c>
      <c r="AD417" s="88">
        <v>4560</v>
      </c>
      <c r="AE417" s="88">
        <v>4100</v>
      </c>
      <c r="AF417" s="88">
        <v>3490</v>
      </c>
    </row>
    <row r="418" s="44" customFormat="1" ht="38" customHeight="1" spans="1:32">
      <c r="A418" s="55" t="s">
        <v>55</v>
      </c>
      <c r="B418" s="55" t="s">
        <v>1671</v>
      </c>
      <c r="C418" s="55" t="s">
        <v>1672</v>
      </c>
      <c r="D418" s="55" t="s">
        <v>350</v>
      </c>
      <c r="E418" s="59" t="s">
        <v>40</v>
      </c>
      <c r="F418" s="59" t="s">
        <v>40</v>
      </c>
      <c r="G418" s="55" t="s">
        <v>54</v>
      </c>
      <c r="H418" s="59" t="s">
        <v>40</v>
      </c>
      <c r="I418" s="30">
        <v>1554</v>
      </c>
      <c r="J418" s="30">
        <v>1399</v>
      </c>
      <c r="K418" s="64"/>
      <c r="L418" s="64"/>
      <c r="M418" s="64"/>
      <c r="N418" s="35">
        <v>1410</v>
      </c>
      <c r="O418" s="35">
        <v>1275</v>
      </c>
      <c r="P418" s="35">
        <v>1095</v>
      </c>
      <c r="Q418" s="55" t="s">
        <v>41</v>
      </c>
      <c r="R418" s="55" t="s">
        <v>40</v>
      </c>
      <c r="S418" s="74" t="s">
        <v>40</v>
      </c>
      <c r="T418" s="64"/>
      <c r="U418" s="59" t="s">
        <v>305</v>
      </c>
      <c r="V418" s="76" t="s">
        <v>1673</v>
      </c>
      <c r="W418" s="83">
        <v>415</v>
      </c>
      <c r="X418" s="76">
        <v>33080201501</v>
      </c>
      <c r="Y418" s="77" t="s">
        <v>1674</v>
      </c>
      <c r="Z418" s="77"/>
      <c r="AA418" s="77"/>
      <c r="AB418" s="77" t="s">
        <v>54</v>
      </c>
      <c r="AC418" s="77" t="s">
        <v>40</v>
      </c>
      <c r="AD418" s="88">
        <v>5930</v>
      </c>
      <c r="AE418" s="88">
        <v>5330</v>
      </c>
      <c r="AF418" s="88">
        <v>4530</v>
      </c>
    </row>
    <row r="419" s="44" customFormat="1" ht="60" customHeight="1" spans="1:32">
      <c r="A419" s="55">
        <v>106</v>
      </c>
      <c r="B419" s="55" t="s">
        <v>1675</v>
      </c>
      <c r="C419" s="55" t="s">
        <v>1676</v>
      </c>
      <c r="D419" s="55" t="s">
        <v>350</v>
      </c>
      <c r="E419" s="59" t="s">
        <v>1677</v>
      </c>
      <c r="F419" s="59" t="s">
        <v>1678</v>
      </c>
      <c r="G419" s="55" t="s">
        <v>54</v>
      </c>
      <c r="H419" s="59" t="s">
        <v>40</v>
      </c>
      <c r="I419" s="30">
        <v>11700</v>
      </c>
      <c r="J419" s="30">
        <v>10530</v>
      </c>
      <c r="K419" s="64"/>
      <c r="L419" s="64"/>
      <c r="M419" s="64"/>
      <c r="N419" s="35">
        <v>10500</v>
      </c>
      <c r="O419" s="35">
        <v>9450</v>
      </c>
      <c r="P419" s="35">
        <v>8050</v>
      </c>
      <c r="Q419" s="55" t="s">
        <v>41</v>
      </c>
      <c r="R419" s="55" t="s">
        <v>40</v>
      </c>
      <c r="S419" s="74" t="s">
        <v>40</v>
      </c>
      <c r="T419" s="64" t="s">
        <v>994</v>
      </c>
      <c r="U419" s="115" t="s">
        <v>1679</v>
      </c>
      <c r="V419" s="76" t="s">
        <v>1680</v>
      </c>
      <c r="W419" s="83">
        <v>416</v>
      </c>
      <c r="X419" s="76">
        <v>330801010</v>
      </c>
      <c r="Y419" s="77" t="s">
        <v>1681</v>
      </c>
      <c r="Z419" s="77" t="s">
        <v>1682</v>
      </c>
      <c r="AA419" s="77" t="s">
        <v>1683</v>
      </c>
      <c r="AB419" s="77" t="s">
        <v>54</v>
      </c>
      <c r="AC419" s="77" t="s">
        <v>40</v>
      </c>
      <c r="AD419" s="88">
        <v>9020</v>
      </c>
      <c r="AE419" s="88">
        <v>8120</v>
      </c>
      <c r="AF419" s="88">
        <v>6900</v>
      </c>
    </row>
    <row r="420" s="44" customFormat="1" ht="38" customHeight="1" spans="1:32">
      <c r="A420" s="55" t="s">
        <v>55</v>
      </c>
      <c r="B420" s="55" t="s">
        <v>1684</v>
      </c>
      <c r="C420" s="55" t="s">
        <v>1685</v>
      </c>
      <c r="D420" s="55" t="s">
        <v>350</v>
      </c>
      <c r="E420" s="59" t="s">
        <v>40</v>
      </c>
      <c r="F420" s="59" t="s">
        <v>40</v>
      </c>
      <c r="G420" s="55" t="s">
        <v>54</v>
      </c>
      <c r="H420" s="59" t="s">
        <v>40</v>
      </c>
      <c r="I420" s="30">
        <v>3510</v>
      </c>
      <c r="J420" s="30">
        <v>3159</v>
      </c>
      <c r="K420" s="64"/>
      <c r="L420" s="64"/>
      <c r="M420" s="64"/>
      <c r="N420" s="35">
        <v>3150</v>
      </c>
      <c r="O420" s="35">
        <v>2835</v>
      </c>
      <c r="P420" s="35">
        <v>2415</v>
      </c>
      <c r="Q420" s="55" t="s">
        <v>41</v>
      </c>
      <c r="R420" s="55" t="s">
        <v>40</v>
      </c>
      <c r="S420" s="74" t="s">
        <v>40</v>
      </c>
      <c r="T420" s="64"/>
      <c r="U420" s="59"/>
      <c r="V420" s="76" t="s">
        <v>1686</v>
      </c>
      <c r="W420" s="83">
        <v>417</v>
      </c>
      <c r="X420" s="76">
        <v>33080101001</v>
      </c>
      <c r="Y420" s="77" t="s">
        <v>1687</v>
      </c>
      <c r="Z420" s="77"/>
      <c r="AA420" s="77"/>
      <c r="AB420" s="77" t="s">
        <v>54</v>
      </c>
      <c r="AC420" s="77" t="s">
        <v>40</v>
      </c>
      <c r="AD420" s="88">
        <v>11725</v>
      </c>
      <c r="AE420" s="88">
        <v>10555</v>
      </c>
      <c r="AF420" s="88">
        <v>8970</v>
      </c>
    </row>
    <row r="421" s="44" customFormat="1" ht="38" customHeight="1" spans="1:32">
      <c r="A421" s="55">
        <v>107</v>
      </c>
      <c r="B421" s="55" t="s">
        <v>1688</v>
      </c>
      <c r="C421" s="55" t="s">
        <v>1689</v>
      </c>
      <c r="D421" s="55" t="s">
        <v>350</v>
      </c>
      <c r="E421" s="59" t="s">
        <v>1690</v>
      </c>
      <c r="F421" s="59" t="s">
        <v>1691</v>
      </c>
      <c r="G421" s="55" t="s">
        <v>54</v>
      </c>
      <c r="H421" s="59" t="s">
        <v>40</v>
      </c>
      <c r="I421" s="30">
        <v>10320</v>
      </c>
      <c r="J421" s="30">
        <v>9288</v>
      </c>
      <c r="K421" s="64">
        <v>11330</v>
      </c>
      <c r="L421" s="64">
        <v>10200</v>
      </c>
      <c r="M421" s="64">
        <v>8670</v>
      </c>
      <c r="N421" s="68">
        <v>9300</v>
      </c>
      <c r="O421" s="68">
        <v>8400</v>
      </c>
      <c r="P421" s="68">
        <v>7150</v>
      </c>
      <c r="Q421" s="112" t="s">
        <v>41</v>
      </c>
      <c r="R421" s="112" t="s">
        <v>40</v>
      </c>
      <c r="S421" s="113" t="s">
        <v>40</v>
      </c>
      <c r="T421" s="64" t="s">
        <v>994</v>
      </c>
      <c r="U421" s="115" t="s">
        <v>1692</v>
      </c>
      <c r="V421" s="76" t="s">
        <v>1693</v>
      </c>
      <c r="W421" s="83">
        <v>418</v>
      </c>
      <c r="X421" s="76">
        <v>330802038</v>
      </c>
      <c r="Y421" s="77" t="s">
        <v>1694</v>
      </c>
      <c r="Z421" s="77" t="s">
        <v>1695</v>
      </c>
      <c r="AA421" s="77"/>
      <c r="AB421" s="77" t="s">
        <v>54</v>
      </c>
      <c r="AC421" s="77" t="s">
        <v>40</v>
      </c>
      <c r="AD421" s="88">
        <v>11330</v>
      </c>
      <c r="AE421" s="88">
        <v>10200</v>
      </c>
      <c r="AF421" s="88">
        <v>8670</v>
      </c>
    </row>
    <row r="422" s="44" customFormat="1" ht="38" customHeight="1" spans="1:32">
      <c r="A422" s="55" t="s">
        <v>55</v>
      </c>
      <c r="B422" s="55" t="s">
        <v>1696</v>
      </c>
      <c r="C422" s="55" t="s">
        <v>1697</v>
      </c>
      <c r="D422" s="55" t="s">
        <v>350</v>
      </c>
      <c r="E422" s="59" t="s">
        <v>40</v>
      </c>
      <c r="F422" s="59" t="s">
        <v>40</v>
      </c>
      <c r="G422" s="55" t="s">
        <v>54</v>
      </c>
      <c r="H422" s="59" t="s">
        <v>40</v>
      </c>
      <c r="I422" s="30">
        <v>3096</v>
      </c>
      <c r="J422" s="30">
        <v>2786</v>
      </c>
      <c r="K422" s="64"/>
      <c r="L422" s="64"/>
      <c r="M422" s="64"/>
      <c r="N422" s="68">
        <v>2790</v>
      </c>
      <c r="O422" s="68">
        <v>2520</v>
      </c>
      <c r="P422" s="68">
        <v>2145</v>
      </c>
      <c r="Q422" s="68" t="e">
        <f t="shared" ref="N422:S422" si="9">Q421*0.3</f>
        <v>#VALUE!</v>
      </c>
      <c r="R422" s="68" t="e">
        <f t="shared" si="9"/>
        <v>#VALUE!</v>
      </c>
      <c r="S422" s="68" t="e">
        <f t="shared" si="9"/>
        <v>#VALUE!</v>
      </c>
      <c r="T422" s="64"/>
      <c r="U422" s="115" t="s">
        <v>305</v>
      </c>
      <c r="V422" s="76" t="s">
        <v>1698</v>
      </c>
      <c r="W422" s="83">
        <v>419</v>
      </c>
      <c r="X422" s="76">
        <v>33080203801</v>
      </c>
      <c r="Y422" s="77" t="s">
        <v>1699</v>
      </c>
      <c r="Z422" s="77"/>
      <c r="AA422" s="77"/>
      <c r="AB422" s="77" t="s">
        <v>54</v>
      </c>
      <c r="AC422" s="77" t="s">
        <v>40</v>
      </c>
      <c r="AD422" s="88">
        <v>14730</v>
      </c>
      <c r="AE422" s="88">
        <v>13260</v>
      </c>
      <c r="AF422" s="88">
        <v>11270</v>
      </c>
    </row>
    <row r="423" s="44" customFormat="1" ht="76" customHeight="1" spans="1:32">
      <c r="A423" s="55">
        <v>108</v>
      </c>
      <c r="B423" s="55" t="s">
        <v>1700</v>
      </c>
      <c r="C423" s="55" t="s">
        <v>1701</v>
      </c>
      <c r="D423" s="55" t="s">
        <v>350</v>
      </c>
      <c r="E423" s="59" t="s">
        <v>1702</v>
      </c>
      <c r="F423" s="59" t="s">
        <v>1703</v>
      </c>
      <c r="G423" s="55" t="s">
        <v>54</v>
      </c>
      <c r="H423" s="59" t="s">
        <v>40</v>
      </c>
      <c r="I423" s="30">
        <v>9600</v>
      </c>
      <c r="J423" s="30">
        <v>8640</v>
      </c>
      <c r="K423" s="64">
        <v>8250</v>
      </c>
      <c r="L423" s="64">
        <v>7430</v>
      </c>
      <c r="M423" s="64">
        <v>6320</v>
      </c>
      <c r="N423" s="68">
        <v>8600</v>
      </c>
      <c r="O423" s="68">
        <v>7740</v>
      </c>
      <c r="P423" s="68">
        <v>6580</v>
      </c>
      <c r="Q423" s="112" t="s">
        <v>41</v>
      </c>
      <c r="R423" s="112" t="s">
        <v>40</v>
      </c>
      <c r="S423" s="113" t="s">
        <v>40</v>
      </c>
      <c r="T423" s="64" t="s">
        <v>994</v>
      </c>
      <c r="U423" s="115" t="s">
        <v>1535</v>
      </c>
      <c r="V423" s="76" t="s">
        <v>1704</v>
      </c>
      <c r="W423" s="83">
        <v>420</v>
      </c>
      <c r="X423" s="76">
        <v>330802042</v>
      </c>
      <c r="Y423" s="77" t="s">
        <v>1705</v>
      </c>
      <c r="Z423" s="77"/>
      <c r="AA423" s="77"/>
      <c r="AB423" s="77" t="s">
        <v>54</v>
      </c>
      <c r="AC423" s="77" t="s">
        <v>40</v>
      </c>
      <c r="AD423" s="88">
        <v>8250</v>
      </c>
      <c r="AE423" s="88">
        <v>7430</v>
      </c>
      <c r="AF423" s="88">
        <v>6320</v>
      </c>
    </row>
    <row r="424" s="44" customFormat="1" ht="38" customHeight="1" spans="1:32">
      <c r="A424" s="55" t="s">
        <v>55</v>
      </c>
      <c r="B424" s="55" t="s">
        <v>1706</v>
      </c>
      <c r="C424" s="55" t="s">
        <v>1707</v>
      </c>
      <c r="D424" s="55" t="s">
        <v>350</v>
      </c>
      <c r="E424" s="59" t="s">
        <v>40</v>
      </c>
      <c r="F424" s="59" t="s">
        <v>40</v>
      </c>
      <c r="G424" s="55" t="s">
        <v>54</v>
      </c>
      <c r="H424" s="59" t="s">
        <v>40</v>
      </c>
      <c r="I424" s="30">
        <v>2880</v>
      </c>
      <c r="J424" s="30">
        <v>2592</v>
      </c>
      <c r="K424" s="64"/>
      <c r="L424" s="64"/>
      <c r="M424" s="64"/>
      <c r="N424" s="35">
        <v>2580</v>
      </c>
      <c r="O424" s="35">
        <v>2320</v>
      </c>
      <c r="P424" s="35">
        <v>1975</v>
      </c>
      <c r="Q424" s="55" t="s">
        <v>41</v>
      </c>
      <c r="R424" s="55" t="s">
        <v>40</v>
      </c>
      <c r="S424" s="74" t="s">
        <v>40</v>
      </c>
      <c r="T424" s="64"/>
      <c r="U424" s="59" t="s">
        <v>305</v>
      </c>
      <c r="V424" s="76" t="s">
        <v>1708</v>
      </c>
      <c r="W424" s="83">
        <v>421</v>
      </c>
      <c r="X424" s="76">
        <v>33080204201</v>
      </c>
      <c r="Y424" s="77" t="s">
        <v>1709</v>
      </c>
      <c r="Z424" s="77"/>
      <c r="AA424" s="77"/>
      <c r="AB424" s="77" t="s">
        <v>54</v>
      </c>
      <c r="AC424" s="77" t="s">
        <v>40</v>
      </c>
      <c r="AD424" s="88">
        <v>10725</v>
      </c>
      <c r="AE424" s="88">
        <v>9660</v>
      </c>
      <c r="AF424" s="88">
        <v>8210</v>
      </c>
    </row>
    <row r="425" s="44" customFormat="1" ht="64" customHeight="1" spans="1:32">
      <c r="A425" s="55">
        <v>109</v>
      </c>
      <c r="B425" s="55" t="s">
        <v>1710</v>
      </c>
      <c r="C425" s="55" t="s">
        <v>1711</v>
      </c>
      <c r="D425" s="55" t="s">
        <v>350</v>
      </c>
      <c r="E425" s="59" t="s">
        <v>1712</v>
      </c>
      <c r="F425" s="59" t="s">
        <v>1575</v>
      </c>
      <c r="G425" s="55" t="s">
        <v>54</v>
      </c>
      <c r="H425" s="59" t="s">
        <v>40</v>
      </c>
      <c r="I425" s="30">
        <v>3110</v>
      </c>
      <c r="J425" s="30">
        <v>2799</v>
      </c>
      <c r="K425" s="64">
        <v>2875</v>
      </c>
      <c r="L425" s="64">
        <v>2760</v>
      </c>
      <c r="M425" s="64">
        <v>2346</v>
      </c>
      <c r="N425" s="35">
        <v>2875</v>
      </c>
      <c r="O425" s="35">
        <v>2760</v>
      </c>
      <c r="P425" s="35">
        <v>2346</v>
      </c>
      <c r="Q425" s="55" t="s">
        <v>41</v>
      </c>
      <c r="R425" s="55" t="s">
        <v>40</v>
      </c>
      <c r="S425" s="74" t="s">
        <v>40</v>
      </c>
      <c r="T425" s="64" t="s">
        <v>183</v>
      </c>
      <c r="U425" s="59" t="s">
        <v>183</v>
      </c>
      <c r="V425" s="76" t="s">
        <v>1425</v>
      </c>
      <c r="W425" s="83">
        <v>422</v>
      </c>
      <c r="X425" s="76">
        <v>330801012</v>
      </c>
      <c r="Y425" s="77" t="s">
        <v>1426</v>
      </c>
      <c r="Z425" s="77" t="s">
        <v>1427</v>
      </c>
      <c r="AA425" s="77" t="s">
        <v>1218</v>
      </c>
      <c r="AB425" s="77" t="s">
        <v>54</v>
      </c>
      <c r="AC425" s="77" t="s">
        <v>40</v>
      </c>
      <c r="AD425" s="88">
        <v>2875</v>
      </c>
      <c r="AE425" s="88">
        <v>2760</v>
      </c>
      <c r="AF425" s="88">
        <v>2346</v>
      </c>
    </row>
    <row r="426" s="44" customFormat="1" ht="38" customHeight="1" spans="1:32">
      <c r="A426" s="55" t="s">
        <v>55</v>
      </c>
      <c r="B426" s="55" t="s">
        <v>1713</v>
      </c>
      <c r="C426" s="55" t="s">
        <v>1714</v>
      </c>
      <c r="D426" s="55" t="s">
        <v>350</v>
      </c>
      <c r="E426" s="59" t="s">
        <v>40</v>
      </c>
      <c r="F426" s="59" t="s">
        <v>40</v>
      </c>
      <c r="G426" s="55" t="s">
        <v>54</v>
      </c>
      <c r="H426" s="59" t="s">
        <v>40</v>
      </c>
      <c r="I426" s="30">
        <v>933</v>
      </c>
      <c r="J426" s="30">
        <v>840</v>
      </c>
      <c r="K426" s="64"/>
      <c r="L426" s="64"/>
      <c r="M426" s="64"/>
      <c r="N426" s="35">
        <v>863</v>
      </c>
      <c r="O426" s="35">
        <v>830</v>
      </c>
      <c r="P426" s="35">
        <v>705</v>
      </c>
      <c r="Q426" s="35" t="e">
        <f>Q425*0.3</f>
        <v>#VALUE!</v>
      </c>
      <c r="R426" s="35" t="e">
        <f>R425*0.3</f>
        <v>#VALUE!</v>
      </c>
      <c r="S426" s="35" t="e">
        <f>S425*0.3</f>
        <v>#VALUE!</v>
      </c>
      <c r="T426" s="64"/>
      <c r="U426" s="59" t="s">
        <v>305</v>
      </c>
      <c r="V426" s="76" t="s">
        <v>1430</v>
      </c>
      <c r="W426" s="83">
        <v>423</v>
      </c>
      <c r="X426" s="76">
        <v>33080101201</v>
      </c>
      <c r="Y426" s="77" t="s">
        <v>1431</v>
      </c>
      <c r="Z426" s="77"/>
      <c r="AA426" s="77"/>
      <c r="AB426" s="77" t="s">
        <v>54</v>
      </c>
      <c r="AC426" s="77" t="s">
        <v>40</v>
      </c>
      <c r="AD426" s="88">
        <v>3740</v>
      </c>
      <c r="AE426" s="88">
        <v>3590</v>
      </c>
      <c r="AF426" s="88">
        <v>3050</v>
      </c>
    </row>
    <row r="427" s="44" customFormat="1" ht="69" customHeight="1" spans="1:32">
      <c r="A427" s="55">
        <v>110</v>
      </c>
      <c r="B427" s="55" t="s">
        <v>1715</v>
      </c>
      <c r="C427" s="55" t="s">
        <v>1716</v>
      </c>
      <c r="D427" s="55" t="s">
        <v>350</v>
      </c>
      <c r="E427" s="59" t="s">
        <v>1717</v>
      </c>
      <c r="F427" s="59" t="s">
        <v>1718</v>
      </c>
      <c r="G427" s="55" t="s">
        <v>54</v>
      </c>
      <c r="H427" s="59" t="s">
        <v>40</v>
      </c>
      <c r="I427" s="30">
        <v>2430</v>
      </c>
      <c r="J427" s="30">
        <v>2187</v>
      </c>
      <c r="K427" s="64">
        <v>2250</v>
      </c>
      <c r="L427" s="64">
        <v>2160</v>
      </c>
      <c r="M427" s="64">
        <v>1836</v>
      </c>
      <c r="N427" s="35">
        <v>2250</v>
      </c>
      <c r="O427" s="35">
        <v>2160</v>
      </c>
      <c r="P427" s="35">
        <v>1836</v>
      </c>
      <c r="Q427" s="55" t="s">
        <v>41</v>
      </c>
      <c r="R427" s="55" t="s">
        <v>40</v>
      </c>
      <c r="S427" s="74" t="s">
        <v>40</v>
      </c>
      <c r="T427" s="64" t="s">
        <v>183</v>
      </c>
      <c r="U427" s="59" t="s">
        <v>183</v>
      </c>
      <c r="V427" s="76" t="s">
        <v>1719</v>
      </c>
      <c r="W427" s="83">
        <v>424</v>
      </c>
      <c r="X427" s="76">
        <v>330802012</v>
      </c>
      <c r="Y427" s="77" t="s">
        <v>1720</v>
      </c>
      <c r="Z427" s="77"/>
      <c r="AA427" s="77"/>
      <c r="AB427" s="77" t="s">
        <v>54</v>
      </c>
      <c r="AC427" s="77" t="s">
        <v>40</v>
      </c>
      <c r="AD427" s="88">
        <v>2250</v>
      </c>
      <c r="AE427" s="88">
        <v>2160</v>
      </c>
      <c r="AF427" s="88">
        <v>1836</v>
      </c>
    </row>
    <row r="428" s="44" customFormat="1" ht="38" customHeight="1" spans="1:32">
      <c r="A428" s="55" t="s">
        <v>55</v>
      </c>
      <c r="B428" s="55" t="s">
        <v>1721</v>
      </c>
      <c r="C428" s="55" t="s">
        <v>1722</v>
      </c>
      <c r="D428" s="55" t="s">
        <v>350</v>
      </c>
      <c r="E428" s="59" t="s">
        <v>40</v>
      </c>
      <c r="F428" s="59" t="s">
        <v>40</v>
      </c>
      <c r="G428" s="55" t="s">
        <v>54</v>
      </c>
      <c r="H428" s="59" t="s">
        <v>40</v>
      </c>
      <c r="I428" s="30">
        <v>729</v>
      </c>
      <c r="J428" s="30">
        <v>656</v>
      </c>
      <c r="K428" s="64"/>
      <c r="L428" s="64"/>
      <c r="M428" s="64"/>
      <c r="N428" s="35">
        <v>675</v>
      </c>
      <c r="O428" s="35">
        <v>650</v>
      </c>
      <c r="P428" s="35">
        <v>550</v>
      </c>
      <c r="Q428" s="35" t="e">
        <f>Q427*0.3</f>
        <v>#VALUE!</v>
      </c>
      <c r="R428" s="35" t="e">
        <f>R427*0.3</f>
        <v>#VALUE!</v>
      </c>
      <c r="S428" s="35" t="e">
        <f>S427*0.3</f>
        <v>#VALUE!</v>
      </c>
      <c r="T428" s="64"/>
      <c r="U428" s="59" t="s">
        <v>305</v>
      </c>
      <c r="V428" s="76" t="s">
        <v>1723</v>
      </c>
      <c r="W428" s="83">
        <v>425</v>
      </c>
      <c r="X428" s="76">
        <v>33080201201</v>
      </c>
      <c r="Y428" s="77" t="s">
        <v>1724</v>
      </c>
      <c r="Z428" s="77"/>
      <c r="AA428" s="77"/>
      <c r="AB428" s="77" t="s">
        <v>54</v>
      </c>
      <c r="AC428" s="77" t="s">
        <v>40</v>
      </c>
      <c r="AD428" s="88">
        <v>2925</v>
      </c>
      <c r="AE428" s="88">
        <v>2810</v>
      </c>
      <c r="AF428" s="88">
        <v>2390</v>
      </c>
    </row>
    <row r="429" s="44" customFormat="1" ht="59" customHeight="1" spans="1:32">
      <c r="A429" s="55">
        <v>111</v>
      </c>
      <c r="B429" s="55" t="s">
        <v>1725</v>
      </c>
      <c r="C429" s="55" t="s">
        <v>1726</v>
      </c>
      <c r="D429" s="55" t="s">
        <v>350</v>
      </c>
      <c r="E429" s="59" t="s">
        <v>1727</v>
      </c>
      <c r="F429" s="59" t="s">
        <v>1728</v>
      </c>
      <c r="G429" s="55" t="s">
        <v>54</v>
      </c>
      <c r="H429" s="59" t="s">
        <v>40</v>
      </c>
      <c r="I429" s="30">
        <v>4990</v>
      </c>
      <c r="J429" s="30">
        <v>4491</v>
      </c>
      <c r="K429" s="64">
        <v>4390</v>
      </c>
      <c r="L429" s="64">
        <v>3950</v>
      </c>
      <c r="M429" s="64">
        <v>3360</v>
      </c>
      <c r="N429" s="68">
        <v>4500</v>
      </c>
      <c r="O429" s="68">
        <v>4050</v>
      </c>
      <c r="P429" s="68">
        <v>3450</v>
      </c>
      <c r="Q429" s="55" t="s">
        <v>41</v>
      </c>
      <c r="R429" s="55" t="s">
        <v>40</v>
      </c>
      <c r="S429" s="74" t="s">
        <v>40</v>
      </c>
      <c r="T429" s="64" t="s">
        <v>994</v>
      </c>
      <c r="U429" s="115" t="s">
        <v>1535</v>
      </c>
      <c r="V429" s="76" t="s">
        <v>1729</v>
      </c>
      <c r="W429" s="83">
        <v>426</v>
      </c>
      <c r="X429" s="76">
        <v>330802016</v>
      </c>
      <c r="Y429" s="77" t="s">
        <v>1730</v>
      </c>
      <c r="Z429" s="77" t="s">
        <v>1731</v>
      </c>
      <c r="AA429" s="77"/>
      <c r="AB429" s="77" t="s">
        <v>54</v>
      </c>
      <c r="AC429" s="77" t="s">
        <v>40</v>
      </c>
      <c r="AD429" s="88">
        <v>4390</v>
      </c>
      <c r="AE429" s="88">
        <v>3950</v>
      </c>
      <c r="AF429" s="88">
        <v>3360</v>
      </c>
    </row>
    <row r="430" s="44" customFormat="1" ht="38" customHeight="1" spans="1:32">
      <c r="A430" s="55" t="s">
        <v>55</v>
      </c>
      <c r="B430" s="55" t="s">
        <v>1732</v>
      </c>
      <c r="C430" s="55" t="s">
        <v>1733</v>
      </c>
      <c r="D430" s="55" t="s">
        <v>350</v>
      </c>
      <c r="E430" s="59" t="s">
        <v>40</v>
      </c>
      <c r="F430" s="59" t="s">
        <v>40</v>
      </c>
      <c r="G430" s="55" t="s">
        <v>54</v>
      </c>
      <c r="H430" s="59" t="s">
        <v>40</v>
      </c>
      <c r="I430" s="30">
        <v>1497</v>
      </c>
      <c r="J430" s="30">
        <v>1347</v>
      </c>
      <c r="K430" s="64"/>
      <c r="L430" s="64"/>
      <c r="M430" s="64"/>
      <c r="N430" s="35">
        <v>1350</v>
      </c>
      <c r="O430" s="35">
        <v>1215</v>
      </c>
      <c r="P430" s="35">
        <v>1035</v>
      </c>
      <c r="Q430" s="55" t="s">
        <v>41</v>
      </c>
      <c r="R430" s="55" t="s">
        <v>40</v>
      </c>
      <c r="S430" s="74" t="s">
        <v>40</v>
      </c>
      <c r="T430" s="64"/>
      <c r="U430" s="59" t="s">
        <v>305</v>
      </c>
      <c r="V430" s="76" t="s">
        <v>1734</v>
      </c>
      <c r="W430" s="83">
        <v>427</v>
      </c>
      <c r="X430" s="76">
        <v>33080201601</v>
      </c>
      <c r="Y430" s="77" t="s">
        <v>1735</v>
      </c>
      <c r="Z430" s="77"/>
      <c r="AA430" s="77"/>
      <c r="AB430" s="77" t="s">
        <v>54</v>
      </c>
      <c r="AC430" s="77" t="s">
        <v>40</v>
      </c>
      <c r="AD430" s="88">
        <v>5705</v>
      </c>
      <c r="AE430" s="88">
        <v>5135</v>
      </c>
      <c r="AF430" s="88">
        <v>4365</v>
      </c>
    </row>
    <row r="431" s="44" customFormat="1" ht="63" customHeight="1" spans="1:32">
      <c r="A431" s="55">
        <v>112</v>
      </c>
      <c r="B431" s="55" t="s">
        <v>1736</v>
      </c>
      <c r="C431" s="55" t="s">
        <v>1737</v>
      </c>
      <c r="D431" s="55" t="s">
        <v>350</v>
      </c>
      <c r="E431" s="59" t="s">
        <v>1738</v>
      </c>
      <c r="F431" s="59" t="s">
        <v>1739</v>
      </c>
      <c r="G431" s="55" t="s">
        <v>54</v>
      </c>
      <c r="H431" s="59" t="s">
        <v>1740</v>
      </c>
      <c r="I431" s="30">
        <v>9600</v>
      </c>
      <c r="J431" s="30">
        <v>8640</v>
      </c>
      <c r="K431" s="64">
        <v>8440</v>
      </c>
      <c r="L431" s="64">
        <v>7600</v>
      </c>
      <c r="M431" s="64">
        <v>6460</v>
      </c>
      <c r="N431" s="68">
        <v>8700</v>
      </c>
      <c r="O431" s="68">
        <v>7850</v>
      </c>
      <c r="P431" s="68">
        <v>6680</v>
      </c>
      <c r="Q431" s="55" t="s">
        <v>41</v>
      </c>
      <c r="R431" s="55" t="s">
        <v>40</v>
      </c>
      <c r="S431" s="74" t="s">
        <v>40</v>
      </c>
      <c r="T431" s="64" t="s">
        <v>994</v>
      </c>
      <c r="U431" s="115" t="s">
        <v>1535</v>
      </c>
      <c r="V431" s="76" t="s">
        <v>1741</v>
      </c>
      <c r="W431" s="83">
        <v>428</v>
      </c>
      <c r="X431" s="76">
        <v>330802019</v>
      </c>
      <c r="Y431" s="77" t="s">
        <v>1742</v>
      </c>
      <c r="Z431" s="77" t="s">
        <v>1743</v>
      </c>
      <c r="AA431" s="77"/>
      <c r="AB431" s="77" t="s">
        <v>54</v>
      </c>
      <c r="AC431" s="77" t="s">
        <v>40</v>
      </c>
      <c r="AD431" s="88">
        <v>8440</v>
      </c>
      <c r="AE431" s="88">
        <v>7600</v>
      </c>
      <c r="AF431" s="88">
        <v>6460</v>
      </c>
    </row>
    <row r="432" s="44" customFormat="1" ht="38" customHeight="1" spans="1:32">
      <c r="A432" s="55" t="s">
        <v>55</v>
      </c>
      <c r="B432" s="55" t="s">
        <v>1744</v>
      </c>
      <c r="C432" s="55" t="s">
        <v>1745</v>
      </c>
      <c r="D432" s="55" t="s">
        <v>350</v>
      </c>
      <c r="E432" s="59" t="s">
        <v>40</v>
      </c>
      <c r="F432" s="59" t="s">
        <v>40</v>
      </c>
      <c r="G432" s="55" t="s">
        <v>54</v>
      </c>
      <c r="H432" s="59" t="s">
        <v>40</v>
      </c>
      <c r="I432" s="30">
        <v>2880</v>
      </c>
      <c r="J432" s="30">
        <v>2592</v>
      </c>
      <c r="K432" s="64"/>
      <c r="L432" s="64"/>
      <c r="M432" s="64"/>
      <c r="N432" s="35">
        <v>2610</v>
      </c>
      <c r="O432" s="35">
        <v>2355</v>
      </c>
      <c r="P432" s="35">
        <v>2004</v>
      </c>
      <c r="Q432" s="55" t="s">
        <v>41</v>
      </c>
      <c r="R432" s="55" t="s">
        <v>40</v>
      </c>
      <c r="S432" s="74" t="s">
        <v>40</v>
      </c>
      <c r="T432" s="64"/>
      <c r="U432" s="59" t="s">
        <v>305</v>
      </c>
      <c r="V432" s="76" t="s">
        <v>1746</v>
      </c>
      <c r="W432" s="83">
        <v>429</v>
      </c>
      <c r="X432" s="76">
        <v>33080201901</v>
      </c>
      <c r="Y432" s="77" t="s">
        <v>1747</v>
      </c>
      <c r="Z432" s="77"/>
      <c r="AA432" s="77"/>
      <c r="AB432" s="77" t="s">
        <v>54</v>
      </c>
      <c r="AC432" s="77" t="s">
        <v>40</v>
      </c>
      <c r="AD432" s="88">
        <v>10970</v>
      </c>
      <c r="AE432" s="88">
        <v>9880</v>
      </c>
      <c r="AF432" s="88">
        <v>8400</v>
      </c>
    </row>
    <row r="433" s="44" customFormat="1" ht="38" customHeight="1" spans="1:32">
      <c r="A433" s="55">
        <v>113</v>
      </c>
      <c r="B433" s="55" t="s">
        <v>1748</v>
      </c>
      <c r="C433" s="55" t="s">
        <v>1749</v>
      </c>
      <c r="D433" s="55" t="s">
        <v>350</v>
      </c>
      <c r="E433" s="59" t="s">
        <v>1750</v>
      </c>
      <c r="F433" s="59" t="s">
        <v>1751</v>
      </c>
      <c r="G433" s="55" t="s">
        <v>54</v>
      </c>
      <c r="H433" s="59" t="s">
        <v>40</v>
      </c>
      <c r="I433" s="30">
        <v>7969</v>
      </c>
      <c r="J433" s="30">
        <v>7172</v>
      </c>
      <c r="K433" s="64"/>
      <c r="L433" s="64"/>
      <c r="M433" s="64"/>
      <c r="N433" s="35">
        <v>7200</v>
      </c>
      <c r="O433" s="35">
        <v>6500</v>
      </c>
      <c r="P433" s="35">
        <v>5550</v>
      </c>
      <c r="Q433" s="55" t="s">
        <v>169</v>
      </c>
      <c r="R433" s="55" t="s">
        <v>40</v>
      </c>
      <c r="S433" s="74" t="s">
        <v>40</v>
      </c>
      <c r="T433" s="64" t="s">
        <v>170</v>
      </c>
      <c r="U433" s="59" t="s">
        <v>404</v>
      </c>
      <c r="V433" s="76"/>
      <c r="W433" s="83">
        <v>430</v>
      </c>
      <c r="X433" s="76"/>
      <c r="Y433" s="55"/>
      <c r="Z433" s="55"/>
      <c r="AA433" s="55"/>
      <c r="AB433" s="55"/>
      <c r="AC433" s="77"/>
      <c r="AD433" s="88"/>
      <c r="AE433" s="88"/>
      <c r="AF433" s="88"/>
    </row>
    <row r="434" s="44" customFormat="1" ht="38" customHeight="1" spans="1:32">
      <c r="A434" s="55" t="s">
        <v>55</v>
      </c>
      <c r="B434" s="55" t="s">
        <v>1752</v>
      </c>
      <c r="C434" s="55" t="s">
        <v>1753</v>
      </c>
      <c r="D434" s="55" t="s">
        <v>350</v>
      </c>
      <c r="E434" s="59" t="s">
        <v>40</v>
      </c>
      <c r="F434" s="59" t="s">
        <v>40</v>
      </c>
      <c r="G434" s="55" t="s">
        <v>54</v>
      </c>
      <c r="H434" s="59" t="s">
        <v>40</v>
      </c>
      <c r="I434" s="30">
        <v>2391</v>
      </c>
      <c r="J434" s="30">
        <v>2152</v>
      </c>
      <c r="K434" s="64"/>
      <c r="L434" s="64"/>
      <c r="M434" s="64"/>
      <c r="N434" s="35">
        <v>2160</v>
      </c>
      <c r="O434" s="35">
        <v>1950</v>
      </c>
      <c r="P434" s="35">
        <v>1665</v>
      </c>
      <c r="Q434" s="35" t="e">
        <f t="shared" ref="N434:S434" si="10">Q433*0.3</f>
        <v>#VALUE!</v>
      </c>
      <c r="R434" s="35" t="e">
        <f t="shared" si="10"/>
        <v>#VALUE!</v>
      </c>
      <c r="S434" s="35" t="e">
        <f t="shared" si="10"/>
        <v>#VALUE!</v>
      </c>
      <c r="T434" s="64"/>
      <c r="U434" s="59" t="s">
        <v>305</v>
      </c>
      <c r="V434" s="76"/>
      <c r="W434" s="83">
        <v>431</v>
      </c>
      <c r="X434" s="76"/>
      <c r="Y434" s="77"/>
      <c r="Z434" s="77"/>
      <c r="AA434" s="77"/>
      <c r="AB434" s="77"/>
      <c r="AC434" s="77"/>
      <c r="AD434" s="88"/>
      <c r="AE434" s="88"/>
      <c r="AF434" s="88"/>
    </row>
    <row r="435" s="44" customFormat="1" ht="38" customHeight="1" spans="1:32">
      <c r="A435" s="55">
        <v>114</v>
      </c>
      <c r="B435" s="55" t="s">
        <v>1754</v>
      </c>
      <c r="C435" s="55" t="s">
        <v>1755</v>
      </c>
      <c r="D435" s="55" t="s">
        <v>350</v>
      </c>
      <c r="E435" s="59" t="s">
        <v>1756</v>
      </c>
      <c r="F435" s="59" t="s">
        <v>1757</v>
      </c>
      <c r="G435" s="55" t="s">
        <v>54</v>
      </c>
      <c r="H435" s="59" t="s">
        <v>40</v>
      </c>
      <c r="I435" s="30">
        <v>5760</v>
      </c>
      <c r="J435" s="30">
        <v>5184</v>
      </c>
      <c r="K435" s="64">
        <v>5060</v>
      </c>
      <c r="L435" s="64">
        <v>4550</v>
      </c>
      <c r="M435" s="64">
        <v>3870</v>
      </c>
      <c r="N435" s="68">
        <v>5200</v>
      </c>
      <c r="O435" s="68">
        <v>4700</v>
      </c>
      <c r="P435" s="68">
        <v>4000</v>
      </c>
      <c r="Q435" s="55" t="s">
        <v>41</v>
      </c>
      <c r="R435" s="55" t="s">
        <v>40</v>
      </c>
      <c r="S435" s="74" t="s">
        <v>40</v>
      </c>
      <c r="T435" s="64" t="s">
        <v>994</v>
      </c>
      <c r="U435" s="115" t="s">
        <v>1535</v>
      </c>
      <c r="V435" s="76" t="s">
        <v>1758</v>
      </c>
      <c r="W435" s="83">
        <v>432</v>
      </c>
      <c r="X435" s="76">
        <v>330802011</v>
      </c>
      <c r="Y435" s="77" t="s">
        <v>1759</v>
      </c>
      <c r="Z435" s="77"/>
      <c r="AA435" s="77"/>
      <c r="AB435" s="77" t="s">
        <v>1760</v>
      </c>
      <c r="AC435" s="77" t="s">
        <v>1761</v>
      </c>
      <c r="AD435" s="88">
        <v>5060</v>
      </c>
      <c r="AE435" s="88">
        <v>4550</v>
      </c>
      <c r="AF435" s="88">
        <v>3870</v>
      </c>
    </row>
    <row r="436" s="44" customFormat="1" ht="38" customHeight="1" spans="1:32">
      <c r="A436" s="55"/>
      <c r="B436" s="55"/>
      <c r="C436" s="55"/>
      <c r="D436" s="55"/>
      <c r="E436" s="59"/>
      <c r="F436" s="59"/>
      <c r="G436" s="55"/>
      <c r="H436" s="59"/>
      <c r="I436" s="37"/>
      <c r="J436" s="37"/>
      <c r="K436" s="64"/>
      <c r="L436" s="64"/>
      <c r="M436" s="64"/>
      <c r="N436" s="68"/>
      <c r="O436" s="68"/>
      <c r="P436" s="68"/>
      <c r="Q436" s="55"/>
      <c r="R436" s="55"/>
      <c r="S436" s="74"/>
      <c r="T436" s="64"/>
      <c r="U436" s="115"/>
      <c r="V436" s="76" t="s">
        <v>1762</v>
      </c>
      <c r="W436" s="83">
        <v>433</v>
      </c>
      <c r="X436" s="76">
        <v>330802040</v>
      </c>
      <c r="Y436" s="77" t="s">
        <v>1763</v>
      </c>
      <c r="Z436" s="77" t="s">
        <v>1764</v>
      </c>
      <c r="AA436" s="77"/>
      <c r="AB436" s="77" t="s">
        <v>54</v>
      </c>
      <c r="AC436" s="77" t="s">
        <v>40</v>
      </c>
      <c r="AD436" s="88">
        <v>9280</v>
      </c>
      <c r="AE436" s="88">
        <v>8350</v>
      </c>
      <c r="AF436" s="88">
        <v>7100</v>
      </c>
    </row>
    <row r="437" s="44" customFormat="1" ht="38" customHeight="1" spans="1:32">
      <c r="A437" s="55" t="s">
        <v>55</v>
      </c>
      <c r="B437" s="55" t="s">
        <v>1765</v>
      </c>
      <c r="C437" s="55" t="s">
        <v>1766</v>
      </c>
      <c r="D437" s="55" t="s">
        <v>350</v>
      </c>
      <c r="E437" s="59" t="s">
        <v>40</v>
      </c>
      <c r="F437" s="59" t="s">
        <v>40</v>
      </c>
      <c r="G437" s="55" t="s">
        <v>54</v>
      </c>
      <c r="H437" s="59" t="s">
        <v>40</v>
      </c>
      <c r="I437" s="30">
        <v>1728</v>
      </c>
      <c r="J437" s="30">
        <v>1555</v>
      </c>
      <c r="K437" s="64"/>
      <c r="L437" s="64"/>
      <c r="M437" s="64"/>
      <c r="N437" s="35">
        <v>1560</v>
      </c>
      <c r="O437" s="35">
        <v>1410</v>
      </c>
      <c r="P437" s="35">
        <v>1200</v>
      </c>
      <c r="Q437" s="55" t="s">
        <v>41</v>
      </c>
      <c r="R437" s="55" t="s">
        <v>40</v>
      </c>
      <c r="S437" s="74" t="s">
        <v>40</v>
      </c>
      <c r="T437" s="64"/>
      <c r="U437" s="59" t="s">
        <v>305</v>
      </c>
      <c r="V437" s="76" t="s">
        <v>1767</v>
      </c>
      <c r="W437" s="83">
        <v>434</v>
      </c>
      <c r="X437" s="76">
        <v>33080201102</v>
      </c>
      <c r="Y437" s="77" t="s">
        <v>1768</v>
      </c>
      <c r="Z437" s="77"/>
      <c r="AA437" s="77"/>
      <c r="AB437" s="77" t="s">
        <v>1760</v>
      </c>
      <c r="AC437" s="77" t="s">
        <v>40</v>
      </c>
      <c r="AD437" s="88">
        <v>6580</v>
      </c>
      <c r="AE437" s="88">
        <v>5915</v>
      </c>
      <c r="AF437" s="88">
        <v>5030</v>
      </c>
    </row>
    <row r="438" s="44" customFormat="1" ht="38" customHeight="1" spans="1:32">
      <c r="A438" s="55"/>
      <c r="B438" s="55"/>
      <c r="C438" s="55"/>
      <c r="D438" s="55"/>
      <c r="E438" s="59"/>
      <c r="F438" s="59"/>
      <c r="G438" s="55"/>
      <c r="H438" s="59"/>
      <c r="I438" s="37"/>
      <c r="J438" s="37"/>
      <c r="K438" s="64"/>
      <c r="L438" s="64"/>
      <c r="M438" s="64"/>
      <c r="N438" s="35"/>
      <c r="O438" s="35"/>
      <c r="P438" s="35"/>
      <c r="Q438" s="55"/>
      <c r="R438" s="55"/>
      <c r="S438" s="74"/>
      <c r="T438" s="64"/>
      <c r="U438" s="59"/>
      <c r="V438" s="76" t="s">
        <v>1769</v>
      </c>
      <c r="W438" s="83">
        <v>435</v>
      </c>
      <c r="X438" s="76">
        <v>33080204001</v>
      </c>
      <c r="Y438" s="77" t="s">
        <v>1770</v>
      </c>
      <c r="Z438" s="77"/>
      <c r="AA438" s="77"/>
      <c r="AB438" s="77" t="s">
        <v>54</v>
      </c>
      <c r="AC438" s="77" t="s">
        <v>40</v>
      </c>
      <c r="AD438" s="88">
        <v>12065</v>
      </c>
      <c r="AE438" s="88">
        <v>10855</v>
      </c>
      <c r="AF438" s="88">
        <v>9225</v>
      </c>
    </row>
    <row r="439" s="44" customFormat="1" ht="38" customHeight="1" spans="1:32">
      <c r="A439" s="111" t="s">
        <v>55</v>
      </c>
      <c r="B439" s="55" t="s">
        <v>1771</v>
      </c>
      <c r="C439" s="55" t="s">
        <v>1772</v>
      </c>
      <c r="D439" s="55" t="s">
        <v>350</v>
      </c>
      <c r="E439" s="59" t="s">
        <v>40</v>
      </c>
      <c r="F439" s="59" t="s">
        <v>40</v>
      </c>
      <c r="G439" s="55" t="s">
        <v>54</v>
      </c>
      <c r="H439" s="59"/>
      <c r="I439" s="30">
        <v>800</v>
      </c>
      <c r="J439" s="30">
        <v>720</v>
      </c>
      <c r="K439" s="64"/>
      <c r="L439" s="64"/>
      <c r="M439" s="64"/>
      <c r="N439" s="35">
        <v>720</v>
      </c>
      <c r="O439" s="35">
        <v>650</v>
      </c>
      <c r="P439" s="35">
        <v>550</v>
      </c>
      <c r="Q439" s="55" t="s">
        <v>41</v>
      </c>
      <c r="R439" s="55" t="s">
        <v>40</v>
      </c>
      <c r="S439" s="74" t="s">
        <v>40</v>
      </c>
      <c r="T439" s="64"/>
      <c r="U439" s="59" t="s">
        <v>1773</v>
      </c>
      <c r="V439" s="76" t="s">
        <v>1774</v>
      </c>
      <c r="W439" s="83">
        <v>436</v>
      </c>
      <c r="X439" s="76">
        <v>33080201101</v>
      </c>
      <c r="Y439" s="77" t="s">
        <v>1775</v>
      </c>
      <c r="Z439" s="77"/>
      <c r="AA439" s="77"/>
      <c r="AB439" s="77" t="s">
        <v>54</v>
      </c>
      <c r="AC439" s="77" t="s">
        <v>1776</v>
      </c>
      <c r="AD439" s="88">
        <v>5780</v>
      </c>
      <c r="AE439" s="88">
        <v>5200</v>
      </c>
      <c r="AF439" s="88">
        <v>4425</v>
      </c>
    </row>
    <row r="440" s="44" customFormat="1" ht="38" customHeight="1" spans="1:32">
      <c r="A440" s="111"/>
      <c r="B440" s="55"/>
      <c r="C440" s="55"/>
      <c r="D440" s="55"/>
      <c r="E440" s="59"/>
      <c r="F440" s="59"/>
      <c r="G440" s="55"/>
      <c r="H440" s="59"/>
      <c r="I440" s="37"/>
      <c r="J440" s="37"/>
      <c r="K440" s="64"/>
      <c r="L440" s="64"/>
      <c r="M440" s="64"/>
      <c r="N440" s="35"/>
      <c r="O440" s="35"/>
      <c r="P440" s="35"/>
      <c r="Q440" s="55"/>
      <c r="R440" s="55"/>
      <c r="S440" s="74"/>
      <c r="T440" s="64"/>
      <c r="U440" s="59"/>
      <c r="V440" s="76" t="s">
        <v>1777</v>
      </c>
      <c r="W440" s="83">
        <v>437</v>
      </c>
      <c r="X440" s="76">
        <v>33080201103</v>
      </c>
      <c r="Y440" s="77" t="s">
        <v>1778</v>
      </c>
      <c r="Z440" s="77"/>
      <c r="AA440" s="77"/>
      <c r="AB440" s="77" t="s">
        <v>54</v>
      </c>
      <c r="AC440" s="77" t="s">
        <v>1776</v>
      </c>
      <c r="AD440" s="88">
        <v>7515</v>
      </c>
      <c r="AE440" s="88">
        <v>6760</v>
      </c>
      <c r="AF440" s="88">
        <v>5745</v>
      </c>
    </row>
    <row r="441" s="44" customFormat="1" ht="38" customHeight="1" spans="1:32">
      <c r="A441" s="55" t="s">
        <v>55</v>
      </c>
      <c r="B441" s="55" t="s">
        <v>1779</v>
      </c>
      <c r="C441" s="55" t="s">
        <v>1780</v>
      </c>
      <c r="D441" s="55" t="s">
        <v>350</v>
      </c>
      <c r="E441" s="59" t="s">
        <v>40</v>
      </c>
      <c r="F441" s="59" t="s">
        <v>40</v>
      </c>
      <c r="G441" s="55" t="s">
        <v>54</v>
      </c>
      <c r="H441" s="59" t="s">
        <v>40</v>
      </c>
      <c r="I441" s="30">
        <v>5353</v>
      </c>
      <c r="J441" s="30">
        <v>4818</v>
      </c>
      <c r="K441" s="64"/>
      <c r="L441" s="64"/>
      <c r="M441" s="64"/>
      <c r="N441" s="35">
        <v>4835</v>
      </c>
      <c r="O441" s="35">
        <v>4370</v>
      </c>
      <c r="P441" s="35">
        <v>3720</v>
      </c>
      <c r="Q441" s="55" t="s">
        <v>41</v>
      </c>
      <c r="R441" s="55" t="s">
        <v>40</v>
      </c>
      <c r="S441" s="74" t="s">
        <v>40</v>
      </c>
      <c r="T441" s="64"/>
      <c r="U441" s="59" t="s">
        <v>1773</v>
      </c>
      <c r="V441" s="76" t="s">
        <v>1781</v>
      </c>
      <c r="W441" s="83">
        <v>438</v>
      </c>
      <c r="X441" s="76">
        <v>330802017</v>
      </c>
      <c r="Y441" s="77" t="s">
        <v>1782</v>
      </c>
      <c r="Z441" s="77" t="s">
        <v>1783</v>
      </c>
      <c r="AA441" s="77"/>
      <c r="AB441" s="77" t="s">
        <v>54</v>
      </c>
      <c r="AC441" s="77" t="s">
        <v>40</v>
      </c>
      <c r="AD441" s="88">
        <v>9280</v>
      </c>
      <c r="AE441" s="88">
        <v>8350</v>
      </c>
      <c r="AF441" s="88">
        <v>7100</v>
      </c>
    </row>
    <row r="442" s="44" customFormat="1" ht="38" customHeight="1" spans="1:32">
      <c r="A442" s="55"/>
      <c r="B442" s="55"/>
      <c r="C442" s="55"/>
      <c r="D442" s="55"/>
      <c r="E442" s="59"/>
      <c r="F442" s="59"/>
      <c r="G442" s="55"/>
      <c r="H442" s="59"/>
      <c r="I442" s="37"/>
      <c r="J442" s="37"/>
      <c r="K442" s="64"/>
      <c r="L442" s="64"/>
      <c r="M442" s="64"/>
      <c r="N442" s="35"/>
      <c r="O442" s="35"/>
      <c r="P442" s="35"/>
      <c r="Q442" s="55"/>
      <c r="R442" s="55"/>
      <c r="S442" s="74"/>
      <c r="T442" s="64"/>
      <c r="U442" s="59"/>
      <c r="V442" s="76" t="s">
        <v>1784</v>
      </c>
      <c r="W442" s="83">
        <v>439</v>
      </c>
      <c r="X442" s="76">
        <v>33080201701</v>
      </c>
      <c r="Y442" s="77" t="s">
        <v>1785</v>
      </c>
      <c r="Z442" s="77"/>
      <c r="AA442" s="77"/>
      <c r="AB442" s="77" t="s">
        <v>54</v>
      </c>
      <c r="AC442" s="77" t="s">
        <v>40</v>
      </c>
      <c r="AD442" s="88">
        <v>12065</v>
      </c>
      <c r="AE442" s="88">
        <v>10855</v>
      </c>
      <c r="AF442" s="88">
        <v>9225</v>
      </c>
    </row>
    <row r="443" s="44" customFormat="1" ht="64" customHeight="1" spans="1:32">
      <c r="A443" s="55">
        <v>115</v>
      </c>
      <c r="B443" s="55" t="s">
        <v>1786</v>
      </c>
      <c r="C443" s="55" t="s">
        <v>1787</v>
      </c>
      <c r="D443" s="55" t="s">
        <v>350</v>
      </c>
      <c r="E443" s="59" t="s">
        <v>1788</v>
      </c>
      <c r="F443" s="59" t="s">
        <v>1789</v>
      </c>
      <c r="G443" s="55" t="s">
        <v>54</v>
      </c>
      <c r="H443" s="59" t="s">
        <v>40</v>
      </c>
      <c r="I443" s="30">
        <v>8794</v>
      </c>
      <c r="J443" s="30">
        <v>7915</v>
      </c>
      <c r="K443" s="64"/>
      <c r="L443" s="64"/>
      <c r="M443" s="64"/>
      <c r="N443" s="35">
        <v>7950</v>
      </c>
      <c r="O443" s="35">
        <v>7160</v>
      </c>
      <c r="P443" s="35">
        <v>6090</v>
      </c>
      <c r="Q443" s="55" t="s">
        <v>169</v>
      </c>
      <c r="R443" s="55" t="s">
        <v>40</v>
      </c>
      <c r="S443" s="74" t="s">
        <v>40</v>
      </c>
      <c r="T443" s="64" t="s">
        <v>170</v>
      </c>
      <c r="U443" s="59" t="s">
        <v>404</v>
      </c>
      <c r="V443" s="76"/>
      <c r="W443" s="83">
        <v>440</v>
      </c>
      <c r="X443" s="76"/>
      <c r="Y443" s="55"/>
      <c r="Z443" s="55"/>
      <c r="AA443" s="55"/>
      <c r="AB443" s="55"/>
      <c r="AC443" s="77"/>
      <c r="AD443" s="88"/>
      <c r="AE443" s="88"/>
      <c r="AF443" s="88"/>
    </row>
    <row r="444" s="44" customFormat="1" ht="38" customHeight="1" spans="1:32">
      <c r="A444" s="55" t="s">
        <v>55</v>
      </c>
      <c r="B444" s="55" t="s">
        <v>1790</v>
      </c>
      <c r="C444" s="55" t="s">
        <v>1791</v>
      </c>
      <c r="D444" s="55" t="s">
        <v>350</v>
      </c>
      <c r="E444" s="59" t="s">
        <v>40</v>
      </c>
      <c r="F444" s="59" t="s">
        <v>40</v>
      </c>
      <c r="G444" s="55" t="s">
        <v>54</v>
      </c>
      <c r="H444" s="59" t="s">
        <v>40</v>
      </c>
      <c r="I444" s="30">
        <v>2638</v>
      </c>
      <c r="J444" s="30">
        <v>2374</v>
      </c>
      <c r="K444" s="64"/>
      <c r="L444" s="64"/>
      <c r="M444" s="64"/>
      <c r="N444" s="35">
        <v>2385</v>
      </c>
      <c r="O444" s="35">
        <v>2150</v>
      </c>
      <c r="P444" s="35">
        <v>1825</v>
      </c>
      <c r="Q444" s="55" t="s">
        <v>169</v>
      </c>
      <c r="R444" s="55" t="s">
        <v>40</v>
      </c>
      <c r="S444" s="74" t="s">
        <v>40</v>
      </c>
      <c r="T444" s="64"/>
      <c r="U444" s="59" t="s">
        <v>305</v>
      </c>
      <c r="V444" s="76"/>
      <c r="W444" s="83">
        <v>441</v>
      </c>
      <c r="X444" s="76"/>
      <c r="Y444" s="77"/>
      <c r="Z444" s="77"/>
      <c r="AA444" s="77"/>
      <c r="AB444" s="77"/>
      <c r="AC444" s="77"/>
      <c r="AD444" s="88"/>
      <c r="AE444" s="88"/>
      <c r="AF444" s="88"/>
    </row>
    <row r="445" s="44" customFormat="1" ht="70" customHeight="1" spans="1:32">
      <c r="A445" s="55">
        <v>116</v>
      </c>
      <c r="B445" s="55" t="s">
        <v>1792</v>
      </c>
      <c r="C445" s="55" t="s">
        <v>1793</v>
      </c>
      <c r="D445" s="55" t="s">
        <v>350</v>
      </c>
      <c r="E445" s="59" t="s">
        <v>1794</v>
      </c>
      <c r="F445" s="59" t="s">
        <v>1795</v>
      </c>
      <c r="G445" s="55" t="s">
        <v>54</v>
      </c>
      <c r="H445" s="59" t="s">
        <v>1796</v>
      </c>
      <c r="I445" s="30">
        <v>4950</v>
      </c>
      <c r="J445" s="30">
        <v>4455</v>
      </c>
      <c r="K445" s="64">
        <v>3880</v>
      </c>
      <c r="L445" s="64">
        <v>3490</v>
      </c>
      <c r="M445" s="64">
        <v>2970</v>
      </c>
      <c r="N445" s="68">
        <v>4500</v>
      </c>
      <c r="O445" s="68">
        <v>4050</v>
      </c>
      <c r="P445" s="68">
        <v>3450</v>
      </c>
      <c r="Q445" s="112" t="s">
        <v>41</v>
      </c>
      <c r="R445" s="112" t="s">
        <v>40</v>
      </c>
      <c r="S445" s="113" t="s">
        <v>40</v>
      </c>
      <c r="T445" s="64" t="s">
        <v>698</v>
      </c>
      <c r="U445" s="115" t="s">
        <v>1797</v>
      </c>
      <c r="V445" s="76" t="s">
        <v>1798</v>
      </c>
      <c r="W445" s="83">
        <v>442</v>
      </c>
      <c r="X445" s="76">
        <v>330802020</v>
      </c>
      <c r="Y445" s="77" t="s">
        <v>1799</v>
      </c>
      <c r="Z445" s="77"/>
      <c r="AA445" s="77"/>
      <c r="AB445" s="77" t="s">
        <v>54</v>
      </c>
      <c r="AC445" s="77" t="s">
        <v>40</v>
      </c>
      <c r="AD445" s="88">
        <v>3880</v>
      </c>
      <c r="AE445" s="88">
        <v>3490</v>
      </c>
      <c r="AF445" s="88">
        <v>2970</v>
      </c>
    </row>
    <row r="446" s="44" customFormat="1" ht="38" customHeight="1" spans="1:32">
      <c r="A446" s="55" t="s">
        <v>55</v>
      </c>
      <c r="B446" s="55" t="s">
        <v>1800</v>
      </c>
      <c r="C446" s="55" t="s">
        <v>1801</v>
      </c>
      <c r="D446" s="55" t="s">
        <v>350</v>
      </c>
      <c r="E446" s="59" t="s">
        <v>40</v>
      </c>
      <c r="F446" s="59" t="s">
        <v>40</v>
      </c>
      <c r="G446" s="55" t="s">
        <v>54</v>
      </c>
      <c r="H446" s="59" t="s">
        <v>40</v>
      </c>
      <c r="I446" s="30">
        <v>1485</v>
      </c>
      <c r="J446" s="30">
        <v>1337</v>
      </c>
      <c r="K446" s="64"/>
      <c r="L446" s="64"/>
      <c r="M446" s="64"/>
      <c r="N446" s="69">
        <v>1350</v>
      </c>
      <c r="O446" s="69">
        <v>1215</v>
      </c>
      <c r="P446" s="69">
        <v>1035</v>
      </c>
      <c r="Q446" s="111" t="s">
        <v>41</v>
      </c>
      <c r="R446" s="111" t="s">
        <v>40</v>
      </c>
      <c r="S446" s="114" t="s">
        <v>40</v>
      </c>
      <c r="T446" s="64"/>
      <c r="U446" s="110" t="s">
        <v>305</v>
      </c>
      <c r="V446" s="76" t="s">
        <v>1802</v>
      </c>
      <c r="W446" s="83">
        <v>443</v>
      </c>
      <c r="X446" s="76">
        <v>33080202001</v>
      </c>
      <c r="Y446" s="77" t="s">
        <v>1803</v>
      </c>
      <c r="Z446" s="77"/>
      <c r="AA446" s="77"/>
      <c r="AB446" s="77" t="s">
        <v>54</v>
      </c>
      <c r="AC446" s="77" t="s">
        <v>40</v>
      </c>
      <c r="AD446" s="88">
        <v>5045</v>
      </c>
      <c r="AE446" s="88">
        <v>4535</v>
      </c>
      <c r="AF446" s="88">
        <v>3855</v>
      </c>
    </row>
    <row r="447" s="44" customFormat="1" ht="38" customHeight="1" spans="1:32">
      <c r="A447" s="111" t="s">
        <v>55</v>
      </c>
      <c r="B447" s="55" t="s">
        <v>1804</v>
      </c>
      <c r="C447" s="55" t="s">
        <v>1805</v>
      </c>
      <c r="D447" s="55" t="s">
        <v>350</v>
      </c>
      <c r="E447" s="59" t="s">
        <v>40</v>
      </c>
      <c r="F447" s="59" t="s">
        <v>40</v>
      </c>
      <c r="G447" s="55" t="s">
        <v>54</v>
      </c>
      <c r="H447" s="59"/>
      <c r="I447" s="30">
        <v>810</v>
      </c>
      <c r="J447" s="30">
        <v>729</v>
      </c>
      <c r="K447" s="64"/>
      <c r="L447" s="64">
        <v>500</v>
      </c>
      <c r="M447" s="64"/>
      <c r="N447" s="35">
        <v>735</v>
      </c>
      <c r="O447" s="35">
        <v>665</v>
      </c>
      <c r="P447" s="35">
        <v>565</v>
      </c>
      <c r="Q447" s="55" t="s">
        <v>41</v>
      </c>
      <c r="R447" s="55" t="s">
        <v>40</v>
      </c>
      <c r="S447" s="74" t="s">
        <v>40</v>
      </c>
      <c r="T447" s="64"/>
      <c r="U447" s="59" t="s">
        <v>1468</v>
      </c>
      <c r="V447" s="76" t="s">
        <v>1806</v>
      </c>
      <c r="W447" s="83">
        <v>444</v>
      </c>
      <c r="X447" s="76">
        <v>330802022</v>
      </c>
      <c r="Y447" s="77" t="s">
        <v>1807</v>
      </c>
      <c r="Z447" s="77"/>
      <c r="AA447" s="77"/>
      <c r="AB447" s="77" t="s">
        <v>54</v>
      </c>
      <c r="AC447" s="77" t="s">
        <v>40</v>
      </c>
      <c r="AD447" s="88">
        <v>5060</v>
      </c>
      <c r="AE447" s="88">
        <v>4550</v>
      </c>
      <c r="AF447" s="88">
        <v>3870</v>
      </c>
    </row>
    <row r="448" s="44" customFormat="1" ht="38" customHeight="1" spans="1:32">
      <c r="A448" s="111"/>
      <c r="B448" s="55"/>
      <c r="C448" s="55"/>
      <c r="D448" s="55"/>
      <c r="E448" s="59"/>
      <c r="F448" s="59"/>
      <c r="G448" s="55"/>
      <c r="H448" s="59"/>
      <c r="I448" s="37"/>
      <c r="J448" s="37"/>
      <c r="K448" s="64"/>
      <c r="L448" s="64"/>
      <c r="M448" s="64"/>
      <c r="N448" s="35"/>
      <c r="O448" s="35"/>
      <c r="P448" s="35"/>
      <c r="Q448" s="55"/>
      <c r="R448" s="55"/>
      <c r="S448" s="74"/>
      <c r="T448" s="64"/>
      <c r="U448" s="59"/>
      <c r="V448" s="76" t="s">
        <v>1808</v>
      </c>
      <c r="W448" s="83">
        <v>445</v>
      </c>
      <c r="X448" s="76">
        <v>33080202201</v>
      </c>
      <c r="Y448" s="77" t="s">
        <v>1809</v>
      </c>
      <c r="Z448" s="77"/>
      <c r="AA448" s="77"/>
      <c r="AB448" s="77" t="s">
        <v>54</v>
      </c>
      <c r="AC448" s="77" t="s">
        <v>40</v>
      </c>
      <c r="AD448" s="88">
        <v>6580</v>
      </c>
      <c r="AE448" s="88">
        <v>5915</v>
      </c>
      <c r="AF448" s="88">
        <v>5030</v>
      </c>
    </row>
    <row r="449" s="44" customFormat="1" ht="55" customHeight="1" spans="1:32">
      <c r="A449" s="55">
        <v>117</v>
      </c>
      <c r="B449" s="55" t="s">
        <v>1810</v>
      </c>
      <c r="C449" s="55" t="s">
        <v>1811</v>
      </c>
      <c r="D449" s="55" t="s">
        <v>350</v>
      </c>
      <c r="E449" s="59" t="s">
        <v>1812</v>
      </c>
      <c r="F449" s="59" t="s">
        <v>1813</v>
      </c>
      <c r="G449" s="55" t="s">
        <v>54</v>
      </c>
      <c r="H449" s="59" t="s">
        <v>40</v>
      </c>
      <c r="I449" s="30">
        <v>8400</v>
      </c>
      <c r="J449" s="30">
        <v>7560</v>
      </c>
      <c r="K449" s="64">
        <v>7220</v>
      </c>
      <c r="L449" s="64">
        <v>6500</v>
      </c>
      <c r="M449" s="64">
        <v>5530</v>
      </c>
      <c r="N449" s="68">
        <v>7500</v>
      </c>
      <c r="O449" s="68">
        <v>6750</v>
      </c>
      <c r="P449" s="68">
        <v>5750</v>
      </c>
      <c r="Q449" s="55" t="s">
        <v>41</v>
      </c>
      <c r="R449" s="55" t="s">
        <v>40</v>
      </c>
      <c r="S449" s="74" t="s">
        <v>40</v>
      </c>
      <c r="T449" s="64" t="s">
        <v>994</v>
      </c>
      <c r="U449" s="115" t="s">
        <v>1535</v>
      </c>
      <c r="V449" s="76" t="s">
        <v>1814</v>
      </c>
      <c r="W449" s="83">
        <v>446</v>
      </c>
      <c r="X449" s="76">
        <v>330802021</v>
      </c>
      <c r="Y449" s="77" t="s">
        <v>1815</v>
      </c>
      <c r="Z449" s="77" t="s">
        <v>1816</v>
      </c>
      <c r="AA449" s="77"/>
      <c r="AB449" s="77" t="s">
        <v>54</v>
      </c>
      <c r="AC449" s="77" t="s">
        <v>40</v>
      </c>
      <c r="AD449" s="88">
        <v>7220</v>
      </c>
      <c r="AE449" s="88">
        <v>6500</v>
      </c>
      <c r="AF449" s="88">
        <v>5530</v>
      </c>
    </row>
    <row r="450" s="44" customFormat="1" ht="38" customHeight="1" spans="1:32">
      <c r="A450" s="55" t="s">
        <v>55</v>
      </c>
      <c r="B450" s="55" t="s">
        <v>1817</v>
      </c>
      <c r="C450" s="55" t="s">
        <v>1818</v>
      </c>
      <c r="D450" s="55" t="s">
        <v>350</v>
      </c>
      <c r="E450" s="59" t="s">
        <v>40</v>
      </c>
      <c r="F450" s="59" t="s">
        <v>40</v>
      </c>
      <c r="G450" s="55" t="s">
        <v>54</v>
      </c>
      <c r="H450" s="59" t="s">
        <v>40</v>
      </c>
      <c r="I450" s="30">
        <v>2520</v>
      </c>
      <c r="J450" s="30">
        <v>2268</v>
      </c>
      <c r="K450" s="64"/>
      <c r="L450" s="64"/>
      <c r="M450" s="64"/>
      <c r="N450" s="35">
        <v>2250</v>
      </c>
      <c r="O450" s="35">
        <v>2025</v>
      </c>
      <c r="P450" s="35">
        <v>1725</v>
      </c>
      <c r="Q450" s="55" t="s">
        <v>41</v>
      </c>
      <c r="R450" s="55" t="s">
        <v>40</v>
      </c>
      <c r="S450" s="74" t="s">
        <v>40</v>
      </c>
      <c r="T450" s="64"/>
      <c r="U450" s="59" t="s">
        <v>305</v>
      </c>
      <c r="V450" s="76" t="s">
        <v>1819</v>
      </c>
      <c r="W450" s="83">
        <v>447</v>
      </c>
      <c r="X450" s="76">
        <v>33080202101</v>
      </c>
      <c r="Y450" s="77" t="s">
        <v>1820</v>
      </c>
      <c r="Z450" s="77"/>
      <c r="AA450" s="77"/>
      <c r="AB450" s="77" t="s">
        <v>54</v>
      </c>
      <c r="AC450" s="77" t="s">
        <v>40</v>
      </c>
      <c r="AD450" s="88">
        <v>9385</v>
      </c>
      <c r="AE450" s="88">
        <v>8450</v>
      </c>
      <c r="AF450" s="88">
        <v>7185</v>
      </c>
    </row>
    <row r="451" s="44" customFormat="1" ht="38" customHeight="1" spans="1:32">
      <c r="A451" s="55">
        <v>118</v>
      </c>
      <c r="B451" s="55" t="s">
        <v>1821</v>
      </c>
      <c r="C451" s="55" t="s">
        <v>1822</v>
      </c>
      <c r="D451" s="55" t="s">
        <v>350</v>
      </c>
      <c r="E451" s="59" t="s">
        <v>1823</v>
      </c>
      <c r="F451" s="59" t="s">
        <v>1824</v>
      </c>
      <c r="G451" s="55" t="s">
        <v>54</v>
      </c>
      <c r="H451" s="59" t="s">
        <v>40</v>
      </c>
      <c r="I451" s="30">
        <v>2700</v>
      </c>
      <c r="J451" s="30">
        <v>2430</v>
      </c>
      <c r="K451" s="64">
        <v>2500</v>
      </c>
      <c r="L451" s="64">
        <v>2400</v>
      </c>
      <c r="M451" s="64">
        <v>2040</v>
      </c>
      <c r="N451" s="35">
        <v>2500</v>
      </c>
      <c r="O451" s="35">
        <v>2400</v>
      </c>
      <c r="P451" s="35">
        <v>2040</v>
      </c>
      <c r="Q451" s="55" t="s">
        <v>41</v>
      </c>
      <c r="R451" s="55" t="s">
        <v>40</v>
      </c>
      <c r="S451" s="74" t="s">
        <v>40</v>
      </c>
      <c r="T451" s="64" t="s">
        <v>183</v>
      </c>
      <c r="U451" s="59" t="s">
        <v>183</v>
      </c>
      <c r="V451" s="76" t="s">
        <v>1825</v>
      </c>
      <c r="W451" s="83">
        <v>448</v>
      </c>
      <c r="X451" s="76">
        <v>330802009</v>
      </c>
      <c r="Y451" s="77" t="s">
        <v>1826</v>
      </c>
      <c r="Z451" s="77"/>
      <c r="AA451" s="77"/>
      <c r="AB451" s="77" t="s">
        <v>54</v>
      </c>
      <c r="AC451" s="77" t="s">
        <v>40</v>
      </c>
      <c r="AD451" s="88">
        <v>2500</v>
      </c>
      <c r="AE451" s="88">
        <v>2400</v>
      </c>
      <c r="AF451" s="88">
        <v>2040</v>
      </c>
    </row>
    <row r="452" s="44" customFormat="1" ht="38" customHeight="1" spans="1:32">
      <c r="A452" s="55" t="s">
        <v>55</v>
      </c>
      <c r="B452" s="55" t="s">
        <v>1827</v>
      </c>
      <c r="C452" s="55" t="s">
        <v>1828</v>
      </c>
      <c r="D452" s="55" t="s">
        <v>350</v>
      </c>
      <c r="E452" s="59" t="s">
        <v>40</v>
      </c>
      <c r="F452" s="59" t="s">
        <v>40</v>
      </c>
      <c r="G452" s="55" t="s">
        <v>54</v>
      </c>
      <c r="H452" s="59" t="s">
        <v>40</v>
      </c>
      <c r="I452" s="30">
        <v>810</v>
      </c>
      <c r="J452" s="30">
        <v>729</v>
      </c>
      <c r="K452" s="64"/>
      <c r="L452" s="64"/>
      <c r="M452" s="64"/>
      <c r="N452" s="35">
        <v>750</v>
      </c>
      <c r="O452" s="35">
        <v>720</v>
      </c>
      <c r="P452" s="35">
        <v>610</v>
      </c>
      <c r="Q452" s="55" t="s">
        <v>41</v>
      </c>
      <c r="R452" s="55" t="s">
        <v>40</v>
      </c>
      <c r="S452" s="74" t="s">
        <v>40</v>
      </c>
      <c r="T452" s="64"/>
      <c r="U452" s="59" t="s">
        <v>305</v>
      </c>
      <c r="V452" s="76" t="s">
        <v>1829</v>
      </c>
      <c r="W452" s="83">
        <v>449</v>
      </c>
      <c r="X452" s="76">
        <v>33080200901</v>
      </c>
      <c r="Y452" s="77" t="s">
        <v>1830</v>
      </c>
      <c r="Z452" s="77"/>
      <c r="AA452" s="77"/>
      <c r="AB452" s="77" t="s">
        <v>54</v>
      </c>
      <c r="AC452" s="77" t="s">
        <v>40</v>
      </c>
      <c r="AD452" s="88">
        <v>3250</v>
      </c>
      <c r="AE452" s="88">
        <v>3120</v>
      </c>
      <c r="AF452" s="88">
        <v>2650</v>
      </c>
    </row>
    <row r="453" s="44" customFormat="1" ht="38" customHeight="1" spans="1:32">
      <c r="A453" s="55">
        <v>119</v>
      </c>
      <c r="B453" s="55" t="s">
        <v>1831</v>
      </c>
      <c r="C453" s="55" t="s">
        <v>1832</v>
      </c>
      <c r="D453" s="55" t="s">
        <v>350</v>
      </c>
      <c r="E453" s="59" t="s">
        <v>1833</v>
      </c>
      <c r="F453" s="59" t="s">
        <v>1751</v>
      </c>
      <c r="G453" s="55" t="s">
        <v>54</v>
      </c>
      <c r="H453" s="59" t="s">
        <v>40</v>
      </c>
      <c r="I453" s="30">
        <v>5625</v>
      </c>
      <c r="J453" s="30">
        <v>5063</v>
      </c>
      <c r="K453" s="64"/>
      <c r="L453" s="64"/>
      <c r="M453" s="64"/>
      <c r="N453" s="35">
        <v>5100</v>
      </c>
      <c r="O453" s="35">
        <v>4600</v>
      </c>
      <c r="P453" s="35">
        <v>3900</v>
      </c>
      <c r="Q453" s="55" t="s">
        <v>169</v>
      </c>
      <c r="R453" s="55" t="s">
        <v>40</v>
      </c>
      <c r="S453" s="74" t="s">
        <v>40</v>
      </c>
      <c r="T453" s="64" t="s">
        <v>170</v>
      </c>
      <c r="U453" s="59" t="s">
        <v>404</v>
      </c>
      <c r="V453" s="76"/>
      <c r="W453" s="83">
        <v>450</v>
      </c>
      <c r="X453" s="76"/>
      <c r="Y453" s="55"/>
      <c r="Z453" s="55"/>
      <c r="AA453" s="55"/>
      <c r="AB453" s="55"/>
      <c r="AC453" s="77"/>
      <c r="AD453" s="88"/>
      <c r="AE453" s="88"/>
      <c r="AF453" s="88"/>
    </row>
    <row r="454" s="44" customFormat="1" ht="38" customHeight="1" spans="1:32">
      <c r="A454" s="55" t="s">
        <v>55</v>
      </c>
      <c r="B454" s="55" t="s">
        <v>1834</v>
      </c>
      <c r="C454" s="55" t="s">
        <v>1835</v>
      </c>
      <c r="D454" s="55" t="s">
        <v>350</v>
      </c>
      <c r="E454" s="59" t="s">
        <v>40</v>
      </c>
      <c r="F454" s="59" t="s">
        <v>40</v>
      </c>
      <c r="G454" s="55" t="s">
        <v>54</v>
      </c>
      <c r="H454" s="59" t="s">
        <v>40</v>
      </c>
      <c r="I454" s="30">
        <v>1688</v>
      </c>
      <c r="J454" s="30">
        <v>1519</v>
      </c>
      <c r="K454" s="64"/>
      <c r="L454" s="64"/>
      <c r="M454" s="64"/>
      <c r="N454" s="35">
        <v>1530</v>
      </c>
      <c r="O454" s="35">
        <v>1380</v>
      </c>
      <c r="P454" s="35">
        <v>1170</v>
      </c>
      <c r="Q454" s="35" t="e">
        <f t="shared" ref="N454:S454" si="11">Q453*0.3</f>
        <v>#VALUE!</v>
      </c>
      <c r="R454" s="35" t="e">
        <f t="shared" si="11"/>
        <v>#VALUE!</v>
      </c>
      <c r="S454" s="35" t="e">
        <f t="shared" si="11"/>
        <v>#VALUE!</v>
      </c>
      <c r="T454" s="64"/>
      <c r="U454" s="59" t="s">
        <v>305</v>
      </c>
      <c r="V454" s="76"/>
      <c r="W454" s="83">
        <v>451</v>
      </c>
      <c r="X454" s="76"/>
      <c r="Y454" s="77"/>
      <c r="Z454" s="77"/>
      <c r="AA454" s="77"/>
      <c r="AB454" s="77"/>
      <c r="AC454" s="77"/>
      <c r="AD454" s="88"/>
      <c r="AE454" s="88"/>
      <c r="AF454" s="88"/>
    </row>
    <row r="455" s="44" customFormat="1" ht="38" customHeight="1" spans="1:32">
      <c r="A455" s="55">
        <v>120</v>
      </c>
      <c r="B455" s="55" t="s">
        <v>1836</v>
      </c>
      <c r="C455" s="55" t="s">
        <v>1837</v>
      </c>
      <c r="D455" s="55" t="s">
        <v>350</v>
      </c>
      <c r="E455" s="59" t="s">
        <v>1838</v>
      </c>
      <c r="F455" s="59" t="s">
        <v>1839</v>
      </c>
      <c r="G455" s="55" t="s">
        <v>54</v>
      </c>
      <c r="H455" s="59" t="s">
        <v>1840</v>
      </c>
      <c r="I455" s="30">
        <v>6260</v>
      </c>
      <c r="J455" s="30">
        <v>5634</v>
      </c>
      <c r="K455" s="64">
        <v>5400</v>
      </c>
      <c r="L455" s="64">
        <v>4860</v>
      </c>
      <c r="M455" s="64">
        <v>4130</v>
      </c>
      <c r="N455" s="68">
        <v>5600</v>
      </c>
      <c r="O455" s="68">
        <v>5050</v>
      </c>
      <c r="P455" s="68">
        <v>4300</v>
      </c>
      <c r="Q455" s="55" t="s">
        <v>41</v>
      </c>
      <c r="R455" s="55" t="s">
        <v>40</v>
      </c>
      <c r="S455" s="74" t="s">
        <v>40</v>
      </c>
      <c r="T455" s="64" t="s">
        <v>994</v>
      </c>
      <c r="U455" s="115" t="s">
        <v>1535</v>
      </c>
      <c r="V455" s="76" t="s">
        <v>1841</v>
      </c>
      <c r="W455" s="83">
        <v>452</v>
      </c>
      <c r="X455" s="76" t="s">
        <v>1842</v>
      </c>
      <c r="Y455" s="77" t="s">
        <v>1843</v>
      </c>
      <c r="Z455" s="77" t="s">
        <v>1844</v>
      </c>
      <c r="AA455" s="77"/>
      <c r="AB455" s="77" t="s">
        <v>54</v>
      </c>
      <c r="AC455" s="77" t="s">
        <v>40</v>
      </c>
      <c r="AD455" s="88">
        <v>5400</v>
      </c>
      <c r="AE455" s="88">
        <v>4860</v>
      </c>
      <c r="AF455" s="88">
        <v>4130</v>
      </c>
    </row>
    <row r="456" s="44" customFormat="1" ht="38" customHeight="1" spans="1:32">
      <c r="A456" s="55" t="s">
        <v>55</v>
      </c>
      <c r="B456" s="55" t="s">
        <v>1845</v>
      </c>
      <c r="C456" s="55" t="s">
        <v>1846</v>
      </c>
      <c r="D456" s="55" t="s">
        <v>350</v>
      </c>
      <c r="E456" s="59" t="s">
        <v>40</v>
      </c>
      <c r="F456" s="59" t="s">
        <v>40</v>
      </c>
      <c r="G456" s="55" t="s">
        <v>54</v>
      </c>
      <c r="H456" s="59" t="s">
        <v>40</v>
      </c>
      <c r="I456" s="30">
        <v>1878</v>
      </c>
      <c r="J456" s="30">
        <v>1690</v>
      </c>
      <c r="K456" s="64"/>
      <c r="L456" s="64"/>
      <c r="M456" s="64"/>
      <c r="N456" s="35">
        <v>1680</v>
      </c>
      <c r="O456" s="35">
        <v>1515</v>
      </c>
      <c r="P456" s="35">
        <v>1290</v>
      </c>
      <c r="Q456" s="55" t="s">
        <v>41</v>
      </c>
      <c r="R456" s="55" t="s">
        <v>40</v>
      </c>
      <c r="S456" s="74" t="s">
        <v>40</v>
      </c>
      <c r="T456" s="64"/>
      <c r="U456" s="59" t="s">
        <v>305</v>
      </c>
      <c r="V456" s="76" t="s">
        <v>1847</v>
      </c>
      <c r="W456" s="83">
        <v>453</v>
      </c>
      <c r="X456" s="76">
        <v>33080100601</v>
      </c>
      <c r="Y456" s="77" t="s">
        <v>1848</v>
      </c>
      <c r="Z456" s="77"/>
      <c r="AA456" s="77"/>
      <c r="AB456" s="77" t="s">
        <v>54</v>
      </c>
      <c r="AC456" s="77" t="s">
        <v>40</v>
      </c>
      <c r="AD456" s="88">
        <v>7020</v>
      </c>
      <c r="AE456" s="88">
        <v>6320</v>
      </c>
      <c r="AF456" s="88">
        <v>5370</v>
      </c>
    </row>
    <row r="457" s="44" customFormat="1" ht="38" customHeight="1" spans="1:32">
      <c r="A457" s="55">
        <v>121</v>
      </c>
      <c r="B457" s="55" t="s">
        <v>1849</v>
      </c>
      <c r="C457" s="55" t="s">
        <v>1850</v>
      </c>
      <c r="D457" s="55" t="s">
        <v>350</v>
      </c>
      <c r="E457" s="59" t="s">
        <v>1851</v>
      </c>
      <c r="F457" s="59" t="s">
        <v>1852</v>
      </c>
      <c r="G457" s="55" t="s">
        <v>54</v>
      </c>
      <c r="H457" s="59" t="s">
        <v>40</v>
      </c>
      <c r="I457" s="30">
        <v>5760</v>
      </c>
      <c r="J457" s="30">
        <v>5184</v>
      </c>
      <c r="K457" s="64">
        <v>5060</v>
      </c>
      <c r="L457" s="64">
        <v>4550</v>
      </c>
      <c r="M457" s="64">
        <v>3870</v>
      </c>
      <c r="N457" s="68">
        <v>5200</v>
      </c>
      <c r="O457" s="68">
        <v>4700</v>
      </c>
      <c r="P457" s="68">
        <v>4000</v>
      </c>
      <c r="Q457" s="55" t="s">
        <v>41</v>
      </c>
      <c r="R457" s="55" t="s">
        <v>40</v>
      </c>
      <c r="S457" s="74" t="s">
        <v>40</v>
      </c>
      <c r="T457" s="64" t="s">
        <v>994</v>
      </c>
      <c r="U457" s="115" t="s">
        <v>1535</v>
      </c>
      <c r="V457" s="76" t="s">
        <v>1853</v>
      </c>
      <c r="W457" s="83">
        <v>454</v>
      </c>
      <c r="X457" s="76">
        <v>330801015</v>
      </c>
      <c r="Y457" s="77" t="s">
        <v>1854</v>
      </c>
      <c r="Z457" s="77"/>
      <c r="AA457" s="77"/>
      <c r="AB457" s="77" t="s">
        <v>54</v>
      </c>
      <c r="AC457" s="77" t="s">
        <v>40</v>
      </c>
      <c r="AD457" s="88">
        <v>5060</v>
      </c>
      <c r="AE457" s="88">
        <v>4550</v>
      </c>
      <c r="AF457" s="88">
        <v>3870</v>
      </c>
    </row>
    <row r="458" s="44" customFormat="1" ht="38" customHeight="1" spans="1:32">
      <c r="A458" s="55" t="s">
        <v>55</v>
      </c>
      <c r="B458" s="55" t="s">
        <v>1855</v>
      </c>
      <c r="C458" s="55" t="s">
        <v>1856</v>
      </c>
      <c r="D458" s="55" t="s">
        <v>350</v>
      </c>
      <c r="E458" s="59" t="s">
        <v>40</v>
      </c>
      <c r="F458" s="59" t="s">
        <v>40</v>
      </c>
      <c r="G458" s="55" t="s">
        <v>54</v>
      </c>
      <c r="H458" s="59" t="s">
        <v>40</v>
      </c>
      <c r="I458" s="30">
        <v>1728</v>
      </c>
      <c r="J458" s="30">
        <v>1555</v>
      </c>
      <c r="K458" s="64"/>
      <c r="L458" s="64"/>
      <c r="M458" s="64"/>
      <c r="N458" s="35">
        <v>1560</v>
      </c>
      <c r="O458" s="35">
        <v>1410</v>
      </c>
      <c r="P458" s="35">
        <v>1200</v>
      </c>
      <c r="Q458" s="35" t="e">
        <f t="shared" ref="N458:S458" si="12">Q457*0.3</f>
        <v>#VALUE!</v>
      </c>
      <c r="R458" s="35" t="e">
        <f t="shared" si="12"/>
        <v>#VALUE!</v>
      </c>
      <c r="S458" s="35" t="e">
        <f t="shared" si="12"/>
        <v>#VALUE!</v>
      </c>
      <c r="T458" s="64"/>
      <c r="U458" s="59" t="s">
        <v>305</v>
      </c>
      <c r="V458" s="76" t="s">
        <v>1857</v>
      </c>
      <c r="W458" s="83">
        <v>455</v>
      </c>
      <c r="X458" s="76">
        <v>33080101501</v>
      </c>
      <c r="Y458" s="77" t="s">
        <v>1858</v>
      </c>
      <c r="Z458" s="77"/>
      <c r="AA458" s="77"/>
      <c r="AB458" s="77" t="s">
        <v>54</v>
      </c>
      <c r="AC458" s="77" t="s">
        <v>40</v>
      </c>
      <c r="AD458" s="88">
        <v>6580</v>
      </c>
      <c r="AE458" s="88">
        <v>5915</v>
      </c>
      <c r="AF458" s="88">
        <v>5030</v>
      </c>
    </row>
  </sheetData>
  <autoFilter ref="A3:IO458">
    <extLst/>
  </autoFilter>
  <sortState ref="Q335:S336">
    <sortCondition ref="Q335"/>
  </sortState>
  <mergeCells count="2229">
    <mergeCell ref="A1:AF1"/>
    <mergeCell ref="A2:U2"/>
    <mergeCell ref="V2:AF2"/>
    <mergeCell ref="A4:A7"/>
    <mergeCell ref="A8:A9"/>
    <mergeCell ref="A10:A15"/>
    <mergeCell ref="A17:A18"/>
    <mergeCell ref="A21:A22"/>
    <mergeCell ref="A23:A25"/>
    <mergeCell ref="A26:A27"/>
    <mergeCell ref="A33:A34"/>
    <mergeCell ref="A35:A36"/>
    <mergeCell ref="A37:A40"/>
    <mergeCell ref="A41:A45"/>
    <mergeCell ref="A46:A52"/>
    <mergeCell ref="A54:A56"/>
    <mergeCell ref="A58:A59"/>
    <mergeCell ref="A61:A63"/>
    <mergeCell ref="A64:A69"/>
    <mergeCell ref="A70:A71"/>
    <mergeCell ref="A72:A76"/>
    <mergeCell ref="A77:A79"/>
    <mergeCell ref="A80:A81"/>
    <mergeCell ref="A82:A83"/>
    <mergeCell ref="A88:A93"/>
    <mergeCell ref="A94:A98"/>
    <mergeCell ref="A99:A100"/>
    <mergeCell ref="A102:A104"/>
    <mergeCell ref="A106:A107"/>
    <mergeCell ref="A108:A111"/>
    <mergeCell ref="A118:A119"/>
    <mergeCell ref="A120:A121"/>
    <mergeCell ref="A126:A127"/>
    <mergeCell ref="A130:A131"/>
    <mergeCell ref="A132:A133"/>
    <mergeCell ref="A134:A135"/>
    <mergeCell ref="A140:A141"/>
    <mergeCell ref="A143:A145"/>
    <mergeCell ref="A146:A147"/>
    <mergeCell ref="A148:A150"/>
    <mergeCell ref="A151:A152"/>
    <mergeCell ref="A157:A158"/>
    <mergeCell ref="A181:A182"/>
    <mergeCell ref="A186:A187"/>
    <mergeCell ref="A188:A189"/>
    <mergeCell ref="A190:A191"/>
    <mergeCell ref="A193:A194"/>
    <mergeCell ref="A201:A202"/>
    <mergeCell ref="A203:A204"/>
    <mergeCell ref="A205:A206"/>
    <mergeCell ref="A207:A208"/>
    <mergeCell ref="A210:A211"/>
    <mergeCell ref="A213:A214"/>
    <mergeCell ref="A220:A221"/>
    <mergeCell ref="A222:A223"/>
    <mergeCell ref="A224:A225"/>
    <mergeCell ref="A227:A234"/>
    <mergeCell ref="A238:A239"/>
    <mergeCell ref="A240:A241"/>
    <mergeCell ref="A242:A243"/>
    <mergeCell ref="A244:A245"/>
    <mergeCell ref="A246:A247"/>
    <mergeCell ref="A250:A251"/>
    <mergeCell ref="A252:A253"/>
    <mergeCell ref="A255:A257"/>
    <mergeCell ref="A258:A260"/>
    <mergeCell ref="A261:A262"/>
    <mergeCell ref="A271:A272"/>
    <mergeCell ref="A275:A276"/>
    <mergeCell ref="A277:A278"/>
    <mergeCell ref="A279:A280"/>
    <mergeCell ref="A281:A285"/>
    <mergeCell ref="A286:A290"/>
    <mergeCell ref="A291:A293"/>
    <mergeCell ref="A294:A295"/>
    <mergeCell ref="A297:A299"/>
    <mergeCell ref="A300:A302"/>
    <mergeCell ref="A303:A306"/>
    <mergeCell ref="A307:A310"/>
    <mergeCell ref="A315:A316"/>
    <mergeCell ref="A317:A318"/>
    <mergeCell ref="A319:A320"/>
    <mergeCell ref="A321:A322"/>
    <mergeCell ref="A330:A331"/>
    <mergeCell ref="A332:A333"/>
    <mergeCell ref="A338:A340"/>
    <mergeCell ref="A341:A343"/>
    <mergeCell ref="A344:A346"/>
    <mergeCell ref="A347:A349"/>
    <mergeCell ref="A353:A354"/>
    <mergeCell ref="A358:A361"/>
    <mergeCell ref="A363:A366"/>
    <mergeCell ref="A367:A368"/>
    <mergeCell ref="A369:A371"/>
    <mergeCell ref="A372:A374"/>
    <mergeCell ref="A377:A378"/>
    <mergeCell ref="A379:A380"/>
    <mergeCell ref="A381:A382"/>
    <mergeCell ref="A383:A384"/>
    <mergeCell ref="A393:A394"/>
    <mergeCell ref="A397:A398"/>
    <mergeCell ref="A399:A400"/>
    <mergeCell ref="A404:A405"/>
    <mergeCell ref="A406:A407"/>
    <mergeCell ref="A435:A436"/>
    <mergeCell ref="A437:A438"/>
    <mergeCell ref="A439:A440"/>
    <mergeCell ref="A441:A442"/>
    <mergeCell ref="A447:A448"/>
    <mergeCell ref="B4:B7"/>
    <mergeCell ref="B8:B9"/>
    <mergeCell ref="B10:B15"/>
    <mergeCell ref="B17:B18"/>
    <mergeCell ref="B21:B22"/>
    <mergeCell ref="B23:B25"/>
    <mergeCell ref="B26:B27"/>
    <mergeCell ref="B33:B34"/>
    <mergeCell ref="B35:B36"/>
    <mergeCell ref="B37:B40"/>
    <mergeCell ref="B41:B45"/>
    <mergeCell ref="B46:B52"/>
    <mergeCell ref="B54:B56"/>
    <mergeCell ref="B58:B59"/>
    <mergeCell ref="B61:B63"/>
    <mergeCell ref="B64:B69"/>
    <mergeCell ref="B70:B71"/>
    <mergeCell ref="B72:B76"/>
    <mergeCell ref="B77:B79"/>
    <mergeCell ref="B80:B81"/>
    <mergeCell ref="B82:B83"/>
    <mergeCell ref="B88:B93"/>
    <mergeCell ref="B94:B98"/>
    <mergeCell ref="B99:B100"/>
    <mergeCell ref="B102:B104"/>
    <mergeCell ref="B106:B107"/>
    <mergeCell ref="B108:B111"/>
    <mergeCell ref="B118:B119"/>
    <mergeCell ref="B120:B121"/>
    <mergeCell ref="B126:B127"/>
    <mergeCell ref="B130:B131"/>
    <mergeCell ref="B132:B133"/>
    <mergeCell ref="B134:B135"/>
    <mergeCell ref="B140:B141"/>
    <mergeCell ref="B143:B145"/>
    <mergeCell ref="B146:B147"/>
    <mergeCell ref="B148:B150"/>
    <mergeCell ref="B151:B152"/>
    <mergeCell ref="B157:B158"/>
    <mergeCell ref="B181:B182"/>
    <mergeCell ref="B186:B187"/>
    <mergeCell ref="B188:B189"/>
    <mergeCell ref="B190:B191"/>
    <mergeCell ref="B193:B194"/>
    <mergeCell ref="B201:B202"/>
    <mergeCell ref="B203:B204"/>
    <mergeCell ref="B205:B206"/>
    <mergeCell ref="B207:B208"/>
    <mergeCell ref="B210:B211"/>
    <mergeCell ref="B213:B214"/>
    <mergeCell ref="B220:B221"/>
    <mergeCell ref="B222:B223"/>
    <mergeCell ref="B224:B225"/>
    <mergeCell ref="B227:B234"/>
    <mergeCell ref="B238:B239"/>
    <mergeCell ref="B240:B241"/>
    <mergeCell ref="B242:B243"/>
    <mergeCell ref="B244:B245"/>
    <mergeCell ref="B246:B247"/>
    <mergeCell ref="B250:B251"/>
    <mergeCell ref="B252:B253"/>
    <mergeCell ref="B255:B257"/>
    <mergeCell ref="B258:B260"/>
    <mergeCell ref="B261:B262"/>
    <mergeCell ref="B271:B272"/>
    <mergeCell ref="B275:B276"/>
    <mergeCell ref="B277:B278"/>
    <mergeCell ref="B279:B280"/>
    <mergeCell ref="B281:B285"/>
    <mergeCell ref="B286:B290"/>
    <mergeCell ref="B291:B293"/>
    <mergeCell ref="B294:B295"/>
    <mergeCell ref="B297:B299"/>
    <mergeCell ref="B300:B302"/>
    <mergeCell ref="B303:B306"/>
    <mergeCell ref="B307:B310"/>
    <mergeCell ref="B315:B316"/>
    <mergeCell ref="B317:B318"/>
    <mergeCell ref="B319:B320"/>
    <mergeCell ref="B321:B322"/>
    <mergeCell ref="B330:B331"/>
    <mergeCell ref="B332:B333"/>
    <mergeCell ref="B338:B340"/>
    <mergeCell ref="B341:B343"/>
    <mergeCell ref="B344:B346"/>
    <mergeCell ref="B347:B349"/>
    <mergeCell ref="B353:B354"/>
    <mergeCell ref="B358:B361"/>
    <mergeCell ref="B363:B366"/>
    <mergeCell ref="B367:B368"/>
    <mergeCell ref="B369:B371"/>
    <mergeCell ref="B372:B374"/>
    <mergeCell ref="B377:B378"/>
    <mergeCell ref="B379:B380"/>
    <mergeCell ref="B381:B382"/>
    <mergeCell ref="B383:B384"/>
    <mergeCell ref="B393:B394"/>
    <mergeCell ref="B397:B398"/>
    <mergeCell ref="B399:B400"/>
    <mergeCell ref="B404:B405"/>
    <mergeCell ref="B406:B407"/>
    <mergeCell ref="B435:B436"/>
    <mergeCell ref="B437:B438"/>
    <mergeCell ref="B439:B440"/>
    <mergeCell ref="B441:B442"/>
    <mergeCell ref="B447:B448"/>
    <mergeCell ref="C4:C7"/>
    <mergeCell ref="C8:C9"/>
    <mergeCell ref="C10:C15"/>
    <mergeCell ref="C17:C18"/>
    <mergeCell ref="C21:C22"/>
    <mergeCell ref="C23:C25"/>
    <mergeCell ref="C26:C27"/>
    <mergeCell ref="C33:C34"/>
    <mergeCell ref="C35:C36"/>
    <mergeCell ref="C37:C40"/>
    <mergeCell ref="C41:C45"/>
    <mergeCell ref="C46:C52"/>
    <mergeCell ref="C54:C56"/>
    <mergeCell ref="C58:C59"/>
    <mergeCell ref="C61:C63"/>
    <mergeCell ref="C64:C69"/>
    <mergeCell ref="C70:C71"/>
    <mergeCell ref="C72:C76"/>
    <mergeCell ref="C77:C79"/>
    <mergeCell ref="C80:C81"/>
    <mergeCell ref="C82:C83"/>
    <mergeCell ref="C88:C93"/>
    <mergeCell ref="C94:C98"/>
    <mergeCell ref="C99:C100"/>
    <mergeCell ref="C102:C104"/>
    <mergeCell ref="C106:C107"/>
    <mergeCell ref="C108:C111"/>
    <mergeCell ref="C118:C119"/>
    <mergeCell ref="C120:C121"/>
    <mergeCell ref="C126:C127"/>
    <mergeCell ref="C130:C131"/>
    <mergeCell ref="C132:C133"/>
    <mergeCell ref="C134:C135"/>
    <mergeCell ref="C140:C141"/>
    <mergeCell ref="C143:C145"/>
    <mergeCell ref="C146:C147"/>
    <mergeCell ref="C148:C150"/>
    <mergeCell ref="C151:C152"/>
    <mergeCell ref="C157:C158"/>
    <mergeCell ref="C181:C182"/>
    <mergeCell ref="C186:C187"/>
    <mergeCell ref="C188:C189"/>
    <mergeCell ref="C190:C191"/>
    <mergeCell ref="C193:C194"/>
    <mergeCell ref="C201:C202"/>
    <mergeCell ref="C203:C204"/>
    <mergeCell ref="C205:C206"/>
    <mergeCell ref="C207:C208"/>
    <mergeCell ref="C210:C211"/>
    <mergeCell ref="C213:C214"/>
    <mergeCell ref="C220:C221"/>
    <mergeCell ref="C222:C223"/>
    <mergeCell ref="C224:C225"/>
    <mergeCell ref="C227:C234"/>
    <mergeCell ref="C238:C239"/>
    <mergeCell ref="C240:C241"/>
    <mergeCell ref="C242:C243"/>
    <mergeCell ref="C244:C245"/>
    <mergeCell ref="C246:C247"/>
    <mergeCell ref="C250:C251"/>
    <mergeCell ref="C252:C253"/>
    <mergeCell ref="C255:C257"/>
    <mergeCell ref="C258:C260"/>
    <mergeCell ref="C261:C262"/>
    <mergeCell ref="C271:C272"/>
    <mergeCell ref="C275:C276"/>
    <mergeCell ref="C277:C278"/>
    <mergeCell ref="C279:C280"/>
    <mergeCell ref="C281:C285"/>
    <mergeCell ref="C286:C290"/>
    <mergeCell ref="C291:C293"/>
    <mergeCell ref="C294:C295"/>
    <mergeCell ref="C297:C299"/>
    <mergeCell ref="C300:C302"/>
    <mergeCell ref="C303:C306"/>
    <mergeCell ref="C307:C310"/>
    <mergeCell ref="C315:C316"/>
    <mergeCell ref="C317:C318"/>
    <mergeCell ref="C319:C320"/>
    <mergeCell ref="C321:C322"/>
    <mergeCell ref="C330:C331"/>
    <mergeCell ref="C332:C333"/>
    <mergeCell ref="C338:C340"/>
    <mergeCell ref="C341:C343"/>
    <mergeCell ref="C344:C346"/>
    <mergeCell ref="C347:C349"/>
    <mergeCell ref="C353:C354"/>
    <mergeCell ref="C358:C361"/>
    <mergeCell ref="C363:C366"/>
    <mergeCell ref="C367:C368"/>
    <mergeCell ref="C369:C371"/>
    <mergeCell ref="C372:C374"/>
    <mergeCell ref="C377:C378"/>
    <mergeCell ref="C379:C380"/>
    <mergeCell ref="C381:C382"/>
    <mergeCell ref="C383:C384"/>
    <mergeCell ref="C393:C394"/>
    <mergeCell ref="C397:C398"/>
    <mergeCell ref="C399:C400"/>
    <mergeCell ref="C404:C405"/>
    <mergeCell ref="C406:C407"/>
    <mergeCell ref="C435:C436"/>
    <mergeCell ref="C437:C438"/>
    <mergeCell ref="C439:C440"/>
    <mergeCell ref="C441:C442"/>
    <mergeCell ref="C447:C448"/>
    <mergeCell ref="D4:D7"/>
    <mergeCell ref="D8:D9"/>
    <mergeCell ref="D10:D15"/>
    <mergeCell ref="D17:D18"/>
    <mergeCell ref="D21:D22"/>
    <mergeCell ref="D23:D25"/>
    <mergeCell ref="D26:D27"/>
    <mergeCell ref="D33:D34"/>
    <mergeCell ref="D35:D36"/>
    <mergeCell ref="D37:D40"/>
    <mergeCell ref="D41:D45"/>
    <mergeCell ref="D46:D52"/>
    <mergeCell ref="D54:D56"/>
    <mergeCell ref="D58:D59"/>
    <mergeCell ref="D61:D63"/>
    <mergeCell ref="D64:D69"/>
    <mergeCell ref="D70:D71"/>
    <mergeCell ref="D72:D76"/>
    <mergeCell ref="D77:D79"/>
    <mergeCell ref="D80:D81"/>
    <mergeCell ref="D82:D83"/>
    <mergeCell ref="D88:D93"/>
    <mergeCell ref="D94:D98"/>
    <mergeCell ref="D99:D100"/>
    <mergeCell ref="D102:D104"/>
    <mergeCell ref="D106:D107"/>
    <mergeCell ref="D108:D111"/>
    <mergeCell ref="D118:D119"/>
    <mergeCell ref="D120:D121"/>
    <mergeCell ref="D126:D127"/>
    <mergeCell ref="D130:D131"/>
    <mergeCell ref="D132:D133"/>
    <mergeCell ref="D134:D135"/>
    <mergeCell ref="D140:D141"/>
    <mergeCell ref="D143:D145"/>
    <mergeCell ref="D146:D147"/>
    <mergeCell ref="D148:D150"/>
    <mergeCell ref="D151:D152"/>
    <mergeCell ref="D157:D158"/>
    <mergeCell ref="D181:D182"/>
    <mergeCell ref="D186:D187"/>
    <mergeCell ref="D188:D189"/>
    <mergeCell ref="D190:D191"/>
    <mergeCell ref="D193:D194"/>
    <mergeCell ref="D201:D202"/>
    <mergeCell ref="D203:D204"/>
    <mergeCell ref="D205:D206"/>
    <mergeCell ref="D207:D208"/>
    <mergeCell ref="D210:D211"/>
    <mergeCell ref="D213:D214"/>
    <mergeCell ref="D220:D221"/>
    <mergeCell ref="D222:D223"/>
    <mergeCell ref="D224:D225"/>
    <mergeCell ref="D227:D234"/>
    <mergeCell ref="D238:D239"/>
    <mergeCell ref="D240:D241"/>
    <mergeCell ref="D242:D243"/>
    <mergeCell ref="D244:D245"/>
    <mergeCell ref="D246:D247"/>
    <mergeCell ref="D250:D251"/>
    <mergeCell ref="D252:D253"/>
    <mergeCell ref="D255:D257"/>
    <mergeCell ref="D258:D260"/>
    <mergeCell ref="D261:D262"/>
    <mergeCell ref="D271:D272"/>
    <mergeCell ref="D275:D276"/>
    <mergeCell ref="D277:D278"/>
    <mergeCell ref="D279:D280"/>
    <mergeCell ref="D281:D285"/>
    <mergeCell ref="D286:D290"/>
    <mergeCell ref="D291:D293"/>
    <mergeCell ref="D294:D295"/>
    <mergeCell ref="D297:D299"/>
    <mergeCell ref="D300:D302"/>
    <mergeCell ref="D303:D306"/>
    <mergeCell ref="D307:D310"/>
    <mergeCell ref="D315:D316"/>
    <mergeCell ref="D317:D318"/>
    <mergeCell ref="D319:D320"/>
    <mergeCell ref="D321:D322"/>
    <mergeCell ref="D330:D331"/>
    <mergeCell ref="D332:D333"/>
    <mergeCell ref="D338:D340"/>
    <mergeCell ref="D341:D343"/>
    <mergeCell ref="D344:D346"/>
    <mergeCell ref="D347:D349"/>
    <mergeCell ref="D353:D354"/>
    <mergeCell ref="D358:D361"/>
    <mergeCell ref="D363:D366"/>
    <mergeCell ref="D367:D368"/>
    <mergeCell ref="D369:D371"/>
    <mergeCell ref="D372:D374"/>
    <mergeCell ref="D377:D378"/>
    <mergeCell ref="D379:D380"/>
    <mergeCell ref="D381:D382"/>
    <mergeCell ref="D383:D384"/>
    <mergeCell ref="D393:D394"/>
    <mergeCell ref="D397:D398"/>
    <mergeCell ref="D399:D400"/>
    <mergeCell ref="D404:D405"/>
    <mergeCell ref="D406:D407"/>
    <mergeCell ref="D435:D436"/>
    <mergeCell ref="D437:D438"/>
    <mergeCell ref="D439:D440"/>
    <mergeCell ref="D441:D442"/>
    <mergeCell ref="D447:D448"/>
    <mergeCell ref="E4:E7"/>
    <mergeCell ref="E8:E9"/>
    <mergeCell ref="E10:E15"/>
    <mergeCell ref="E17:E18"/>
    <mergeCell ref="E21:E22"/>
    <mergeCell ref="E23:E25"/>
    <mergeCell ref="E26:E27"/>
    <mergeCell ref="E33:E34"/>
    <mergeCell ref="E35:E36"/>
    <mergeCell ref="E37:E40"/>
    <mergeCell ref="E41:E45"/>
    <mergeCell ref="E46:E52"/>
    <mergeCell ref="E54:E56"/>
    <mergeCell ref="E58:E59"/>
    <mergeCell ref="E61:E63"/>
    <mergeCell ref="E64:E69"/>
    <mergeCell ref="E70:E71"/>
    <mergeCell ref="E72:E76"/>
    <mergeCell ref="E77:E79"/>
    <mergeCell ref="E80:E81"/>
    <mergeCell ref="E82:E83"/>
    <mergeCell ref="E88:E93"/>
    <mergeCell ref="E94:E98"/>
    <mergeCell ref="E99:E100"/>
    <mergeCell ref="E102:E104"/>
    <mergeCell ref="E106:E107"/>
    <mergeCell ref="E108:E111"/>
    <mergeCell ref="E118:E119"/>
    <mergeCell ref="E120:E121"/>
    <mergeCell ref="E126:E127"/>
    <mergeCell ref="E130:E131"/>
    <mergeCell ref="E132:E133"/>
    <mergeCell ref="E134:E135"/>
    <mergeCell ref="E140:E141"/>
    <mergeCell ref="E143:E145"/>
    <mergeCell ref="E146:E147"/>
    <mergeCell ref="E148:E150"/>
    <mergeCell ref="E151:E152"/>
    <mergeCell ref="E157:E158"/>
    <mergeCell ref="E181:E182"/>
    <mergeCell ref="E186:E187"/>
    <mergeCell ref="E188:E189"/>
    <mergeCell ref="E190:E191"/>
    <mergeCell ref="E193:E194"/>
    <mergeCell ref="E201:E202"/>
    <mergeCell ref="E203:E204"/>
    <mergeCell ref="E205:E206"/>
    <mergeCell ref="E207:E208"/>
    <mergeCell ref="E210:E211"/>
    <mergeCell ref="E213:E214"/>
    <mergeCell ref="E220:E221"/>
    <mergeCell ref="E222:E223"/>
    <mergeCell ref="E224:E225"/>
    <mergeCell ref="E227:E234"/>
    <mergeCell ref="E238:E239"/>
    <mergeCell ref="E240:E241"/>
    <mergeCell ref="E242:E243"/>
    <mergeCell ref="E244:E245"/>
    <mergeCell ref="E246:E247"/>
    <mergeCell ref="E250:E251"/>
    <mergeCell ref="E252:E253"/>
    <mergeCell ref="E255:E257"/>
    <mergeCell ref="E258:E260"/>
    <mergeCell ref="E261:E262"/>
    <mergeCell ref="E271:E272"/>
    <mergeCell ref="E275:E276"/>
    <mergeCell ref="E277:E278"/>
    <mergeCell ref="E279:E280"/>
    <mergeCell ref="E281:E285"/>
    <mergeCell ref="E286:E290"/>
    <mergeCell ref="E291:E293"/>
    <mergeCell ref="E294:E295"/>
    <mergeCell ref="E297:E299"/>
    <mergeCell ref="E300:E302"/>
    <mergeCell ref="E303:E306"/>
    <mergeCell ref="E307:E310"/>
    <mergeCell ref="E315:E316"/>
    <mergeCell ref="E317:E318"/>
    <mergeCell ref="E319:E320"/>
    <mergeCell ref="E321:E322"/>
    <mergeCell ref="E330:E331"/>
    <mergeCell ref="E332:E333"/>
    <mergeCell ref="E338:E340"/>
    <mergeCell ref="E341:E343"/>
    <mergeCell ref="E344:E346"/>
    <mergeCell ref="E347:E349"/>
    <mergeCell ref="E353:E354"/>
    <mergeCell ref="E358:E361"/>
    <mergeCell ref="E363:E366"/>
    <mergeCell ref="E367:E368"/>
    <mergeCell ref="E369:E371"/>
    <mergeCell ref="E372:E374"/>
    <mergeCell ref="E377:E378"/>
    <mergeCell ref="E379:E380"/>
    <mergeCell ref="E381:E382"/>
    <mergeCell ref="E383:E384"/>
    <mergeCell ref="E393:E394"/>
    <mergeCell ref="E397:E398"/>
    <mergeCell ref="E399:E400"/>
    <mergeCell ref="E404:E405"/>
    <mergeCell ref="E406:E407"/>
    <mergeCell ref="E435:E436"/>
    <mergeCell ref="E437:E438"/>
    <mergeCell ref="E439:E440"/>
    <mergeCell ref="E441:E442"/>
    <mergeCell ref="E447:E448"/>
    <mergeCell ref="F4:F7"/>
    <mergeCell ref="F8:F9"/>
    <mergeCell ref="F10:F15"/>
    <mergeCell ref="F17:F18"/>
    <mergeCell ref="F21:F22"/>
    <mergeCell ref="F23:F25"/>
    <mergeCell ref="F26:F27"/>
    <mergeCell ref="F33:F34"/>
    <mergeCell ref="F35:F36"/>
    <mergeCell ref="F37:F40"/>
    <mergeCell ref="F41:F45"/>
    <mergeCell ref="F46:F52"/>
    <mergeCell ref="F54:F56"/>
    <mergeCell ref="F58:F59"/>
    <mergeCell ref="F61:F63"/>
    <mergeCell ref="F64:F69"/>
    <mergeCell ref="F70:F71"/>
    <mergeCell ref="F72:F76"/>
    <mergeCell ref="F77:F79"/>
    <mergeCell ref="F80:F81"/>
    <mergeCell ref="F82:F83"/>
    <mergeCell ref="F88:F93"/>
    <mergeCell ref="F94:F98"/>
    <mergeCell ref="F99:F100"/>
    <mergeCell ref="F102:F104"/>
    <mergeCell ref="F106:F107"/>
    <mergeCell ref="F108:F111"/>
    <mergeCell ref="F118:F119"/>
    <mergeCell ref="F120:F121"/>
    <mergeCell ref="F126:F127"/>
    <mergeCell ref="F130:F131"/>
    <mergeCell ref="F132:F133"/>
    <mergeCell ref="F134:F135"/>
    <mergeCell ref="F140:F141"/>
    <mergeCell ref="F143:F145"/>
    <mergeCell ref="F146:F147"/>
    <mergeCell ref="F148:F150"/>
    <mergeCell ref="F151:F152"/>
    <mergeCell ref="F157:F158"/>
    <mergeCell ref="F181:F182"/>
    <mergeCell ref="F186:F187"/>
    <mergeCell ref="F188:F189"/>
    <mergeCell ref="F190:F191"/>
    <mergeCell ref="F193:F194"/>
    <mergeCell ref="F201:F202"/>
    <mergeCell ref="F203:F204"/>
    <mergeCell ref="F205:F206"/>
    <mergeCell ref="F207:F208"/>
    <mergeCell ref="F210:F211"/>
    <mergeCell ref="F213:F214"/>
    <mergeCell ref="F220:F221"/>
    <mergeCell ref="F222:F223"/>
    <mergeCell ref="F224:F225"/>
    <mergeCell ref="F227:F234"/>
    <mergeCell ref="F238:F239"/>
    <mergeCell ref="F240:F241"/>
    <mergeCell ref="F242:F243"/>
    <mergeCell ref="F244:F245"/>
    <mergeCell ref="F246:F247"/>
    <mergeCell ref="F250:F251"/>
    <mergeCell ref="F252:F253"/>
    <mergeCell ref="F255:F257"/>
    <mergeCell ref="F258:F260"/>
    <mergeCell ref="F261:F262"/>
    <mergeCell ref="F271:F272"/>
    <mergeCell ref="F275:F276"/>
    <mergeCell ref="F277:F278"/>
    <mergeCell ref="F279:F280"/>
    <mergeCell ref="F281:F285"/>
    <mergeCell ref="F286:F290"/>
    <mergeCell ref="F291:F293"/>
    <mergeCell ref="F294:F295"/>
    <mergeCell ref="F297:F299"/>
    <mergeCell ref="F300:F302"/>
    <mergeCell ref="F303:F306"/>
    <mergeCell ref="F307:F310"/>
    <mergeCell ref="F315:F316"/>
    <mergeCell ref="F317:F318"/>
    <mergeCell ref="F319:F320"/>
    <mergeCell ref="F321:F322"/>
    <mergeCell ref="F330:F331"/>
    <mergeCell ref="F332:F333"/>
    <mergeCell ref="F338:F340"/>
    <mergeCell ref="F341:F343"/>
    <mergeCell ref="F344:F346"/>
    <mergeCell ref="F347:F349"/>
    <mergeCell ref="F353:F354"/>
    <mergeCell ref="F358:F361"/>
    <mergeCell ref="F363:F366"/>
    <mergeCell ref="F367:F368"/>
    <mergeCell ref="F369:F371"/>
    <mergeCell ref="F372:F374"/>
    <mergeCell ref="F377:F378"/>
    <mergeCell ref="F379:F380"/>
    <mergeCell ref="F381:F382"/>
    <mergeCell ref="F383:F384"/>
    <mergeCell ref="F393:F394"/>
    <mergeCell ref="F397:F398"/>
    <mergeCell ref="F399:F400"/>
    <mergeCell ref="F404:F405"/>
    <mergeCell ref="F406:F407"/>
    <mergeCell ref="F435:F436"/>
    <mergeCell ref="F437:F438"/>
    <mergeCell ref="F439:F440"/>
    <mergeCell ref="F441:F442"/>
    <mergeCell ref="F447:F448"/>
    <mergeCell ref="G4:G7"/>
    <mergeCell ref="G8:G9"/>
    <mergeCell ref="G10:G15"/>
    <mergeCell ref="G17:G18"/>
    <mergeCell ref="G21:G22"/>
    <mergeCell ref="G23:G25"/>
    <mergeCell ref="G26:G27"/>
    <mergeCell ref="G33:G34"/>
    <mergeCell ref="G35:G36"/>
    <mergeCell ref="G37:G40"/>
    <mergeCell ref="G41:G45"/>
    <mergeCell ref="G46:G52"/>
    <mergeCell ref="G54:G56"/>
    <mergeCell ref="G58:G59"/>
    <mergeCell ref="G61:G63"/>
    <mergeCell ref="G64:G69"/>
    <mergeCell ref="G70:G71"/>
    <mergeCell ref="G72:G76"/>
    <mergeCell ref="G77:G79"/>
    <mergeCell ref="G80:G81"/>
    <mergeCell ref="G82:G83"/>
    <mergeCell ref="G88:G93"/>
    <mergeCell ref="G94:G98"/>
    <mergeCell ref="G99:G100"/>
    <mergeCell ref="G102:G104"/>
    <mergeCell ref="G106:G107"/>
    <mergeCell ref="G108:G111"/>
    <mergeCell ref="G118:G119"/>
    <mergeCell ref="G120:G121"/>
    <mergeCell ref="G126:G127"/>
    <mergeCell ref="G130:G131"/>
    <mergeCell ref="G132:G133"/>
    <mergeCell ref="G134:G135"/>
    <mergeCell ref="G140:G141"/>
    <mergeCell ref="G143:G145"/>
    <mergeCell ref="G146:G147"/>
    <mergeCell ref="G148:G150"/>
    <mergeCell ref="G151:G152"/>
    <mergeCell ref="G157:G158"/>
    <mergeCell ref="G181:G182"/>
    <mergeCell ref="G186:G187"/>
    <mergeCell ref="G188:G189"/>
    <mergeCell ref="G190:G191"/>
    <mergeCell ref="G193:G194"/>
    <mergeCell ref="G201:G202"/>
    <mergeCell ref="G203:G204"/>
    <mergeCell ref="G205:G206"/>
    <mergeCell ref="G207:G208"/>
    <mergeCell ref="G210:G211"/>
    <mergeCell ref="G213:G214"/>
    <mergeCell ref="G220:G221"/>
    <mergeCell ref="G222:G223"/>
    <mergeCell ref="G224:G225"/>
    <mergeCell ref="G227:G234"/>
    <mergeCell ref="G238:G239"/>
    <mergeCell ref="G240:G241"/>
    <mergeCell ref="G242:G243"/>
    <mergeCell ref="G244:G245"/>
    <mergeCell ref="G246:G247"/>
    <mergeCell ref="G250:G251"/>
    <mergeCell ref="G252:G253"/>
    <mergeCell ref="G255:G257"/>
    <mergeCell ref="G258:G260"/>
    <mergeCell ref="G261:G262"/>
    <mergeCell ref="G271:G272"/>
    <mergeCell ref="G275:G276"/>
    <mergeCell ref="G277:G278"/>
    <mergeCell ref="G279:G280"/>
    <mergeCell ref="G281:G285"/>
    <mergeCell ref="G286:G290"/>
    <mergeCell ref="G291:G293"/>
    <mergeCell ref="G294:G295"/>
    <mergeCell ref="G297:G299"/>
    <mergeCell ref="G300:G302"/>
    <mergeCell ref="G303:G306"/>
    <mergeCell ref="G307:G310"/>
    <mergeCell ref="G315:G316"/>
    <mergeCell ref="G317:G318"/>
    <mergeCell ref="G319:G320"/>
    <mergeCell ref="G321:G322"/>
    <mergeCell ref="G330:G331"/>
    <mergeCell ref="G332:G333"/>
    <mergeCell ref="G338:G340"/>
    <mergeCell ref="G341:G343"/>
    <mergeCell ref="G344:G346"/>
    <mergeCell ref="G347:G349"/>
    <mergeCell ref="G353:G354"/>
    <mergeCell ref="G358:G361"/>
    <mergeCell ref="G363:G366"/>
    <mergeCell ref="G367:G368"/>
    <mergeCell ref="G369:G371"/>
    <mergeCell ref="G372:G374"/>
    <mergeCell ref="G377:G378"/>
    <mergeCell ref="G379:G380"/>
    <mergeCell ref="G381:G382"/>
    <mergeCell ref="G383:G384"/>
    <mergeCell ref="G393:G394"/>
    <mergeCell ref="G397:G398"/>
    <mergeCell ref="G399:G400"/>
    <mergeCell ref="G404:G405"/>
    <mergeCell ref="G406:G407"/>
    <mergeCell ref="G435:G436"/>
    <mergeCell ref="G437:G438"/>
    <mergeCell ref="G439:G440"/>
    <mergeCell ref="G441:G442"/>
    <mergeCell ref="G447:G448"/>
    <mergeCell ref="H4:H7"/>
    <mergeCell ref="H8:H9"/>
    <mergeCell ref="H10:H15"/>
    <mergeCell ref="H17:H18"/>
    <mergeCell ref="H21:H22"/>
    <mergeCell ref="H23:H25"/>
    <mergeCell ref="H26:H27"/>
    <mergeCell ref="H33:H34"/>
    <mergeCell ref="H35:H36"/>
    <mergeCell ref="H37:H40"/>
    <mergeCell ref="H41:H45"/>
    <mergeCell ref="H46:H52"/>
    <mergeCell ref="H54:H56"/>
    <mergeCell ref="H58:H59"/>
    <mergeCell ref="H61:H63"/>
    <mergeCell ref="H64:H69"/>
    <mergeCell ref="H70:H71"/>
    <mergeCell ref="H72:H76"/>
    <mergeCell ref="H77:H79"/>
    <mergeCell ref="H80:H81"/>
    <mergeCell ref="H82:H83"/>
    <mergeCell ref="H88:H93"/>
    <mergeCell ref="H94:H98"/>
    <mergeCell ref="H99:H100"/>
    <mergeCell ref="H102:H104"/>
    <mergeCell ref="H106:H107"/>
    <mergeCell ref="H108:H111"/>
    <mergeCell ref="H118:H119"/>
    <mergeCell ref="H120:H121"/>
    <mergeCell ref="H126:H127"/>
    <mergeCell ref="H130:H131"/>
    <mergeCell ref="H132:H133"/>
    <mergeCell ref="H134:H135"/>
    <mergeCell ref="H140:H141"/>
    <mergeCell ref="H143:H145"/>
    <mergeCell ref="H146:H147"/>
    <mergeCell ref="H148:H150"/>
    <mergeCell ref="H151:H152"/>
    <mergeCell ref="H157:H158"/>
    <mergeCell ref="H181:H182"/>
    <mergeCell ref="H186:H187"/>
    <mergeCell ref="H188:H189"/>
    <mergeCell ref="H190:H191"/>
    <mergeCell ref="H193:H194"/>
    <mergeCell ref="H201:H202"/>
    <mergeCell ref="H203:H204"/>
    <mergeCell ref="H205:H206"/>
    <mergeCell ref="H207:H208"/>
    <mergeCell ref="H210:H211"/>
    <mergeCell ref="H213:H214"/>
    <mergeCell ref="H220:H221"/>
    <mergeCell ref="H222:H223"/>
    <mergeCell ref="H224:H225"/>
    <mergeCell ref="H227:H234"/>
    <mergeCell ref="H238:H239"/>
    <mergeCell ref="H240:H241"/>
    <mergeCell ref="H242:H243"/>
    <mergeCell ref="H244:H245"/>
    <mergeCell ref="H246:H247"/>
    <mergeCell ref="H250:H251"/>
    <mergeCell ref="H252:H253"/>
    <mergeCell ref="H255:H257"/>
    <mergeCell ref="H258:H260"/>
    <mergeCell ref="H261:H262"/>
    <mergeCell ref="H271:H272"/>
    <mergeCell ref="H275:H276"/>
    <mergeCell ref="H277:H278"/>
    <mergeCell ref="H279:H280"/>
    <mergeCell ref="H281:H285"/>
    <mergeCell ref="H286:H290"/>
    <mergeCell ref="H291:H293"/>
    <mergeCell ref="H294:H295"/>
    <mergeCell ref="H297:H299"/>
    <mergeCell ref="H300:H302"/>
    <mergeCell ref="H303:H306"/>
    <mergeCell ref="H307:H310"/>
    <mergeCell ref="H315:H316"/>
    <mergeCell ref="H317:H318"/>
    <mergeCell ref="H319:H320"/>
    <mergeCell ref="H321:H322"/>
    <mergeCell ref="H330:H331"/>
    <mergeCell ref="H332:H333"/>
    <mergeCell ref="H338:H340"/>
    <mergeCell ref="H341:H343"/>
    <mergeCell ref="H344:H346"/>
    <mergeCell ref="H347:H349"/>
    <mergeCell ref="H353:H354"/>
    <mergeCell ref="H358:H361"/>
    <mergeCell ref="H363:H366"/>
    <mergeCell ref="H367:H368"/>
    <mergeCell ref="H369:H371"/>
    <mergeCell ref="H372:H374"/>
    <mergeCell ref="H377:H378"/>
    <mergeCell ref="H379:H380"/>
    <mergeCell ref="H381:H382"/>
    <mergeCell ref="H383:H384"/>
    <mergeCell ref="H393:H394"/>
    <mergeCell ref="H397:H398"/>
    <mergeCell ref="H399:H400"/>
    <mergeCell ref="H404:H405"/>
    <mergeCell ref="H406:H407"/>
    <mergeCell ref="H435:H436"/>
    <mergeCell ref="H437:H438"/>
    <mergeCell ref="H439:H440"/>
    <mergeCell ref="H441:H442"/>
    <mergeCell ref="H447:H448"/>
    <mergeCell ref="I4:I7"/>
    <mergeCell ref="I8:I9"/>
    <mergeCell ref="I10:I15"/>
    <mergeCell ref="I17:I18"/>
    <mergeCell ref="I21:I22"/>
    <mergeCell ref="I23:I25"/>
    <mergeCell ref="I26:I27"/>
    <mergeCell ref="I33:I34"/>
    <mergeCell ref="I35:I36"/>
    <mergeCell ref="I37:I40"/>
    <mergeCell ref="I41:I45"/>
    <mergeCell ref="I46:I52"/>
    <mergeCell ref="I54:I56"/>
    <mergeCell ref="I58:I59"/>
    <mergeCell ref="I61:I63"/>
    <mergeCell ref="I64:I69"/>
    <mergeCell ref="I70:I71"/>
    <mergeCell ref="I72:I76"/>
    <mergeCell ref="I77:I79"/>
    <mergeCell ref="I80:I81"/>
    <mergeCell ref="I82:I83"/>
    <mergeCell ref="I88:I93"/>
    <mergeCell ref="I94:I98"/>
    <mergeCell ref="I99:I100"/>
    <mergeCell ref="I102:I104"/>
    <mergeCell ref="I106:I107"/>
    <mergeCell ref="I108:I111"/>
    <mergeCell ref="I118:I119"/>
    <mergeCell ref="I120:I121"/>
    <mergeCell ref="I126:I127"/>
    <mergeCell ref="I130:I131"/>
    <mergeCell ref="I132:I133"/>
    <mergeCell ref="I134:I135"/>
    <mergeCell ref="I140:I141"/>
    <mergeCell ref="I143:I145"/>
    <mergeCell ref="I146:I147"/>
    <mergeCell ref="I148:I150"/>
    <mergeCell ref="I151:I152"/>
    <mergeCell ref="I157:I158"/>
    <mergeCell ref="I181:I182"/>
    <mergeCell ref="I186:I187"/>
    <mergeCell ref="I188:I189"/>
    <mergeCell ref="I190:I191"/>
    <mergeCell ref="I193:I194"/>
    <mergeCell ref="I201:I202"/>
    <mergeCell ref="I203:I204"/>
    <mergeCell ref="I205:I206"/>
    <mergeCell ref="I207:I208"/>
    <mergeCell ref="I210:I211"/>
    <mergeCell ref="I213:I214"/>
    <mergeCell ref="I220:I221"/>
    <mergeCell ref="I222:I223"/>
    <mergeCell ref="I224:I225"/>
    <mergeCell ref="I227:I234"/>
    <mergeCell ref="I238:I239"/>
    <mergeCell ref="I240:I241"/>
    <mergeCell ref="I242:I243"/>
    <mergeCell ref="I244:I245"/>
    <mergeCell ref="I246:I247"/>
    <mergeCell ref="I250:I251"/>
    <mergeCell ref="I252:I253"/>
    <mergeCell ref="I255:I257"/>
    <mergeCell ref="I258:I260"/>
    <mergeCell ref="I261:I262"/>
    <mergeCell ref="I271:I272"/>
    <mergeCell ref="I275:I276"/>
    <mergeCell ref="I277:I278"/>
    <mergeCell ref="I279:I280"/>
    <mergeCell ref="I281:I285"/>
    <mergeCell ref="I286:I290"/>
    <mergeCell ref="I291:I293"/>
    <mergeCell ref="I294:I295"/>
    <mergeCell ref="I297:I299"/>
    <mergeCell ref="I300:I302"/>
    <mergeCell ref="I303:I306"/>
    <mergeCell ref="I307:I310"/>
    <mergeCell ref="I315:I316"/>
    <mergeCell ref="I317:I318"/>
    <mergeCell ref="I319:I320"/>
    <mergeCell ref="I321:I322"/>
    <mergeCell ref="I330:I331"/>
    <mergeCell ref="I332:I333"/>
    <mergeCell ref="I338:I340"/>
    <mergeCell ref="I341:I343"/>
    <mergeCell ref="I344:I346"/>
    <mergeCell ref="I347:I349"/>
    <mergeCell ref="I353:I354"/>
    <mergeCell ref="I358:I361"/>
    <mergeCell ref="I363:I366"/>
    <mergeCell ref="I367:I368"/>
    <mergeCell ref="I369:I371"/>
    <mergeCell ref="I372:I374"/>
    <mergeCell ref="I377:I378"/>
    <mergeCell ref="I379:I380"/>
    <mergeCell ref="I381:I382"/>
    <mergeCell ref="I383:I384"/>
    <mergeCell ref="I393:I394"/>
    <mergeCell ref="I397:I398"/>
    <mergeCell ref="I399:I400"/>
    <mergeCell ref="I404:I405"/>
    <mergeCell ref="I406:I407"/>
    <mergeCell ref="I435:I436"/>
    <mergeCell ref="I437:I438"/>
    <mergeCell ref="I439:I440"/>
    <mergeCell ref="I441:I442"/>
    <mergeCell ref="I447:I448"/>
    <mergeCell ref="J4:J7"/>
    <mergeCell ref="J8:J9"/>
    <mergeCell ref="J10:J15"/>
    <mergeCell ref="J17:J18"/>
    <mergeCell ref="J21:J22"/>
    <mergeCell ref="J23:J25"/>
    <mergeCell ref="J26:J27"/>
    <mergeCell ref="J33:J34"/>
    <mergeCell ref="J35:J36"/>
    <mergeCell ref="J37:J40"/>
    <mergeCell ref="J41:J45"/>
    <mergeCell ref="J46:J52"/>
    <mergeCell ref="J54:J56"/>
    <mergeCell ref="J58:J59"/>
    <mergeCell ref="J61:J63"/>
    <mergeCell ref="J64:J69"/>
    <mergeCell ref="J70:J71"/>
    <mergeCell ref="J72:J76"/>
    <mergeCell ref="J77:J79"/>
    <mergeCell ref="J80:J81"/>
    <mergeCell ref="J82:J83"/>
    <mergeCell ref="J88:J93"/>
    <mergeCell ref="J94:J98"/>
    <mergeCell ref="J99:J100"/>
    <mergeCell ref="J102:J104"/>
    <mergeCell ref="J106:J107"/>
    <mergeCell ref="J108:J111"/>
    <mergeCell ref="J118:J119"/>
    <mergeCell ref="J120:J121"/>
    <mergeCell ref="J126:J127"/>
    <mergeCell ref="J130:J131"/>
    <mergeCell ref="J132:J133"/>
    <mergeCell ref="J134:J135"/>
    <mergeCell ref="J140:J141"/>
    <mergeCell ref="J143:J145"/>
    <mergeCell ref="J146:J147"/>
    <mergeCell ref="J148:J150"/>
    <mergeCell ref="J151:J152"/>
    <mergeCell ref="J157:J158"/>
    <mergeCell ref="J181:J182"/>
    <mergeCell ref="J186:J187"/>
    <mergeCell ref="J188:J189"/>
    <mergeCell ref="J190:J191"/>
    <mergeCell ref="J193:J194"/>
    <mergeCell ref="J201:J202"/>
    <mergeCell ref="J203:J204"/>
    <mergeCell ref="J205:J206"/>
    <mergeCell ref="J207:J208"/>
    <mergeCell ref="J210:J211"/>
    <mergeCell ref="J213:J214"/>
    <mergeCell ref="J220:J221"/>
    <mergeCell ref="J222:J223"/>
    <mergeCell ref="J224:J225"/>
    <mergeCell ref="J227:J234"/>
    <mergeCell ref="J238:J239"/>
    <mergeCell ref="J240:J241"/>
    <mergeCell ref="J242:J243"/>
    <mergeCell ref="J244:J245"/>
    <mergeCell ref="J246:J247"/>
    <mergeCell ref="J250:J251"/>
    <mergeCell ref="J252:J253"/>
    <mergeCell ref="J255:J257"/>
    <mergeCell ref="J258:J260"/>
    <mergeCell ref="J261:J262"/>
    <mergeCell ref="J271:J272"/>
    <mergeCell ref="J275:J276"/>
    <mergeCell ref="J277:J278"/>
    <mergeCell ref="J279:J280"/>
    <mergeCell ref="J281:J285"/>
    <mergeCell ref="J286:J290"/>
    <mergeCell ref="J291:J293"/>
    <mergeCell ref="J294:J295"/>
    <mergeCell ref="J297:J299"/>
    <mergeCell ref="J300:J302"/>
    <mergeCell ref="J303:J306"/>
    <mergeCell ref="J307:J310"/>
    <mergeCell ref="J315:J316"/>
    <mergeCell ref="J317:J318"/>
    <mergeCell ref="J319:J320"/>
    <mergeCell ref="J321:J322"/>
    <mergeCell ref="J330:J331"/>
    <mergeCell ref="J332:J333"/>
    <mergeCell ref="J338:J340"/>
    <mergeCell ref="J341:J343"/>
    <mergeCell ref="J344:J346"/>
    <mergeCell ref="J347:J349"/>
    <mergeCell ref="J353:J354"/>
    <mergeCell ref="J358:J361"/>
    <mergeCell ref="J363:J366"/>
    <mergeCell ref="J367:J368"/>
    <mergeCell ref="J369:J371"/>
    <mergeCell ref="J372:J374"/>
    <mergeCell ref="J377:J378"/>
    <mergeCell ref="J379:J380"/>
    <mergeCell ref="J381:J382"/>
    <mergeCell ref="J383:J384"/>
    <mergeCell ref="J393:J394"/>
    <mergeCell ref="J397:J398"/>
    <mergeCell ref="J399:J400"/>
    <mergeCell ref="J404:J405"/>
    <mergeCell ref="J406:J407"/>
    <mergeCell ref="J435:J436"/>
    <mergeCell ref="J437:J438"/>
    <mergeCell ref="J439:J440"/>
    <mergeCell ref="J441:J442"/>
    <mergeCell ref="J447:J448"/>
    <mergeCell ref="K4:K7"/>
    <mergeCell ref="K8:K9"/>
    <mergeCell ref="K10:K15"/>
    <mergeCell ref="K17:K18"/>
    <mergeCell ref="K21:K22"/>
    <mergeCell ref="K23:K25"/>
    <mergeCell ref="K26:K27"/>
    <mergeCell ref="K33:K34"/>
    <mergeCell ref="K35:K36"/>
    <mergeCell ref="K37:K40"/>
    <mergeCell ref="K41:K45"/>
    <mergeCell ref="K46:K52"/>
    <mergeCell ref="K54:K56"/>
    <mergeCell ref="K58:K59"/>
    <mergeCell ref="K61:K63"/>
    <mergeCell ref="K64:K69"/>
    <mergeCell ref="K70:K71"/>
    <mergeCell ref="K72:K76"/>
    <mergeCell ref="K77:K79"/>
    <mergeCell ref="K80:K81"/>
    <mergeCell ref="K82:K83"/>
    <mergeCell ref="K88:K93"/>
    <mergeCell ref="K94:K98"/>
    <mergeCell ref="K99:K100"/>
    <mergeCell ref="K102:K104"/>
    <mergeCell ref="K106:K107"/>
    <mergeCell ref="K108:K111"/>
    <mergeCell ref="K118:K119"/>
    <mergeCell ref="K120:K121"/>
    <mergeCell ref="K126:K127"/>
    <mergeCell ref="K130:K131"/>
    <mergeCell ref="K132:K133"/>
    <mergeCell ref="K134:K135"/>
    <mergeCell ref="K140:K141"/>
    <mergeCell ref="K143:K145"/>
    <mergeCell ref="K146:K147"/>
    <mergeCell ref="K148:K150"/>
    <mergeCell ref="K151:K152"/>
    <mergeCell ref="K157:K158"/>
    <mergeCell ref="K181:K182"/>
    <mergeCell ref="K186:K187"/>
    <mergeCell ref="K188:K189"/>
    <mergeCell ref="K190:K191"/>
    <mergeCell ref="K193:K194"/>
    <mergeCell ref="K201:K202"/>
    <mergeCell ref="K203:K204"/>
    <mergeCell ref="K205:K206"/>
    <mergeCell ref="K207:K208"/>
    <mergeCell ref="K210:K211"/>
    <mergeCell ref="K213:K214"/>
    <mergeCell ref="K220:K221"/>
    <mergeCell ref="K222:K223"/>
    <mergeCell ref="K224:K225"/>
    <mergeCell ref="K227:K234"/>
    <mergeCell ref="K238:K239"/>
    <mergeCell ref="K240:K241"/>
    <mergeCell ref="K242:K243"/>
    <mergeCell ref="K244:K245"/>
    <mergeCell ref="K246:K247"/>
    <mergeCell ref="K250:K251"/>
    <mergeCell ref="K252:K253"/>
    <mergeCell ref="K255:K257"/>
    <mergeCell ref="K258:K260"/>
    <mergeCell ref="K261:K262"/>
    <mergeCell ref="K271:K272"/>
    <mergeCell ref="K275:K276"/>
    <mergeCell ref="K277:K278"/>
    <mergeCell ref="K279:K280"/>
    <mergeCell ref="K281:K285"/>
    <mergeCell ref="K286:K290"/>
    <mergeCell ref="K291:K293"/>
    <mergeCell ref="K294:K295"/>
    <mergeCell ref="K297:K299"/>
    <mergeCell ref="K300:K302"/>
    <mergeCell ref="K303:K306"/>
    <mergeCell ref="K307:K310"/>
    <mergeCell ref="K315:K316"/>
    <mergeCell ref="K317:K318"/>
    <mergeCell ref="K319:K320"/>
    <mergeCell ref="K321:K322"/>
    <mergeCell ref="K330:K331"/>
    <mergeCell ref="K332:K333"/>
    <mergeCell ref="K338:K340"/>
    <mergeCell ref="K341:K343"/>
    <mergeCell ref="K344:K346"/>
    <mergeCell ref="K347:K349"/>
    <mergeCell ref="K353:K354"/>
    <mergeCell ref="K358:K361"/>
    <mergeCell ref="K363:K366"/>
    <mergeCell ref="K367:K368"/>
    <mergeCell ref="K369:K371"/>
    <mergeCell ref="K372:K374"/>
    <mergeCell ref="K377:K378"/>
    <mergeCell ref="K379:K380"/>
    <mergeCell ref="K381:K382"/>
    <mergeCell ref="K383:K384"/>
    <mergeCell ref="K393:K394"/>
    <mergeCell ref="K397:K398"/>
    <mergeCell ref="K399:K400"/>
    <mergeCell ref="K404:K405"/>
    <mergeCell ref="K406:K407"/>
    <mergeCell ref="K435:K436"/>
    <mergeCell ref="K437:K438"/>
    <mergeCell ref="K439:K440"/>
    <mergeCell ref="K441:K442"/>
    <mergeCell ref="K447:K448"/>
    <mergeCell ref="L4:L7"/>
    <mergeCell ref="L8:L9"/>
    <mergeCell ref="L10:L15"/>
    <mergeCell ref="L17:L18"/>
    <mergeCell ref="L21:L22"/>
    <mergeCell ref="L23:L25"/>
    <mergeCell ref="L26:L27"/>
    <mergeCell ref="L33:L34"/>
    <mergeCell ref="L35:L36"/>
    <mergeCell ref="L37:L40"/>
    <mergeCell ref="L41:L45"/>
    <mergeCell ref="L46:L52"/>
    <mergeCell ref="L54:L56"/>
    <mergeCell ref="L58:L59"/>
    <mergeCell ref="L61:L63"/>
    <mergeCell ref="L64:L69"/>
    <mergeCell ref="L70:L71"/>
    <mergeCell ref="L72:L76"/>
    <mergeCell ref="L77:L79"/>
    <mergeCell ref="L80:L81"/>
    <mergeCell ref="L82:L83"/>
    <mergeCell ref="L88:L93"/>
    <mergeCell ref="L94:L98"/>
    <mergeCell ref="L99:L100"/>
    <mergeCell ref="L102:L104"/>
    <mergeCell ref="L106:L107"/>
    <mergeCell ref="L108:L111"/>
    <mergeCell ref="L118:L119"/>
    <mergeCell ref="L120:L121"/>
    <mergeCell ref="L126:L127"/>
    <mergeCell ref="L130:L131"/>
    <mergeCell ref="L132:L133"/>
    <mergeCell ref="L134:L135"/>
    <mergeCell ref="L140:L141"/>
    <mergeCell ref="L143:L145"/>
    <mergeCell ref="L146:L147"/>
    <mergeCell ref="L148:L150"/>
    <mergeCell ref="L151:L152"/>
    <mergeCell ref="L157:L158"/>
    <mergeCell ref="L181:L182"/>
    <mergeCell ref="L186:L187"/>
    <mergeCell ref="L188:L189"/>
    <mergeCell ref="L190:L191"/>
    <mergeCell ref="L193:L194"/>
    <mergeCell ref="L201:L202"/>
    <mergeCell ref="L203:L204"/>
    <mergeCell ref="L205:L206"/>
    <mergeCell ref="L207:L208"/>
    <mergeCell ref="L210:L211"/>
    <mergeCell ref="L213:L214"/>
    <mergeCell ref="L220:L221"/>
    <mergeCell ref="L222:L223"/>
    <mergeCell ref="L224:L225"/>
    <mergeCell ref="L227:L234"/>
    <mergeCell ref="L238:L239"/>
    <mergeCell ref="L240:L241"/>
    <mergeCell ref="L242:L243"/>
    <mergeCell ref="L244:L245"/>
    <mergeCell ref="L246:L247"/>
    <mergeCell ref="L250:L251"/>
    <mergeCell ref="L252:L253"/>
    <mergeCell ref="L255:L257"/>
    <mergeCell ref="L258:L260"/>
    <mergeCell ref="L261:L262"/>
    <mergeCell ref="L271:L272"/>
    <mergeCell ref="L275:L276"/>
    <mergeCell ref="L277:L278"/>
    <mergeCell ref="L279:L280"/>
    <mergeCell ref="L281:L285"/>
    <mergeCell ref="L286:L290"/>
    <mergeCell ref="L291:L293"/>
    <mergeCell ref="L294:L295"/>
    <mergeCell ref="L297:L299"/>
    <mergeCell ref="L300:L302"/>
    <mergeCell ref="L303:L306"/>
    <mergeCell ref="L307:L310"/>
    <mergeCell ref="L315:L316"/>
    <mergeCell ref="L317:L318"/>
    <mergeCell ref="L319:L320"/>
    <mergeCell ref="L321:L322"/>
    <mergeCell ref="L330:L331"/>
    <mergeCell ref="L332:L333"/>
    <mergeCell ref="L338:L340"/>
    <mergeCell ref="L341:L343"/>
    <mergeCell ref="L344:L346"/>
    <mergeCell ref="L347:L349"/>
    <mergeCell ref="L353:L354"/>
    <mergeCell ref="L358:L361"/>
    <mergeCell ref="L363:L366"/>
    <mergeCell ref="L367:L368"/>
    <mergeCell ref="L369:L371"/>
    <mergeCell ref="L372:L374"/>
    <mergeCell ref="L377:L378"/>
    <mergeCell ref="L379:L380"/>
    <mergeCell ref="L381:L382"/>
    <mergeCell ref="L383:L384"/>
    <mergeCell ref="L393:L394"/>
    <mergeCell ref="L397:L398"/>
    <mergeCell ref="L399:L400"/>
    <mergeCell ref="L404:L405"/>
    <mergeCell ref="L406:L407"/>
    <mergeCell ref="L435:L436"/>
    <mergeCell ref="L437:L438"/>
    <mergeCell ref="L439:L440"/>
    <mergeCell ref="L441:L442"/>
    <mergeCell ref="L447:L448"/>
    <mergeCell ref="M4:M7"/>
    <mergeCell ref="M8:M9"/>
    <mergeCell ref="M10:M15"/>
    <mergeCell ref="M17:M18"/>
    <mergeCell ref="M21:M22"/>
    <mergeCell ref="M23:M25"/>
    <mergeCell ref="M26:M27"/>
    <mergeCell ref="M33:M34"/>
    <mergeCell ref="M35:M36"/>
    <mergeCell ref="M37:M40"/>
    <mergeCell ref="M41:M45"/>
    <mergeCell ref="M46:M52"/>
    <mergeCell ref="M54:M56"/>
    <mergeCell ref="M58:M59"/>
    <mergeCell ref="M61:M63"/>
    <mergeCell ref="M64:M69"/>
    <mergeCell ref="M70:M71"/>
    <mergeCell ref="M72:M76"/>
    <mergeCell ref="M77:M79"/>
    <mergeCell ref="M80:M81"/>
    <mergeCell ref="M82:M83"/>
    <mergeCell ref="M88:M93"/>
    <mergeCell ref="M94:M98"/>
    <mergeCell ref="M99:M100"/>
    <mergeCell ref="M102:M104"/>
    <mergeCell ref="M106:M107"/>
    <mergeCell ref="M108:M111"/>
    <mergeCell ref="M118:M119"/>
    <mergeCell ref="M120:M121"/>
    <mergeCell ref="M126:M127"/>
    <mergeCell ref="M130:M131"/>
    <mergeCell ref="M132:M133"/>
    <mergeCell ref="M134:M135"/>
    <mergeCell ref="M140:M141"/>
    <mergeCell ref="M143:M145"/>
    <mergeCell ref="M146:M147"/>
    <mergeCell ref="M148:M150"/>
    <mergeCell ref="M151:M152"/>
    <mergeCell ref="M157:M158"/>
    <mergeCell ref="M181:M182"/>
    <mergeCell ref="M186:M187"/>
    <mergeCell ref="M188:M189"/>
    <mergeCell ref="M190:M191"/>
    <mergeCell ref="M193:M194"/>
    <mergeCell ref="M201:M202"/>
    <mergeCell ref="M203:M204"/>
    <mergeCell ref="M205:M206"/>
    <mergeCell ref="M207:M208"/>
    <mergeCell ref="M210:M211"/>
    <mergeCell ref="M213:M214"/>
    <mergeCell ref="M220:M221"/>
    <mergeCell ref="M222:M223"/>
    <mergeCell ref="M224:M225"/>
    <mergeCell ref="M227:M234"/>
    <mergeCell ref="M238:M239"/>
    <mergeCell ref="M240:M241"/>
    <mergeCell ref="M242:M243"/>
    <mergeCell ref="M244:M245"/>
    <mergeCell ref="M246:M247"/>
    <mergeCell ref="M250:M251"/>
    <mergeCell ref="M252:M253"/>
    <mergeCell ref="M255:M257"/>
    <mergeCell ref="M258:M260"/>
    <mergeCell ref="M261:M262"/>
    <mergeCell ref="M271:M272"/>
    <mergeCell ref="M275:M276"/>
    <mergeCell ref="M277:M278"/>
    <mergeCell ref="M279:M280"/>
    <mergeCell ref="M281:M285"/>
    <mergeCell ref="M286:M290"/>
    <mergeCell ref="M291:M293"/>
    <mergeCell ref="M294:M295"/>
    <mergeCell ref="M297:M299"/>
    <mergeCell ref="M300:M302"/>
    <mergeCell ref="M303:M306"/>
    <mergeCell ref="M307:M310"/>
    <mergeCell ref="M315:M316"/>
    <mergeCell ref="M317:M318"/>
    <mergeCell ref="M319:M320"/>
    <mergeCell ref="M321:M322"/>
    <mergeCell ref="M330:M331"/>
    <mergeCell ref="M332:M333"/>
    <mergeCell ref="M338:M340"/>
    <mergeCell ref="M341:M343"/>
    <mergeCell ref="M344:M346"/>
    <mergeCell ref="M347:M349"/>
    <mergeCell ref="M353:M354"/>
    <mergeCell ref="M358:M361"/>
    <mergeCell ref="M363:M366"/>
    <mergeCell ref="M367:M368"/>
    <mergeCell ref="M369:M371"/>
    <mergeCell ref="M372:M374"/>
    <mergeCell ref="M377:M378"/>
    <mergeCell ref="M379:M380"/>
    <mergeCell ref="M381:M382"/>
    <mergeCell ref="M383:M384"/>
    <mergeCell ref="M393:M394"/>
    <mergeCell ref="M397:M398"/>
    <mergeCell ref="M399:M400"/>
    <mergeCell ref="M404:M405"/>
    <mergeCell ref="M406:M407"/>
    <mergeCell ref="M435:M436"/>
    <mergeCell ref="M437:M438"/>
    <mergeCell ref="M439:M440"/>
    <mergeCell ref="M441:M442"/>
    <mergeCell ref="M447:M448"/>
    <mergeCell ref="N4:N7"/>
    <mergeCell ref="N8:N9"/>
    <mergeCell ref="N10:N15"/>
    <mergeCell ref="N17:N18"/>
    <mergeCell ref="N21:N22"/>
    <mergeCell ref="N23:N25"/>
    <mergeCell ref="N26:N27"/>
    <mergeCell ref="N33:N34"/>
    <mergeCell ref="N35:N36"/>
    <mergeCell ref="N37:N40"/>
    <mergeCell ref="N41:N45"/>
    <mergeCell ref="N46:N52"/>
    <mergeCell ref="N54:N56"/>
    <mergeCell ref="N58:N59"/>
    <mergeCell ref="N61:N63"/>
    <mergeCell ref="N64:N69"/>
    <mergeCell ref="N70:N71"/>
    <mergeCell ref="N72:N76"/>
    <mergeCell ref="N77:N79"/>
    <mergeCell ref="N80:N81"/>
    <mergeCell ref="N82:N83"/>
    <mergeCell ref="N88:N93"/>
    <mergeCell ref="N94:N98"/>
    <mergeCell ref="N99:N100"/>
    <mergeCell ref="N102:N104"/>
    <mergeCell ref="N106:N107"/>
    <mergeCell ref="N108:N111"/>
    <mergeCell ref="N118:N119"/>
    <mergeCell ref="N120:N121"/>
    <mergeCell ref="N126:N127"/>
    <mergeCell ref="N130:N131"/>
    <mergeCell ref="N132:N133"/>
    <mergeCell ref="N134:N135"/>
    <mergeCell ref="N140:N141"/>
    <mergeCell ref="N143:N145"/>
    <mergeCell ref="N146:N147"/>
    <mergeCell ref="N148:N150"/>
    <mergeCell ref="N151:N152"/>
    <mergeCell ref="N157:N158"/>
    <mergeCell ref="N181:N182"/>
    <mergeCell ref="N186:N187"/>
    <mergeCell ref="N188:N189"/>
    <mergeCell ref="N190:N191"/>
    <mergeCell ref="N193:N194"/>
    <mergeCell ref="N201:N202"/>
    <mergeCell ref="N203:N204"/>
    <mergeCell ref="N205:N206"/>
    <mergeCell ref="N207:N208"/>
    <mergeCell ref="N210:N211"/>
    <mergeCell ref="N213:N214"/>
    <mergeCell ref="N220:N221"/>
    <mergeCell ref="N222:N223"/>
    <mergeCell ref="N224:N225"/>
    <mergeCell ref="N227:N234"/>
    <mergeCell ref="N238:N239"/>
    <mergeCell ref="N240:N241"/>
    <mergeCell ref="N242:N243"/>
    <mergeCell ref="N244:N245"/>
    <mergeCell ref="N246:N247"/>
    <mergeCell ref="N250:N251"/>
    <mergeCell ref="N252:N253"/>
    <mergeCell ref="N255:N257"/>
    <mergeCell ref="N258:N260"/>
    <mergeCell ref="N261:N262"/>
    <mergeCell ref="N271:N272"/>
    <mergeCell ref="N275:N276"/>
    <mergeCell ref="N277:N278"/>
    <mergeCell ref="N279:N280"/>
    <mergeCell ref="N281:N285"/>
    <mergeCell ref="N286:N290"/>
    <mergeCell ref="N291:N293"/>
    <mergeCell ref="N294:N295"/>
    <mergeCell ref="N297:N299"/>
    <mergeCell ref="N300:N302"/>
    <mergeCell ref="N303:N306"/>
    <mergeCell ref="N307:N310"/>
    <mergeCell ref="N315:N316"/>
    <mergeCell ref="N317:N318"/>
    <mergeCell ref="N319:N320"/>
    <mergeCell ref="N321:N322"/>
    <mergeCell ref="N330:N331"/>
    <mergeCell ref="N332:N333"/>
    <mergeCell ref="N338:N340"/>
    <mergeCell ref="N341:N343"/>
    <mergeCell ref="N344:N346"/>
    <mergeCell ref="N347:N349"/>
    <mergeCell ref="N353:N354"/>
    <mergeCell ref="N358:N361"/>
    <mergeCell ref="N363:N366"/>
    <mergeCell ref="N367:N368"/>
    <mergeCell ref="N369:N371"/>
    <mergeCell ref="N372:N374"/>
    <mergeCell ref="N377:N378"/>
    <mergeCell ref="N379:N380"/>
    <mergeCell ref="N381:N382"/>
    <mergeCell ref="N383:N384"/>
    <mergeCell ref="N393:N394"/>
    <mergeCell ref="N397:N398"/>
    <mergeCell ref="N399:N400"/>
    <mergeCell ref="N404:N405"/>
    <mergeCell ref="N406:N407"/>
    <mergeCell ref="N435:N436"/>
    <mergeCell ref="N437:N438"/>
    <mergeCell ref="N439:N440"/>
    <mergeCell ref="N441:N442"/>
    <mergeCell ref="N447:N448"/>
    <mergeCell ref="O4:O7"/>
    <mergeCell ref="O8:O9"/>
    <mergeCell ref="O10:O15"/>
    <mergeCell ref="O17:O18"/>
    <mergeCell ref="O21:O22"/>
    <mergeCell ref="O23:O25"/>
    <mergeCell ref="O26:O27"/>
    <mergeCell ref="O33:O34"/>
    <mergeCell ref="O35:O36"/>
    <mergeCell ref="O37:O40"/>
    <mergeCell ref="O41:O45"/>
    <mergeCell ref="O46:O52"/>
    <mergeCell ref="O54:O56"/>
    <mergeCell ref="O58:O59"/>
    <mergeCell ref="O61:O63"/>
    <mergeCell ref="O64:O69"/>
    <mergeCell ref="O70:O71"/>
    <mergeCell ref="O72:O76"/>
    <mergeCell ref="O77:O79"/>
    <mergeCell ref="O80:O81"/>
    <mergeCell ref="O82:O83"/>
    <mergeCell ref="O88:O93"/>
    <mergeCell ref="O94:O98"/>
    <mergeCell ref="O99:O100"/>
    <mergeCell ref="O102:O104"/>
    <mergeCell ref="O106:O107"/>
    <mergeCell ref="O108:O111"/>
    <mergeCell ref="O118:O119"/>
    <mergeCell ref="O120:O121"/>
    <mergeCell ref="O126:O127"/>
    <mergeCell ref="O130:O131"/>
    <mergeCell ref="O132:O133"/>
    <mergeCell ref="O134:O135"/>
    <mergeCell ref="O140:O141"/>
    <mergeCell ref="O143:O145"/>
    <mergeCell ref="O146:O147"/>
    <mergeCell ref="O148:O150"/>
    <mergeCell ref="O151:O152"/>
    <mergeCell ref="O157:O158"/>
    <mergeCell ref="O181:O182"/>
    <mergeCell ref="O186:O187"/>
    <mergeCell ref="O188:O189"/>
    <mergeCell ref="O190:O191"/>
    <mergeCell ref="O193:O194"/>
    <mergeCell ref="O201:O202"/>
    <mergeCell ref="O203:O204"/>
    <mergeCell ref="O205:O206"/>
    <mergeCell ref="O207:O208"/>
    <mergeCell ref="O210:O211"/>
    <mergeCell ref="O213:O214"/>
    <mergeCell ref="O220:O221"/>
    <mergeCell ref="O222:O223"/>
    <mergeCell ref="O224:O225"/>
    <mergeCell ref="O227:O234"/>
    <mergeCell ref="O238:O239"/>
    <mergeCell ref="O240:O241"/>
    <mergeCell ref="O242:O243"/>
    <mergeCell ref="O244:O245"/>
    <mergeCell ref="O246:O247"/>
    <mergeCell ref="O250:O251"/>
    <mergeCell ref="O252:O253"/>
    <mergeCell ref="O255:O257"/>
    <mergeCell ref="O258:O260"/>
    <mergeCell ref="O261:O262"/>
    <mergeCell ref="O271:O272"/>
    <mergeCell ref="O275:O276"/>
    <mergeCell ref="O277:O278"/>
    <mergeCell ref="O279:O280"/>
    <mergeCell ref="O281:O285"/>
    <mergeCell ref="O286:O290"/>
    <mergeCell ref="O291:O293"/>
    <mergeCell ref="O294:O295"/>
    <mergeCell ref="O297:O299"/>
    <mergeCell ref="O300:O302"/>
    <mergeCell ref="O303:O306"/>
    <mergeCell ref="O307:O310"/>
    <mergeCell ref="O315:O316"/>
    <mergeCell ref="O317:O318"/>
    <mergeCell ref="O319:O320"/>
    <mergeCell ref="O321:O322"/>
    <mergeCell ref="O330:O331"/>
    <mergeCell ref="O332:O333"/>
    <mergeCell ref="O338:O340"/>
    <mergeCell ref="O341:O343"/>
    <mergeCell ref="O344:O346"/>
    <mergeCell ref="O347:O349"/>
    <mergeCell ref="O353:O354"/>
    <mergeCell ref="O358:O361"/>
    <mergeCell ref="O363:O366"/>
    <mergeCell ref="O367:O368"/>
    <mergeCell ref="O369:O371"/>
    <mergeCell ref="O372:O374"/>
    <mergeCell ref="O377:O378"/>
    <mergeCell ref="O379:O380"/>
    <mergeCell ref="O381:O382"/>
    <mergeCell ref="O383:O384"/>
    <mergeCell ref="O393:O394"/>
    <mergeCell ref="O397:O398"/>
    <mergeCell ref="O399:O400"/>
    <mergeCell ref="O404:O405"/>
    <mergeCell ref="O406:O407"/>
    <mergeCell ref="O435:O436"/>
    <mergeCell ref="O437:O438"/>
    <mergeCell ref="O439:O440"/>
    <mergeCell ref="O441:O442"/>
    <mergeCell ref="O447:O448"/>
    <mergeCell ref="P4:P7"/>
    <mergeCell ref="P8:P9"/>
    <mergeCell ref="P10:P15"/>
    <mergeCell ref="P17:P18"/>
    <mergeCell ref="P21:P22"/>
    <mergeCell ref="P23:P25"/>
    <mergeCell ref="P26:P27"/>
    <mergeCell ref="P33:P34"/>
    <mergeCell ref="P35:P36"/>
    <mergeCell ref="P37:P40"/>
    <mergeCell ref="P41:P45"/>
    <mergeCell ref="P46:P52"/>
    <mergeCell ref="P54:P56"/>
    <mergeCell ref="P58:P59"/>
    <mergeCell ref="P61:P63"/>
    <mergeCell ref="P64:P69"/>
    <mergeCell ref="P70:P71"/>
    <mergeCell ref="P72:P76"/>
    <mergeCell ref="P77:P79"/>
    <mergeCell ref="P80:P81"/>
    <mergeCell ref="P82:P83"/>
    <mergeCell ref="P88:P93"/>
    <mergeCell ref="P94:P98"/>
    <mergeCell ref="P99:P100"/>
    <mergeCell ref="P102:P104"/>
    <mergeCell ref="P106:P107"/>
    <mergeCell ref="P108:P111"/>
    <mergeCell ref="P118:P119"/>
    <mergeCell ref="P120:P121"/>
    <mergeCell ref="P126:P127"/>
    <mergeCell ref="P130:P131"/>
    <mergeCell ref="P132:P133"/>
    <mergeCell ref="P134:P135"/>
    <mergeCell ref="P140:P141"/>
    <mergeCell ref="P143:P145"/>
    <mergeCell ref="P146:P147"/>
    <mergeCell ref="P148:P150"/>
    <mergeCell ref="P151:P152"/>
    <mergeCell ref="P157:P158"/>
    <mergeCell ref="P181:P182"/>
    <mergeCell ref="P186:P187"/>
    <mergeCell ref="P188:P189"/>
    <mergeCell ref="P190:P191"/>
    <mergeCell ref="P193:P194"/>
    <mergeCell ref="P201:P202"/>
    <mergeCell ref="P203:P204"/>
    <mergeCell ref="P205:P206"/>
    <mergeCell ref="P207:P208"/>
    <mergeCell ref="P210:P211"/>
    <mergeCell ref="P213:P214"/>
    <mergeCell ref="P220:P221"/>
    <mergeCell ref="P222:P223"/>
    <mergeCell ref="P224:P225"/>
    <mergeCell ref="P227:P234"/>
    <mergeCell ref="P238:P239"/>
    <mergeCell ref="P240:P241"/>
    <mergeCell ref="P242:P243"/>
    <mergeCell ref="P244:P245"/>
    <mergeCell ref="P246:P247"/>
    <mergeCell ref="P250:P251"/>
    <mergeCell ref="P252:P253"/>
    <mergeCell ref="P255:P257"/>
    <mergeCell ref="P258:P260"/>
    <mergeCell ref="P261:P262"/>
    <mergeCell ref="P271:P272"/>
    <mergeCell ref="P275:P276"/>
    <mergeCell ref="P277:P278"/>
    <mergeCell ref="P279:P280"/>
    <mergeCell ref="P281:P285"/>
    <mergeCell ref="P286:P290"/>
    <mergeCell ref="P291:P293"/>
    <mergeCell ref="P294:P295"/>
    <mergeCell ref="P297:P299"/>
    <mergeCell ref="P300:P302"/>
    <mergeCell ref="P303:P306"/>
    <mergeCell ref="P307:P310"/>
    <mergeCell ref="P315:P316"/>
    <mergeCell ref="P317:P318"/>
    <mergeCell ref="P319:P320"/>
    <mergeCell ref="P321:P322"/>
    <mergeCell ref="P330:P331"/>
    <mergeCell ref="P332:P333"/>
    <mergeCell ref="P338:P340"/>
    <mergeCell ref="P341:P343"/>
    <mergeCell ref="P344:P346"/>
    <mergeCell ref="P347:P349"/>
    <mergeCell ref="P353:P354"/>
    <mergeCell ref="P358:P361"/>
    <mergeCell ref="P363:P366"/>
    <mergeCell ref="P367:P368"/>
    <mergeCell ref="P369:P371"/>
    <mergeCell ref="P372:P374"/>
    <mergeCell ref="P377:P378"/>
    <mergeCell ref="P379:P380"/>
    <mergeCell ref="P381:P382"/>
    <mergeCell ref="P383:P384"/>
    <mergeCell ref="P393:P394"/>
    <mergeCell ref="P397:P398"/>
    <mergeCell ref="P399:P400"/>
    <mergeCell ref="P404:P405"/>
    <mergeCell ref="P406:P407"/>
    <mergeCell ref="P435:P436"/>
    <mergeCell ref="P437:P438"/>
    <mergeCell ref="P439:P440"/>
    <mergeCell ref="P441:P442"/>
    <mergeCell ref="P447:P448"/>
    <mergeCell ref="Q4:Q7"/>
    <mergeCell ref="Q8:Q9"/>
    <mergeCell ref="Q10:Q15"/>
    <mergeCell ref="Q17:Q18"/>
    <mergeCell ref="Q21:Q22"/>
    <mergeCell ref="Q23:Q25"/>
    <mergeCell ref="Q26:Q27"/>
    <mergeCell ref="Q33:Q34"/>
    <mergeCell ref="Q35:Q36"/>
    <mergeCell ref="Q37:Q40"/>
    <mergeCell ref="Q41:Q45"/>
    <mergeCell ref="Q46:Q52"/>
    <mergeCell ref="Q54:Q56"/>
    <mergeCell ref="Q58:Q59"/>
    <mergeCell ref="Q61:Q63"/>
    <mergeCell ref="Q64:Q69"/>
    <mergeCell ref="Q70:Q71"/>
    <mergeCell ref="Q72:Q76"/>
    <mergeCell ref="Q77:Q79"/>
    <mergeCell ref="Q80:Q81"/>
    <mergeCell ref="Q82:Q83"/>
    <mergeCell ref="Q88:Q93"/>
    <mergeCell ref="Q94:Q98"/>
    <mergeCell ref="Q99:Q100"/>
    <mergeCell ref="Q102:Q104"/>
    <mergeCell ref="Q106:Q107"/>
    <mergeCell ref="Q108:Q111"/>
    <mergeCell ref="Q118:Q119"/>
    <mergeCell ref="Q120:Q121"/>
    <mergeCell ref="Q126:Q127"/>
    <mergeCell ref="Q130:Q131"/>
    <mergeCell ref="Q132:Q133"/>
    <mergeCell ref="Q134:Q135"/>
    <mergeCell ref="Q140:Q141"/>
    <mergeCell ref="Q143:Q145"/>
    <mergeCell ref="Q146:Q147"/>
    <mergeCell ref="Q148:Q150"/>
    <mergeCell ref="Q151:Q152"/>
    <mergeCell ref="Q157:Q158"/>
    <mergeCell ref="Q181:Q182"/>
    <mergeCell ref="Q186:Q187"/>
    <mergeCell ref="Q188:Q189"/>
    <mergeCell ref="Q190:Q191"/>
    <mergeCell ref="Q193:Q194"/>
    <mergeCell ref="Q201:Q202"/>
    <mergeCell ref="Q203:Q204"/>
    <mergeCell ref="Q205:Q206"/>
    <mergeCell ref="Q207:Q208"/>
    <mergeCell ref="Q210:Q211"/>
    <mergeCell ref="Q213:Q214"/>
    <mergeCell ref="Q220:Q221"/>
    <mergeCell ref="Q222:Q223"/>
    <mergeCell ref="Q224:Q225"/>
    <mergeCell ref="Q227:Q234"/>
    <mergeCell ref="Q238:Q239"/>
    <mergeCell ref="Q240:Q241"/>
    <mergeCell ref="Q242:Q243"/>
    <mergeCell ref="Q244:Q245"/>
    <mergeCell ref="Q246:Q247"/>
    <mergeCell ref="Q250:Q251"/>
    <mergeCell ref="Q252:Q253"/>
    <mergeCell ref="Q255:Q257"/>
    <mergeCell ref="Q258:Q260"/>
    <mergeCell ref="Q261:Q262"/>
    <mergeCell ref="Q271:Q272"/>
    <mergeCell ref="Q275:Q276"/>
    <mergeCell ref="Q277:Q278"/>
    <mergeCell ref="Q279:Q280"/>
    <mergeCell ref="Q281:Q285"/>
    <mergeCell ref="Q286:Q290"/>
    <mergeCell ref="Q291:Q293"/>
    <mergeCell ref="Q294:Q295"/>
    <mergeCell ref="Q297:Q299"/>
    <mergeCell ref="Q300:Q302"/>
    <mergeCell ref="Q303:Q306"/>
    <mergeCell ref="Q307:Q310"/>
    <mergeCell ref="Q315:Q316"/>
    <mergeCell ref="Q317:Q318"/>
    <mergeCell ref="Q319:Q320"/>
    <mergeCell ref="Q321:Q322"/>
    <mergeCell ref="Q330:Q331"/>
    <mergeCell ref="Q332:Q333"/>
    <mergeCell ref="Q338:Q340"/>
    <mergeCell ref="Q341:Q343"/>
    <mergeCell ref="Q344:Q346"/>
    <mergeCell ref="Q347:Q349"/>
    <mergeCell ref="Q353:Q354"/>
    <mergeCell ref="Q358:Q361"/>
    <mergeCell ref="Q363:Q366"/>
    <mergeCell ref="Q367:Q368"/>
    <mergeCell ref="Q369:Q371"/>
    <mergeCell ref="Q372:Q374"/>
    <mergeCell ref="Q377:Q378"/>
    <mergeCell ref="Q379:Q380"/>
    <mergeCell ref="Q381:Q382"/>
    <mergeCell ref="Q383:Q384"/>
    <mergeCell ref="Q393:Q394"/>
    <mergeCell ref="Q397:Q398"/>
    <mergeCell ref="Q399:Q400"/>
    <mergeCell ref="Q404:Q405"/>
    <mergeCell ref="Q406:Q407"/>
    <mergeCell ref="Q435:Q436"/>
    <mergeCell ref="Q437:Q438"/>
    <mergeCell ref="Q439:Q440"/>
    <mergeCell ref="Q441:Q442"/>
    <mergeCell ref="Q447:Q448"/>
    <mergeCell ref="R4:R7"/>
    <mergeCell ref="R8:R9"/>
    <mergeCell ref="R10:R15"/>
    <mergeCell ref="R17:R18"/>
    <mergeCell ref="R21:R22"/>
    <mergeCell ref="R23:R25"/>
    <mergeCell ref="R26:R27"/>
    <mergeCell ref="R33:R34"/>
    <mergeCell ref="R35:R36"/>
    <mergeCell ref="R37:R40"/>
    <mergeCell ref="R41:R45"/>
    <mergeCell ref="R46:R52"/>
    <mergeCell ref="R54:R56"/>
    <mergeCell ref="R58:R59"/>
    <mergeCell ref="R61:R63"/>
    <mergeCell ref="R64:R69"/>
    <mergeCell ref="R70:R71"/>
    <mergeCell ref="R72:R76"/>
    <mergeCell ref="R77:R79"/>
    <mergeCell ref="R80:R81"/>
    <mergeCell ref="R82:R83"/>
    <mergeCell ref="R88:R93"/>
    <mergeCell ref="R94:R98"/>
    <mergeCell ref="R99:R100"/>
    <mergeCell ref="R102:R104"/>
    <mergeCell ref="R106:R107"/>
    <mergeCell ref="R108:R111"/>
    <mergeCell ref="R118:R119"/>
    <mergeCell ref="R120:R121"/>
    <mergeCell ref="R126:R127"/>
    <mergeCell ref="R130:R131"/>
    <mergeCell ref="R132:R133"/>
    <mergeCell ref="R134:R135"/>
    <mergeCell ref="R140:R141"/>
    <mergeCell ref="R143:R145"/>
    <mergeCell ref="R146:R147"/>
    <mergeCell ref="R148:R150"/>
    <mergeCell ref="R151:R152"/>
    <mergeCell ref="R157:R158"/>
    <mergeCell ref="R181:R182"/>
    <mergeCell ref="R186:R187"/>
    <mergeCell ref="R188:R189"/>
    <mergeCell ref="R190:R191"/>
    <mergeCell ref="R193:R194"/>
    <mergeCell ref="R201:R202"/>
    <mergeCell ref="R203:R204"/>
    <mergeCell ref="R205:R206"/>
    <mergeCell ref="R207:R208"/>
    <mergeCell ref="R210:R211"/>
    <mergeCell ref="R213:R214"/>
    <mergeCell ref="R220:R221"/>
    <mergeCell ref="R222:R223"/>
    <mergeCell ref="R224:R225"/>
    <mergeCell ref="R227:R234"/>
    <mergeCell ref="R238:R239"/>
    <mergeCell ref="R240:R241"/>
    <mergeCell ref="R242:R243"/>
    <mergeCell ref="R244:R245"/>
    <mergeCell ref="R246:R247"/>
    <mergeCell ref="R250:R251"/>
    <mergeCell ref="R252:R253"/>
    <mergeCell ref="R255:R257"/>
    <mergeCell ref="R258:R260"/>
    <mergeCell ref="R261:R262"/>
    <mergeCell ref="R271:R272"/>
    <mergeCell ref="R275:R276"/>
    <mergeCell ref="R277:R278"/>
    <mergeCell ref="R279:R280"/>
    <mergeCell ref="R281:R285"/>
    <mergeCell ref="R286:R290"/>
    <mergeCell ref="R291:R293"/>
    <mergeCell ref="R294:R295"/>
    <mergeCell ref="R297:R299"/>
    <mergeCell ref="R300:R302"/>
    <mergeCell ref="R303:R306"/>
    <mergeCell ref="R307:R310"/>
    <mergeCell ref="R315:R316"/>
    <mergeCell ref="R317:R318"/>
    <mergeCell ref="R319:R320"/>
    <mergeCell ref="R321:R322"/>
    <mergeCell ref="R330:R331"/>
    <mergeCell ref="R332:R333"/>
    <mergeCell ref="R338:R340"/>
    <mergeCell ref="R341:R343"/>
    <mergeCell ref="R344:R346"/>
    <mergeCell ref="R347:R349"/>
    <mergeCell ref="R353:R354"/>
    <mergeCell ref="R358:R361"/>
    <mergeCell ref="R363:R366"/>
    <mergeCell ref="R367:R368"/>
    <mergeCell ref="R369:R371"/>
    <mergeCell ref="R372:R374"/>
    <mergeCell ref="R377:R378"/>
    <mergeCell ref="R379:R380"/>
    <mergeCell ref="R381:R382"/>
    <mergeCell ref="R383:R384"/>
    <mergeCell ref="R393:R394"/>
    <mergeCell ref="R397:R398"/>
    <mergeCell ref="R399:R400"/>
    <mergeCell ref="R404:R405"/>
    <mergeCell ref="R406:R407"/>
    <mergeCell ref="R435:R436"/>
    <mergeCell ref="R437:R438"/>
    <mergeCell ref="R439:R440"/>
    <mergeCell ref="R441:R442"/>
    <mergeCell ref="R447:R448"/>
    <mergeCell ref="S4:S7"/>
    <mergeCell ref="S8:S9"/>
    <mergeCell ref="S10:S15"/>
    <mergeCell ref="S17:S18"/>
    <mergeCell ref="S21:S22"/>
    <mergeCell ref="S23:S25"/>
    <mergeCell ref="S26:S27"/>
    <mergeCell ref="S33:S34"/>
    <mergeCell ref="S35:S36"/>
    <mergeCell ref="S37:S40"/>
    <mergeCell ref="S41:S45"/>
    <mergeCell ref="S46:S52"/>
    <mergeCell ref="S54:S56"/>
    <mergeCell ref="S58:S59"/>
    <mergeCell ref="S61:S63"/>
    <mergeCell ref="S64:S69"/>
    <mergeCell ref="S70:S71"/>
    <mergeCell ref="S72:S76"/>
    <mergeCell ref="S77:S79"/>
    <mergeCell ref="S80:S81"/>
    <mergeCell ref="S82:S83"/>
    <mergeCell ref="S88:S93"/>
    <mergeCell ref="S94:S98"/>
    <mergeCell ref="S99:S100"/>
    <mergeCell ref="S102:S104"/>
    <mergeCell ref="S106:S107"/>
    <mergeCell ref="S108:S111"/>
    <mergeCell ref="S118:S119"/>
    <mergeCell ref="S120:S121"/>
    <mergeCell ref="S126:S127"/>
    <mergeCell ref="S130:S131"/>
    <mergeCell ref="S132:S133"/>
    <mergeCell ref="S134:S135"/>
    <mergeCell ref="S140:S141"/>
    <mergeCell ref="S143:S145"/>
    <mergeCell ref="S146:S147"/>
    <mergeCell ref="S148:S150"/>
    <mergeCell ref="S151:S152"/>
    <mergeCell ref="S157:S158"/>
    <mergeCell ref="S181:S182"/>
    <mergeCell ref="S186:S187"/>
    <mergeCell ref="S188:S189"/>
    <mergeCell ref="S190:S191"/>
    <mergeCell ref="S193:S194"/>
    <mergeCell ref="S201:S202"/>
    <mergeCell ref="S203:S204"/>
    <mergeCell ref="S205:S206"/>
    <mergeCell ref="S207:S208"/>
    <mergeCell ref="S210:S211"/>
    <mergeCell ref="S213:S214"/>
    <mergeCell ref="S220:S221"/>
    <mergeCell ref="S222:S223"/>
    <mergeCell ref="S224:S225"/>
    <mergeCell ref="S227:S234"/>
    <mergeCell ref="S238:S239"/>
    <mergeCell ref="S240:S241"/>
    <mergeCell ref="S242:S243"/>
    <mergeCell ref="S244:S245"/>
    <mergeCell ref="S246:S247"/>
    <mergeCell ref="S250:S251"/>
    <mergeCell ref="S252:S253"/>
    <mergeCell ref="S255:S257"/>
    <mergeCell ref="S258:S260"/>
    <mergeCell ref="S261:S262"/>
    <mergeCell ref="S271:S272"/>
    <mergeCell ref="S275:S276"/>
    <mergeCell ref="S277:S278"/>
    <mergeCell ref="S279:S280"/>
    <mergeCell ref="S281:S285"/>
    <mergeCell ref="S286:S290"/>
    <mergeCell ref="S291:S293"/>
    <mergeCell ref="S294:S295"/>
    <mergeCell ref="S297:S299"/>
    <mergeCell ref="S300:S302"/>
    <mergeCell ref="S303:S306"/>
    <mergeCell ref="S307:S310"/>
    <mergeCell ref="S315:S316"/>
    <mergeCell ref="S317:S318"/>
    <mergeCell ref="S319:S320"/>
    <mergeCell ref="S321:S322"/>
    <mergeCell ref="S330:S331"/>
    <mergeCell ref="S332:S333"/>
    <mergeCell ref="S338:S340"/>
    <mergeCell ref="S341:S343"/>
    <mergeCell ref="S344:S346"/>
    <mergeCell ref="S347:S349"/>
    <mergeCell ref="S353:S354"/>
    <mergeCell ref="S358:S361"/>
    <mergeCell ref="S363:S366"/>
    <mergeCell ref="S367:S368"/>
    <mergeCell ref="S369:S371"/>
    <mergeCell ref="S372:S374"/>
    <mergeCell ref="S377:S378"/>
    <mergeCell ref="S379:S380"/>
    <mergeCell ref="S381:S382"/>
    <mergeCell ref="S383:S384"/>
    <mergeCell ref="S393:S394"/>
    <mergeCell ref="S397:S398"/>
    <mergeCell ref="S399:S400"/>
    <mergeCell ref="S404:S405"/>
    <mergeCell ref="S406:S407"/>
    <mergeCell ref="S435:S436"/>
    <mergeCell ref="S437:S438"/>
    <mergeCell ref="S439:S440"/>
    <mergeCell ref="S441:S442"/>
    <mergeCell ref="S447:S448"/>
    <mergeCell ref="T4:T7"/>
    <mergeCell ref="T8:T9"/>
    <mergeCell ref="T10:T15"/>
    <mergeCell ref="T17:T18"/>
    <mergeCell ref="T21:T22"/>
    <mergeCell ref="T23:T25"/>
    <mergeCell ref="T26:T27"/>
    <mergeCell ref="T33:T34"/>
    <mergeCell ref="T35:T36"/>
    <mergeCell ref="T37:T40"/>
    <mergeCell ref="T41:T45"/>
    <mergeCell ref="T46:T52"/>
    <mergeCell ref="T54:T56"/>
    <mergeCell ref="T58:T59"/>
    <mergeCell ref="T61:T63"/>
    <mergeCell ref="T64:T69"/>
    <mergeCell ref="T70:T71"/>
    <mergeCell ref="T72:T76"/>
    <mergeCell ref="T77:T79"/>
    <mergeCell ref="T80:T81"/>
    <mergeCell ref="T82:T83"/>
    <mergeCell ref="T88:T93"/>
    <mergeCell ref="T94:T98"/>
    <mergeCell ref="T99:T100"/>
    <mergeCell ref="T102:T104"/>
    <mergeCell ref="T106:T107"/>
    <mergeCell ref="T108:T111"/>
    <mergeCell ref="T118:T119"/>
    <mergeCell ref="T120:T121"/>
    <mergeCell ref="T126:T127"/>
    <mergeCell ref="T130:T131"/>
    <mergeCell ref="T132:T133"/>
    <mergeCell ref="T134:T135"/>
    <mergeCell ref="T140:T141"/>
    <mergeCell ref="T143:T145"/>
    <mergeCell ref="T146:T147"/>
    <mergeCell ref="T148:T150"/>
    <mergeCell ref="T151:T152"/>
    <mergeCell ref="T157:T158"/>
    <mergeCell ref="T181:T182"/>
    <mergeCell ref="T186:T187"/>
    <mergeCell ref="T188:T189"/>
    <mergeCell ref="T190:T191"/>
    <mergeCell ref="T193:T194"/>
    <mergeCell ref="T201:T202"/>
    <mergeCell ref="T203:T204"/>
    <mergeCell ref="T205:T206"/>
    <mergeCell ref="T207:T208"/>
    <mergeCell ref="T210:T211"/>
    <mergeCell ref="T213:T214"/>
    <mergeCell ref="T220:T221"/>
    <mergeCell ref="T222:T223"/>
    <mergeCell ref="T224:T225"/>
    <mergeCell ref="T227:T234"/>
    <mergeCell ref="T238:T239"/>
    <mergeCell ref="T240:T241"/>
    <mergeCell ref="T242:T243"/>
    <mergeCell ref="T244:T245"/>
    <mergeCell ref="T246:T247"/>
    <mergeCell ref="T250:T251"/>
    <mergeCell ref="T252:T253"/>
    <mergeCell ref="T255:T257"/>
    <mergeCell ref="T258:T260"/>
    <mergeCell ref="T261:T262"/>
    <mergeCell ref="T271:T272"/>
    <mergeCell ref="T275:T276"/>
    <mergeCell ref="T277:T278"/>
    <mergeCell ref="T279:T280"/>
    <mergeCell ref="T281:T285"/>
    <mergeCell ref="T286:T290"/>
    <mergeCell ref="T291:T293"/>
    <mergeCell ref="T294:T295"/>
    <mergeCell ref="T297:T299"/>
    <mergeCell ref="T300:T302"/>
    <mergeCell ref="T303:T306"/>
    <mergeCell ref="T307:T310"/>
    <mergeCell ref="T315:T316"/>
    <mergeCell ref="T317:T318"/>
    <mergeCell ref="T319:T320"/>
    <mergeCell ref="T321:T322"/>
    <mergeCell ref="T330:T331"/>
    <mergeCell ref="T332:T333"/>
    <mergeCell ref="T338:T340"/>
    <mergeCell ref="T341:T343"/>
    <mergeCell ref="T344:T346"/>
    <mergeCell ref="T347:T349"/>
    <mergeCell ref="T353:T354"/>
    <mergeCell ref="T358:T361"/>
    <mergeCell ref="T363:T366"/>
    <mergeCell ref="T367:T368"/>
    <mergeCell ref="T369:T371"/>
    <mergeCell ref="T372:T374"/>
    <mergeCell ref="T377:T378"/>
    <mergeCell ref="T379:T380"/>
    <mergeCell ref="T381:T382"/>
    <mergeCell ref="T383:T384"/>
    <mergeCell ref="T393:T394"/>
    <mergeCell ref="T397:T398"/>
    <mergeCell ref="T399:T400"/>
    <mergeCell ref="T404:T405"/>
    <mergeCell ref="T406:T407"/>
    <mergeCell ref="T435:T436"/>
    <mergeCell ref="T437:T438"/>
    <mergeCell ref="T439:T440"/>
    <mergeCell ref="T441:T442"/>
    <mergeCell ref="T447:T448"/>
    <mergeCell ref="U4:U7"/>
    <mergeCell ref="U8:U9"/>
    <mergeCell ref="U10:U15"/>
    <mergeCell ref="U17:U18"/>
    <mergeCell ref="U21:U22"/>
    <mergeCell ref="U23:U25"/>
    <mergeCell ref="U26:U27"/>
    <mergeCell ref="U33:U34"/>
    <mergeCell ref="U35:U36"/>
    <mergeCell ref="U37:U40"/>
    <mergeCell ref="U41:U45"/>
    <mergeCell ref="U46:U52"/>
    <mergeCell ref="U54:U56"/>
    <mergeCell ref="U58:U59"/>
    <mergeCell ref="U61:U63"/>
    <mergeCell ref="U64:U69"/>
    <mergeCell ref="U70:U71"/>
    <mergeCell ref="U72:U76"/>
    <mergeCell ref="U77:U79"/>
    <mergeCell ref="U80:U81"/>
    <mergeCell ref="U82:U83"/>
    <mergeCell ref="U88:U93"/>
    <mergeCell ref="U94:U98"/>
    <mergeCell ref="U99:U100"/>
    <mergeCell ref="U102:U105"/>
    <mergeCell ref="U106:U107"/>
    <mergeCell ref="U108:U111"/>
    <mergeCell ref="U118:U119"/>
    <mergeCell ref="U120:U121"/>
    <mergeCell ref="U126:U127"/>
    <mergeCell ref="U130:U131"/>
    <mergeCell ref="U132:U133"/>
    <mergeCell ref="U134:U135"/>
    <mergeCell ref="U140:U141"/>
    <mergeCell ref="U143:U145"/>
    <mergeCell ref="U146:U147"/>
    <mergeCell ref="U148:U150"/>
    <mergeCell ref="U151:U152"/>
    <mergeCell ref="U157:U158"/>
    <mergeCell ref="U181:U182"/>
    <mergeCell ref="U186:U187"/>
    <mergeCell ref="U188:U189"/>
    <mergeCell ref="U190:U191"/>
    <mergeCell ref="U193:U194"/>
    <mergeCell ref="U201:U202"/>
    <mergeCell ref="U203:U204"/>
    <mergeCell ref="U205:U206"/>
    <mergeCell ref="U207:U208"/>
    <mergeCell ref="U210:U211"/>
    <mergeCell ref="U213:U214"/>
    <mergeCell ref="U220:U221"/>
    <mergeCell ref="U222:U223"/>
    <mergeCell ref="U224:U225"/>
    <mergeCell ref="U227:U234"/>
    <mergeCell ref="U238:U239"/>
    <mergeCell ref="U240:U241"/>
    <mergeCell ref="U242:U243"/>
    <mergeCell ref="U244:U245"/>
    <mergeCell ref="U246:U247"/>
    <mergeCell ref="U250:U251"/>
    <mergeCell ref="U252:U253"/>
    <mergeCell ref="U255:U257"/>
    <mergeCell ref="U258:U260"/>
    <mergeCell ref="U261:U262"/>
    <mergeCell ref="U271:U272"/>
    <mergeCell ref="U275:U276"/>
    <mergeCell ref="U277:U278"/>
    <mergeCell ref="U279:U280"/>
    <mergeCell ref="U281:U285"/>
    <mergeCell ref="U286:U290"/>
    <mergeCell ref="U291:U293"/>
    <mergeCell ref="U294:U295"/>
    <mergeCell ref="U297:U299"/>
    <mergeCell ref="U300:U302"/>
    <mergeCell ref="U303:U306"/>
    <mergeCell ref="U307:U310"/>
    <mergeCell ref="U315:U316"/>
    <mergeCell ref="U317:U318"/>
    <mergeCell ref="U319:U320"/>
    <mergeCell ref="U321:U322"/>
    <mergeCell ref="U330:U331"/>
    <mergeCell ref="U332:U333"/>
    <mergeCell ref="U338:U340"/>
    <mergeCell ref="U341:U343"/>
    <mergeCell ref="U344:U346"/>
    <mergeCell ref="U347:U349"/>
    <mergeCell ref="U353:U354"/>
    <mergeCell ref="U358:U361"/>
    <mergeCell ref="U363:U366"/>
    <mergeCell ref="U367:U368"/>
    <mergeCell ref="U369:U371"/>
    <mergeCell ref="U372:U374"/>
    <mergeCell ref="U377:U378"/>
    <mergeCell ref="U379:U380"/>
    <mergeCell ref="U381:U382"/>
    <mergeCell ref="U383:U384"/>
    <mergeCell ref="U393:U394"/>
    <mergeCell ref="U397:U398"/>
    <mergeCell ref="U399:U400"/>
    <mergeCell ref="U404:U405"/>
    <mergeCell ref="U406:U407"/>
    <mergeCell ref="U435:U436"/>
    <mergeCell ref="U437:U438"/>
    <mergeCell ref="U439:U440"/>
    <mergeCell ref="U441:U442"/>
    <mergeCell ref="U447:U448"/>
  </mergeCells>
  <conditionalFormatting sqref="Y3">
    <cfRule type="duplicateValues" dxfId="0" priority="1"/>
  </conditionalFormatting>
  <conditionalFormatting sqref="AA254">
    <cfRule type="duplicateValues" dxfId="0" priority="9"/>
  </conditionalFormatting>
  <conditionalFormatting sqref="AA408">
    <cfRule type="duplicateValues" dxfId="0" priority="4"/>
  </conditionalFormatting>
  <conditionalFormatting sqref="AA215:AA217">
    <cfRule type="duplicateValues" dxfId="0" priority="10"/>
  </conditionalFormatting>
  <conditionalFormatting sqref="AA411:AA412">
    <cfRule type="duplicateValues" dxfId="0" priority="5"/>
  </conditionalFormatting>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380"/>
  <sheetViews>
    <sheetView topLeftCell="L1" workbookViewId="0">
      <pane ySplit="3" topLeftCell="A27" activePane="bottomLeft" state="frozen"/>
      <selection/>
      <selection pane="bottomLeft" activeCell="V32" sqref="V32"/>
    </sheetView>
  </sheetViews>
  <sheetFormatPr defaultColWidth="9" defaultRowHeight="33" customHeight="1"/>
  <cols>
    <col min="1" max="1" width="6.25" style="46" customWidth="1"/>
    <col min="2" max="2" width="15.125" style="47" customWidth="1"/>
    <col min="3" max="3" width="22.125" style="47" customWidth="1"/>
    <col min="4" max="4" width="5.375" style="47" customWidth="1"/>
    <col min="5" max="5" width="18.7416666666667" style="48" customWidth="1"/>
    <col min="6" max="6" width="29.25" style="48" customWidth="1"/>
    <col min="7" max="7" width="4.625" style="47" customWidth="1"/>
    <col min="8" max="8" width="22.375" style="48" customWidth="1"/>
    <col min="9" max="10" width="7.375" style="46" customWidth="1"/>
    <col min="11" max="16" width="8" style="46" customWidth="1"/>
    <col min="17" max="17" width="5.125" style="46" hidden="1" customWidth="1"/>
    <col min="18" max="18" width="8.5" style="46" hidden="1" customWidth="1"/>
    <col min="19" max="19" width="8.5" style="49" hidden="1" customWidth="1"/>
    <col min="20" max="20" width="8.5" style="49" customWidth="1"/>
    <col min="21" max="21" width="21" style="50" customWidth="1"/>
    <col min="22" max="22" width="17.375" style="46" customWidth="1"/>
    <col min="23" max="23" width="12.375" style="46" customWidth="1"/>
    <col min="24" max="24" width="25.625" style="44" customWidth="1"/>
    <col min="25" max="25" width="28.25" style="44" hidden="1" customWidth="1"/>
    <col min="26" max="26" width="19.625" style="44" hidden="1" customWidth="1"/>
    <col min="27" max="27" width="5.25" style="44" customWidth="1"/>
    <col min="28" max="28" width="20.875" style="44" hidden="1" customWidth="1"/>
    <col min="29" max="31" width="8.125" style="51" customWidth="1"/>
    <col min="32" max="33" width="15.875" style="44"/>
    <col min="34" max="35" width="13.125" style="44"/>
    <col min="36" max="50" width="9" style="44"/>
    <col min="51" max="16370" width="9" style="44" hidden="1" customWidth="1"/>
    <col min="16371" max="16383" width="9" style="44"/>
  </cols>
  <sheetData>
    <row r="1" ht="73" customHeight="1" spans="1:31">
      <c r="A1" s="52" t="s">
        <v>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row>
    <row r="2" s="42" customFormat="1" ht="41" customHeight="1" spans="1:51">
      <c r="A2" s="53" t="s">
        <v>1</v>
      </c>
      <c r="B2" s="53"/>
      <c r="C2" s="53"/>
      <c r="D2" s="53"/>
      <c r="E2" s="53"/>
      <c r="F2" s="53"/>
      <c r="G2" s="53"/>
      <c r="H2" s="53"/>
      <c r="I2" s="53"/>
      <c r="J2" s="53"/>
      <c r="K2" s="53"/>
      <c r="L2" s="53"/>
      <c r="M2" s="53"/>
      <c r="N2" s="53"/>
      <c r="O2" s="53"/>
      <c r="P2" s="53"/>
      <c r="Q2" s="53"/>
      <c r="R2" s="53"/>
      <c r="S2" s="53"/>
      <c r="T2" s="53"/>
      <c r="U2" s="53"/>
      <c r="V2" s="75" t="s">
        <v>2</v>
      </c>
      <c r="W2" s="75"/>
      <c r="X2" s="75"/>
      <c r="Y2" s="75"/>
      <c r="Z2" s="75"/>
      <c r="AA2" s="75"/>
      <c r="AB2" s="75"/>
      <c r="AC2" s="75"/>
      <c r="AD2" s="75"/>
      <c r="AE2" s="75"/>
      <c r="AF2" s="86"/>
      <c r="AG2" s="86"/>
      <c r="AY2" s="86"/>
    </row>
    <row r="3" s="43" customFormat="1" ht="41" customHeight="1" spans="1:51">
      <c r="A3" s="54" t="s">
        <v>3</v>
      </c>
      <c r="B3" s="54" t="s">
        <v>4</v>
      </c>
      <c r="C3" s="54" t="s">
        <v>5</v>
      </c>
      <c r="D3" s="54" t="s">
        <v>6</v>
      </c>
      <c r="E3" s="54" t="s">
        <v>7</v>
      </c>
      <c r="F3" s="54" t="s">
        <v>8</v>
      </c>
      <c r="G3" s="54" t="s">
        <v>9</v>
      </c>
      <c r="H3" s="54" t="s">
        <v>10</v>
      </c>
      <c r="I3" s="61" t="s">
        <v>11</v>
      </c>
      <c r="J3" s="61" t="s">
        <v>12</v>
      </c>
      <c r="K3" s="62" t="s">
        <v>13</v>
      </c>
      <c r="L3" s="62" t="s">
        <v>14</v>
      </c>
      <c r="M3" s="62" t="s">
        <v>15</v>
      </c>
      <c r="N3" s="65" t="s">
        <v>16</v>
      </c>
      <c r="O3" s="65" t="s">
        <v>17</v>
      </c>
      <c r="P3" s="65" t="s">
        <v>18</v>
      </c>
      <c r="Q3" s="72" t="s">
        <v>19</v>
      </c>
      <c r="R3" s="72" t="s">
        <v>20</v>
      </c>
      <c r="S3" s="73" t="s">
        <v>21</v>
      </c>
      <c r="T3" s="62" t="s">
        <v>22</v>
      </c>
      <c r="U3" s="72" t="s">
        <v>23</v>
      </c>
      <c r="V3" s="14" t="s">
        <v>24</v>
      </c>
      <c r="W3" s="14" t="s">
        <v>25</v>
      </c>
      <c r="X3" s="15" t="s">
        <v>5</v>
      </c>
      <c r="Y3" s="14" t="s">
        <v>26</v>
      </c>
      <c r="Z3" s="14" t="s">
        <v>27</v>
      </c>
      <c r="AA3" s="14" t="s">
        <v>9</v>
      </c>
      <c r="AB3" s="14" t="s">
        <v>28</v>
      </c>
      <c r="AC3" s="24" t="s">
        <v>29</v>
      </c>
      <c r="AD3" s="24" t="s">
        <v>30</v>
      </c>
      <c r="AE3" s="24" t="s">
        <v>31</v>
      </c>
      <c r="AF3" s="87" t="s">
        <v>32</v>
      </c>
      <c r="AG3" s="90"/>
      <c r="AY3" s="43" t="s">
        <v>33</v>
      </c>
    </row>
    <row r="4" s="44" customFormat="1" ht="24" customHeight="1" spans="1:36">
      <c r="A4" s="55">
        <v>1</v>
      </c>
      <c r="B4" s="55" t="s">
        <v>34</v>
      </c>
      <c r="C4" s="56" t="s">
        <v>35</v>
      </c>
      <c r="D4" s="55" t="s">
        <v>36</v>
      </c>
      <c r="E4" s="59" t="s">
        <v>37</v>
      </c>
      <c r="F4" s="59" t="s">
        <v>38</v>
      </c>
      <c r="G4" s="55" t="s">
        <v>39</v>
      </c>
      <c r="H4" s="59" t="s">
        <v>40</v>
      </c>
      <c r="I4" s="30">
        <v>10</v>
      </c>
      <c r="J4" s="30">
        <v>10</v>
      </c>
      <c r="K4" s="63">
        <v>9.19297333107713</v>
      </c>
      <c r="L4" s="63">
        <v>8.76258197508921</v>
      </c>
      <c r="M4" s="63">
        <v>7.46031790825772</v>
      </c>
      <c r="N4" s="66">
        <v>9.5</v>
      </c>
      <c r="O4" s="66">
        <v>9</v>
      </c>
      <c r="P4" s="66">
        <v>8</v>
      </c>
      <c r="Q4" s="55" t="s">
        <v>41</v>
      </c>
      <c r="R4" s="55" t="s">
        <v>40</v>
      </c>
      <c r="S4" s="74" t="s">
        <v>40</v>
      </c>
      <c r="T4" s="63" t="s">
        <v>42</v>
      </c>
      <c r="U4" s="59" t="s">
        <v>43</v>
      </c>
      <c r="V4" s="76" t="s">
        <v>44</v>
      </c>
      <c r="W4" s="76">
        <v>310701022</v>
      </c>
      <c r="X4" s="77" t="s">
        <v>45</v>
      </c>
      <c r="Y4" s="77" t="s">
        <v>46</v>
      </c>
      <c r="Z4" s="77"/>
      <c r="AA4" s="77" t="s">
        <v>39</v>
      </c>
      <c r="AB4" s="77" t="s">
        <v>40</v>
      </c>
      <c r="AC4" s="88">
        <v>4.5</v>
      </c>
      <c r="AD4" s="88">
        <v>4.1</v>
      </c>
      <c r="AE4" s="88">
        <v>3.4</v>
      </c>
      <c r="AF4" s="44">
        <f>IFERROR(FIND("-儿童（加收）",C4,1),0)</f>
        <v>0</v>
      </c>
      <c r="AG4" s="44" t="str">
        <f>SUBSTITUTE(C4,"-儿童（加收）","")</f>
        <v>心电监测费</v>
      </c>
      <c r="AH4" s="44">
        <f>IF(AF4&gt;0,_xlfn.MAXIFS(N:N,C:C,SUBSTITUTE(C4,"-儿童（加收）","")),0)+N4</f>
        <v>9.5</v>
      </c>
      <c r="AI4" s="44">
        <f>IF(AF4&gt;0,_xlfn.MAXIFS(O:O,C:C,SUBSTITUTE(C4,"-儿童（加收）","")),0)+O4</f>
        <v>9</v>
      </c>
      <c r="AJ4" s="44">
        <f>IF(AF4&gt;0,_xlfn.MAXIFS(P:P,C:C,SUBSTITUTE(C4,"-儿童（加收）","")),0)+P4</f>
        <v>8</v>
      </c>
    </row>
    <row r="5" s="44" customFormat="1" ht="24" customHeight="1" spans="1:36">
      <c r="A5" s="55"/>
      <c r="B5" s="55"/>
      <c r="C5" s="56" t="s">
        <v>35</v>
      </c>
      <c r="D5" s="55"/>
      <c r="E5" s="59"/>
      <c r="F5" s="59"/>
      <c r="G5" s="55"/>
      <c r="H5" s="59"/>
      <c r="I5" s="37"/>
      <c r="J5" s="37"/>
      <c r="K5" s="63"/>
      <c r="L5" s="63"/>
      <c r="M5" s="63"/>
      <c r="N5" s="66">
        <v>9.5</v>
      </c>
      <c r="O5" s="66">
        <v>9</v>
      </c>
      <c r="P5" s="66">
        <v>8</v>
      </c>
      <c r="Q5" s="55"/>
      <c r="R5" s="55"/>
      <c r="S5" s="74"/>
      <c r="T5" s="63"/>
      <c r="U5" s="59"/>
      <c r="V5" s="76" t="s">
        <v>47</v>
      </c>
      <c r="W5" s="76">
        <v>310701027</v>
      </c>
      <c r="X5" s="77" t="s">
        <v>48</v>
      </c>
      <c r="Y5" s="77"/>
      <c r="Z5" s="77"/>
      <c r="AA5" s="77" t="s">
        <v>39</v>
      </c>
      <c r="AB5" s="77" t="s">
        <v>40</v>
      </c>
      <c r="AC5" s="88">
        <v>4.5</v>
      </c>
      <c r="AD5" s="88">
        <v>4.1</v>
      </c>
      <c r="AE5" s="88">
        <v>3.4</v>
      </c>
      <c r="AF5" s="44">
        <f t="shared" ref="AF5:AF68" si="0">IFERROR(FIND("-儿童（加收）",C5,1),0)</f>
        <v>0</v>
      </c>
      <c r="AG5" s="44" t="str">
        <f t="shared" ref="AG5:AG68" si="1">SUBSTITUTE(C5,"-儿童（加收）","")</f>
        <v>心电监测费</v>
      </c>
      <c r="AH5" s="44">
        <f t="shared" ref="AH5:AH68" si="2">IF(AF5&gt;0,_xlfn.MAXIFS(N:N,C:C,SUBSTITUTE(C5,"-儿童（加收）","")),0)+N5</f>
        <v>9.5</v>
      </c>
      <c r="AI5" s="44">
        <f t="shared" ref="AI5:AI68" si="3">IF(AF5&gt;0,_xlfn.MAXIFS(O:O,C:C,SUBSTITUTE(C5,"-儿童（加收）","")),0)+O5</f>
        <v>9</v>
      </c>
      <c r="AJ5" s="44">
        <f t="shared" ref="AJ5:AJ68" si="4">IF(AF5&gt;0,_xlfn.MAXIFS(P:P,C:C,SUBSTITUTE(C5,"-儿童（加收）","")),0)+P5</f>
        <v>8</v>
      </c>
    </row>
    <row r="6" s="44" customFormat="1" ht="24" customHeight="1" spans="1:36">
      <c r="A6" s="55"/>
      <c r="B6" s="55"/>
      <c r="C6" s="56" t="s">
        <v>35</v>
      </c>
      <c r="D6" s="55"/>
      <c r="E6" s="59"/>
      <c r="F6" s="59"/>
      <c r="G6" s="55"/>
      <c r="H6" s="59"/>
      <c r="I6" s="37"/>
      <c r="J6" s="37"/>
      <c r="K6" s="63"/>
      <c r="L6" s="63"/>
      <c r="M6" s="63"/>
      <c r="N6" s="66">
        <v>9.5</v>
      </c>
      <c r="O6" s="66">
        <v>9</v>
      </c>
      <c r="P6" s="66">
        <v>8</v>
      </c>
      <c r="Q6" s="55"/>
      <c r="R6" s="55"/>
      <c r="S6" s="74"/>
      <c r="T6" s="63"/>
      <c r="U6" s="59"/>
      <c r="V6" s="76" t="s">
        <v>49</v>
      </c>
      <c r="W6" s="76">
        <v>310701028</v>
      </c>
      <c r="X6" s="77" t="s">
        <v>50</v>
      </c>
      <c r="Y6" s="77"/>
      <c r="Z6" s="77"/>
      <c r="AA6" s="77" t="s">
        <v>39</v>
      </c>
      <c r="AB6" s="77" t="s">
        <v>40</v>
      </c>
      <c r="AC6" s="88">
        <v>4.5</v>
      </c>
      <c r="AD6" s="88">
        <v>4.1</v>
      </c>
      <c r="AE6" s="88">
        <v>3.4</v>
      </c>
      <c r="AF6" s="44">
        <f t="shared" si="0"/>
        <v>0</v>
      </c>
      <c r="AG6" s="44" t="str">
        <f t="shared" si="1"/>
        <v>心电监测费</v>
      </c>
      <c r="AH6" s="44">
        <f t="shared" si="2"/>
        <v>9.5</v>
      </c>
      <c r="AI6" s="44">
        <f t="shared" si="3"/>
        <v>9</v>
      </c>
      <c r="AJ6" s="44">
        <f t="shared" si="4"/>
        <v>8</v>
      </c>
    </row>
    <row r="7" s="44" customFormat="1" ht="24" customHeight="1" spans="1:36">
      <c r="A7" s="55"/>
      <c r="B7" s="55"/>
      <c r="C7" s="56" t="s">
        <v>35</v>
      </c>
      <c r="D7" s="55"/>
      <c r="E7" s="59"/>
      <c r="F7" s="59"/>
      <c r="G7" s="55"/>
      <c r="H7" s="59"/>
      <c r="I7" s="37"/>
      <c r="J7" s="37"/>
      <c r="K7" s="63"/>
      <c r="L7" s="63"/>
      <c r="M7" s="63"/>
      <c r="N7" s="66">
        <v>9.5</v>
      </c>
      <c r="O7" s="66">
        <v>9</v>
      </c>
      <c r="P7" s="66">
        <v>8</v>
      </c>
      <c r="Q7" s="55"/>
      <c r="R7" s="55"/>
      <c r="S7" s="74"/>
      <c r="T7" s="63"/>
      <c r="U7" s="59"/>
      <c r="V7" s="76" t="s">
        <v>51</v>
      </c>
      <c r="W7" s="76">
        <v>310701033</v>
      </c>
      <c r="X7" s="77" t="s">
        <v>52</v>
      </c>
      <c r="Y7" s="77" t="s">
        <v>53</v>
      </c>
      <c r="Z7" s="77"/>
      <c r="AA7" s="77" t="s">
        <v>54</v>
      </c>
      <c r="AB7" s="77" t="s">
        <v>40</v>
      </c>
      <c r="AC7" s="88">
        <v>70</v>
      </c>
      <c r="AD7" s="88">
        <v>70</v>
      </c>
      <c r="AE7" s="88">
        <v>59.5</v>
      </c>
      <c r="AF7" s="44">
        <f t="shared" si="0"/>
        <v>0</v>
      </c>
      <c r="AG7" s="44" t="str">
        <f t="shared" si="1"/>
        <v>心电监测费</v>
      </c>
      <c r="AH7" s="44">
        <f t="shared" si="2"/>
        <v>9.5</v>
      </c>
      <c r="AI7" s="44">
        <f t="shared" si="3"/>
        <v>9</v>
      </c>
      <c r="AJ7" s="44">
        <f t="shared" si="4"/>
        <v>8</v>
      </c>
    </row>
    <row r="8" s="44" customFormat="1" ht="27" customHeight="1" spans="1:36">
      <c r="A8" s="55" t="s">
        <v>55</v>
      </c>
      <c r="B8" s="55" t="s">
        <v>56</v>
      </c>
      <c r="C8" s="56" t="s">
        <v>57</v>
      </c>
      <c r="D8" s="55" t="s">
        <v>36</v>
      </c>
      <c r="E8" s="59" t="s">
        <v>40</v>
      </c>
      <c r="F8" s="59" t="s">
        <v>40</v>
      </c>
      <c r="G8" s="55" t="s">
        <v>39</v>
      </c>
      <c r="H8" s="59" t="s">
        <v>58</v>
      </c>
      <c r="I8" s="30">
        <v>10</v>
      </c>
      <c r="J8" s="30">
        <v>10</v>
      </c>
      <c r="K8" s="63">
        <v>8.82631578947368</v>
      </c>
      <c r="L8" s="63">
        <v>8.84615384615385</v>
      </c>
      <c r="M8" s="63">
        <v>6.95625</v>
      </c>
      <c r="N8" s="66">
        <v>9.5</v>
      </c>
      <c r="O8" s="66">
        <v>9</v>
      </c>
      <c r="P8" s="66">
        <v>8</v>
      </c>
      <c r="Q8" s="55" t="s">
        <v>41</v>
      </c>
      <c r="R8" s="55" t="s">
        <v>40</v>
      </c>
      <c r="S8" s="74" t="s">
        <v>40</v>
      </c>
      <c r="T8" s="63"/>
      <c r="U8" s="59" t="s">
        <v>59</v>
      </c>
      <c r="V8" s="76" t="s">
        <v>60</v>
      </c>
      <c r="W8" s="76">
        <v>310701009</v>
      </c>
      <c r="X8" s="77" t="s">
        <v>61</v>
      </c>
      <c r="Y8" s="77" t="s">
        <v>62</v>
      </c>
      <c r="Z8" s="77"/>
      <c r="AA8" s="77" t="s">
        <v>63</v>
      </c>
      <c r="AB8" s="77" t="s">
        <v>40</v>
      </c>
      <c r="AC8" s="88">
        <v>57.5</v>
      </c>
      <c r="AD8" s="88">
        <v>50</v>
      </c>
      <c r="AE8" s="88">
        <v>42.5</v>
      </c>
      <c r="AF8" s="44">
        <f t="shared" si="0"/>
        <v>0</v>
      </c>
      <c r="AG8" s="44" t="str">
        <f t="shared" si="1"/>
        <v>心电监测费-遥测心电监测（扩展）</v>
      </c>
      <c r="AH8" s="44">
        <f t="shared" si="2"/>
        <v>9.5</v>
      </c>
      <c r="AI8" s="44">
        <f t="shared" si="3"/>
        <v>9</v>
      </c>
      <c r="AJ8" s="44">
        <f t="shared" si="4"/>
        <v>8</v>
      </c>
    </row>
    <row r="9" s="44" customFormat="1" ht="27" customHeight="1" spans="1:36">
      <c r="A9" s="55"/>
      <c r="B9" s="55"/>
      <c r="C9" s="56" t="s">
        <v>57</v>
      </c>
      <c r="D9" s="55"/>
      <c r="E9" s="59"/>
      <c r="F9" s="59"/>
      <c r="G9" s="55"/>
      <c r="H9" s="59"/>
      <c r="I9" s="37"/>
      <c r="J9" s="37"/>
      <c r="K9" s="63"/>
      <c r="L9" s="63"/>
      <c r="M9" s="63"/>
      <c r="N9" s="66">
        <v>9.5</v>
      </c>
      <c r="O9" s="66">
        <v>9</v>
      </c>
      <c r="P9" s="66">
        <v>8</v>
      </c>
      <c r="Q9" s="55"/>
      <c r="R9" s="55"/>
      <c r="S9" s="74"/>
      <c r="T9" s="63"/>
      <c r="U9" s="59"/>
      <c r="V9" s="76" t="s">
        <v>64</v>
      </c>
      <c r="W9" s="76">
        <v>310701008</v>
      </c>
      <c r="X9" s="77" t="s">
        <v>65</v>
      </c>
      <c r="Y9" s="77"/>
      <c r="Z9" s="77"/>
      <c r="AA9" s="77" t="s">
        <v>39</v>
      </c>
      <c r="AB9" s="77" t="s">
        <v>40</v>
      </c>
      <c r="AC9" s="88">
        <v>5.8</v>
      </c>
      <c r="AD9" s="88">
        <v>5</v>
      </c>
      <c r="AE9" s="88">
        <v>4.3</v>
      </c>
      <c r="AF9" s="44">
        <f t="shared" si="0"/>
        <v>0</v>
      </c>
      <c r="AG9" s="44" t="str">
        <f t="shared" si="1"/>
        <v>心电监测费-遥测心电监测（扩展）</v>
      </c>
      <c r="AH9" s="44">
        <f t="shared" si="2"/>
        <v>9.5</v>
      </c>
      <c r="AI9" s="44">
        <f t="shared" si="3"/>
        <v>9</v>
      </c>
      <c r="AJ9" s="44">
        <f t="shared" si="4"/>
        <v>8</v>
      </c>
    </row>
    <row r="10" s="44" customFormat="1" ht="29" customHeight="1" spans="1:36">
      <c r="A10" s="55">
        <v>2</v>
      </c>
      <c r="B10" s="55" t="s">
        <v>66</v>
      </c>
      <c r="C10" s="56" t="s">
        <v>67</v>
      </c>
      <c r="D10" s="55" t="s">
        <v>36</v>
      </c>
      <c r="E10" s="59" t="s">
        <v>68</v>
      </c>
      <c r="F10" s="59" t="s">
        <v>69</v>
      </c>
      <c r="G10" s="55" t="s">
        <v>54</v>
      </c>
      <c r="H10" s="59" t="s">
        <v>70</v>
      </c>
      <c r="I10" s="30">
        <v>29</v>
      </c>
      <c r="J10" s="30">
        <v>26</v>
      </c>
      <c r="K10" s="63">
        <v>26.9635017145183</v>
      </c>
      <c r="L10" s="63">
        <v>25.2527666329534</v>
      </c>
      <c r="M10" s="63">
        <v>21.527537370955</v>
      </c>
      <c r="N10" s="67">
        <v>27</v>
      </c>
      <c r="O10" s="67">
        <v>25</v>
      </c>
      <c r="P10" s="67">
        <v>23</v>
      </c>
      <c r="Q10" s="55" t="s">
        <v>41</v>
      </c>
      <c r="R10" s="55" t="s">
        <v>40</v>
      </c>
      <c r="S10" s="74" t="s">
        <v>40</v>
      </c>
      <c r="T10" s="63" t="s">
        <v>42</v>
      </c>
      <c r="U10" s="59" t="s">
        <v>71</v>
      </c>
      <c r="V10" s="76" t="s">
        <v>72</v>
      </c>
      <c r="W10" s="76">
        <v>310701001</v>
      </c>
      <c r="X10" s="77" t="s">
        <v>73</v>
      </c>
      <c r="Y10" s="77" t="s">
        <v>74</v>
      </c>
      <c r="Z10" s="77"/>
      <c r="AA10" s="77" t="s">
        <v>54</v>
      </c>
      <c r="AB10" s="77" t="s">
        <v>75</v>
      </c>
      <c r="AC10" s="88">
        <v>11.5</v>
      </c>
      <c r="AD10" s="88">
        <v>10</v>
      </c>
      <c r="AE10" s="88">
        <v>8.5</v>
      </c>
      <c r="AF10" s="44">
        <f t="shared" si="0"/>
        <v>0</v>
      </c>
      <c r="AG10" s="44" t="str">
        <f t="shared" si="1"/>
        <v>常规心电图检查费</v>
      </c>
      <c r="AH10" s="44">
        <f t="shared" si="2"/>
        <v>27</v>
      </c>
      <c r="AI10" s="44">
        <f t="shared" si="3"/>
        <v>25</v>
      </c>
      <c r="AJ10" s="44">
        <f t="shared" si="4"/>
        <v>23</v>
      </c>
    </row>
    <row r="11" s="44" customFormat="1" ht="29" customHeight="1" spans="1:36">
      <c r="A11" s="55"/>
      <c r="B11" s="55"/>
      <c r="C11" s="56" t="s">
        <v>67</v>
      </c>
      <c r="D11" s="55"/>
      <c r="E11" s="59"/>
      <c r="F11" s="59"/>
      <c r="G11" s="55"/>
      <c r="H11" s="59"/>
      <c r="I11" s="30"/>
      <c r="J11" s="30"/>
      <c r="K11" s="63"/>
      <c r="L11" s="63"/>
      <c r="M11" s="63"/>
      <c r="N11" s="67">
        <v>27</v>
      </c>
      <c r="O11" s="67">
        <v>25</v>
      </c>
      <c r="P11" s="67">
        <v>23</v>
      </c>
      <c r="Q11" s="55"/>
      <c r="R11" s="55"/>
      <c r="S11" s="74"/>
      <c r="T11" s="63"/>
      <c r="U11" s="59"/>
      <c r="V11" s="76" t="s">
        <v>76</v>
      </c>
      <c r="W11" s="76">
        <v>31070100102</v>
      </c>
      <c r="X11" s="77" t="s">
        <v>77</v>
      </c>
      <c r="Y11" s="77"/>
      <c r="Z11" s="77"/>
      <c r="AA11" s="77" t="s">
        <v>54</v>
      </c>
      <c r="AB11" s="77" t="s">
        <v>78</v>
      </c>
      <c r="AC11" s="88">
        <v>11.5</v>
      </c>
      <c r="AD11" s="88">
        <v>10</v>
      </c>
      <c r="AE11" s="88">
        <v>8.5</v>
      </c>
      <c r="AF11" s="44">
        <f t="shared" si="0"/>
        <v>0</v>
      </c>
      <c r="AG11" s="44" t="str">
        <f t="shared" si="1"/>
        <v>常规心电图检查费</v>
      </c>
      <c r="AH11" s="44">
        <f t="shared" si="2"/>
        <v>27</v>
      </c>
      <c r="AI11" s="44">
        <f t="shared" si="3"/>
        <v>25</v>
      </c>
      <c r="AJ11" s="44">
        <f t="shared" si="4"/>
        <v>23</v>
      </c>
    </row>
    <row r="12" s="44" customFormat="1" ht="29" customHeight="1" spans="1:36">
      <c r="A12" s="55"/>
      <c r="B12" s="55"/>
      <c r="C12" s="56" t="s">
        <v>67</v>
      </c>
      <c r="D12" s="55"/>
      <c r="E12" s="59"/>
      <c r="F12" s="59"/>
      <c r="G12" s="55"/>
      <c r="H12" s="59"/>
      <c r="I12" s="37"/>
      <c r="J12" s="37"/>
      <c r="K12" s="63"/>
      <c r="L12" s="63"/>
      <c r="M12" s="63"/>
      <c r="N12" s="67">
        <v>27</v>
      </c>
      <c r="O12" s="67">
        <v>25</v>
      </c>
      <c r="P12" s="67">
        <v>23</v>
      </c>
      <c r="Q12" s="55"/>
      <c r="R12" s="55"/>
      <c r="S12" s="74"/>
      <c r="T12" s="63"/>
      <c r="U12" s="59"/>
      <c r="V12" s="76" t="s">
        <v>79</v>
      </c>
      <c r="W12" s="76">
        <v>31070100103</v>
      </c>
      <c r="X12" s="77" t="s">
        <v>80</v>
      </c>
      <c r="Y12" s="77"/>
      <c r="Z12" s="77"/>
      <c r="AA12" s="77" t="s">
        <v>54</v>
      </c>
      <c r="AB12" s="77" t="s">
        <v>81</v>
      </c>
      <c r="AC12" s="88">
        <v>23</v>
      </c>
      <c r="AD12" s="88">
        <v>20</v>
      </c>
      <c r="AE12" s="88">
        <v>17</v>
      </c>
      <c r="AF12" s="44">
        <f t="shared" si="0"/>
        <v>0</v>
      </c>
      <c r="AG12" s="44" t="str">
        <f t="shared" si="1"/>
        <v>常规心电图检查费</v>
      </c>
      <c r="AH12" s="44">
        <f t="shared" si="2"/>
        <v>27</v>
      </c>
      <c r="AI12" s="44">
        <f t="shared" si="3"/>
        <v>25</v>
      </c>
      <c r="AJ12" s="44">
        <f t="shared" si="4"/>
        <v>23</v>
      </c>
    </row>
    <row r="13" s="44" customFormat="1" ht="29" customHeight="1" spans="1:36">
      <c r="A13" s="55"/>
      <c r="B13" s="55"/>
      <c r="C13" s="56" t="s">
        <v>67</v>
      </c>
      <c r="D13" s="55"/>
      <c r="E13" s="59"/>
      <c r="F13" s="59"/>
      <c r="G13" s="55"/>
      <c r="H13" s="59"/>
      <c r="I13" s="37"/>
      <c r="J13" s="37"/>
      <c r="K13" s="63"/>
      <c r="L13" s="63"/>
      <c r="M13" s="63"/>
      <c r="N13" s="67">
        <v>27</v>
      </c>
      <c r="O13" s="67">
        <v>25</v>
      </c>
      <c r="P13" s="67">
        <v>23</v>
      </c>
      <c r="Q13" s="55"/>
      <c r="R13" s="55"/>
      <c r="S13" s="74"/>
      <c r="T13" s="63"/>
      <c r="U13" s="59"/>
      <c r="V13" s="76" t="s">
        <v>82</v>
      </c>
      <c r="W13" s="76">
        <v>310701005</v>
      </c>
      <c r="X13" s="77" t="s">
        <v>83</v>
      </c>
      <c r="Y13" s="77" t="s">
        <v>84</v>
      </c>
      <c r="Z13" s="77"/>
      <c r="AA13" s="77" t="s">
        <v>54</v>
      </c>
      <c r="AB13" s="77" t="s">
        <v>40</v>
      </c>
      <c r="AC13" s="88"/>
      <c r="AD13" s="88"/>
      <c r="AE13" s="88"/>
      <c r="AF13" s="44">
        <f t="shared" si="0"/>
        <v>0</v>
      </c>
      <c r="AG13" s="44" t="str">
        <f t="shared" si="1"/>
        <v>常规心电图检查费</v>
      </c>
      <c r="AH13" s="44">
        <f t="shared" si="2"/>
        <v>27</v>
      </c>
      <c r="AI13" s="44">
        <f t="shared" si="3"/>
        <v>25</v>
      </c>
      <c r="AJ13" s="44">
        <f t="shared" si="4"/>
        <v>23</v>
      </c>
    </row>
    <row r="14" s="44" customFormat="1" ht="29" customHeight="1" spans="1:36">
      <c r="A14" s="55"/>
      <c r="B14" s="55"/>
      <c r="C14" s="56" t="s">
        <v>67</v>
      </c>
      <c r="D14" s="55"/>
      <c r="E14" s="59"/>
      <c r="F14" s="59"/>
      <c r="G14" s="55"/>
      <c r="H14" s="59"/>
      <c r="I14" s="37"/>
      <c r="J14" s="37"/>
      <c r="K14" s="63"/>
      <c r="L14" s="63"/>
      <c r="M14" s="63"/>
      <c r="N14" s="67">
        <v>27</v>
      </c>
      <c r="O14" s="67">
        <v>25</v>
      </c>
      <c r="P14" s="67">
        <v>23</v>
      </c>
      <c r="Q14" s="55"/>
      <c r="R14" s="55"/>
      <c r="S14" s="74"/>
      <c r="T14" s="63"/>
      <c r="U14" s="59"/>
      <c r="V14" s="76" t="s">
        <v>85</v>
      </c>
      <c r="W14" s="76">
        <v>310701006</v>
      </c>
      <c r="X14" s="77" t="s">
        <v>86</v>
      </c>
      <c r="Y14" s="77"/>
      <c r="Z14" s="77"/>
      <c r="AA14" s="77" t="s">
        <v>54</v>
      </c>
      <c r="AB14" s="77" t="s">
        <v>40</v>
      </c>
      <c r="AC14" s="88"/>
      <c r="AD14" s="88"/>
      <c r="AE14" s="88"/>
      <c r="AF14" s="44">
        <f t="shared" si="0"/>
        <v>0</v>
      </c>
      <c r="AG14" s="44" t="str">
        <f t="shared" si="1"/>
        <v>常规心电图检查费</v>
      </c>
      <c r="AH14" s="44">
        <f t="shared" si="2"/>
        <v>27</v>
      </c>
      <c r="AI14" s="44">
        <f t="shared" si="3"/>
        <v>25</v>
      </c>
      <c r="AJ14" s="44">
        <f t="shared" si="4"/>
        <v>23</v>
      </c>
    </row>
    <row r="15" s="44" customFormat="1" ht="29" customHeight="1" spans="1:36">
      <c r="A15" s="55"/>
      <c r="B15" s="55"/>
      <c r="C15" s="56" t="s">
        <v>67</v>
      </c>
      <c r="D15" s="55"/>
      <c r="E15" s="59"/>
      <c r="F15" s="59"/>
      <c r="G15" s="55"/>
      <c r="H15" s="59"/>
      <c r="I15" s="37"/>
      <c r="J15" s="37"/>
      <c r="K15" s="63"/>
      <c r="L15" s="63"/>
      <c r="M15" s="63"/>
      <c r="N15" s="67">
        <v>27</v>
      </c>
      <c r="O15" s="67">
        <v>25</v>
      </c>
      <c r="P15" s="67">
        <v>23</v>
      </c>
      <c r="Q15" s="55"/>
      <c r="R15" s="55"/>
      <c r="S15" s="74"/>
      <c r="T15" s="63"/>
      <c r="U15" s="59"/>
      <c r="V15" s="78" t="s">
        <v>87</v>
      </c>
      <c r="W15" s="78">
        <v>310701002</v>
      </c>
      <c r="X15" s="79" t="s">
        <v>88</v>
      </c>
      <c r="Y15" s="79"/>
      <c r="Z15" s="79" t="s">
        <v>89</v>
      </c>
      <c r="AA15" s="79" t="s">
        <v>54</v>
      </c>
      <c r="AB15" s="79" t="s">
        <v>40</v>
      </c>
      <c r="AC15" s="89">
        <v>57.5</v>
      </c>
      <c r="AD15" s="89">
        <v>50</v>
      </c>
      <c r="AE15" s="89">
        <v>42.5</v>
      </c>
      <c r="AF15" s="44">
        <f t="shared" si="0"/>
        <v>0</v>
      </c>
      <c r="AG15" s="44" t="str">
        <f t="shared" si="1"/>
        <v>常规心电图检查费</v>
      </c>
      <c r="AH15" s="44">
        <f t="shared" si="2"/>
        <v>27</v>
      </c>
      <c r="AI15" s="44">
        <f t="shared" si="3"/>
        <v>25</v>
      </c>
      <c r="AJ15" s="44">
        <f t="shared" si="4"/>
        <v>23</v>
      </c>
    </row>
    <row r="16" s="44" customFormat="1" ht="55" customHeight="1" spans="1:36">
      <c r="A16" s="55" t="s">
        <v>55</v>
      </c>
      <c r="B16" s="55" t="s">
        <v>90</v>
      </c>
      <c r="C16" s="55" t="s">
        <v>91</v>
      </c>
      <c r="D16" s="55" t="s">
        <v>36</v>
      </c>
      <c r="E16" s="59" t="s">
        <v>40</v>
      </c>
      <c r="F16" s="59" t="s">
        <v>40</v>
      </c>
      <c r="G16" s="55" t="s">
        <v>54</v>
      </c>
      <c r="H16" s="59"/>
      <c r="I16" s="30">
        <v>2</v>
      </c>
      <c r="J16" s="30">
        <v>2</v>
      </c>
      <c r="K16" s="64">
        <v>2.3</v>
      </c>
      <c r="L16" s="64">
        <v>2</v>
      </c>
      <c r="M16" s="64">
        <v>1.7</v>
      </c>
      <c r="N16" s="68">
        <v>2</v>
      </c>
      <c r="O16" s="35">
        <v>1.9</v>
      </c>
      <c r="P16" s="68">
        <v>1.8</v>
      </c>
      <c r="Q16" s="55" t="s">
        <v>41</v>
      </c>
      <c r="R16" s="55" t="s">
        <v>40</v>
      </c>
      <c r="S16" s="74" t="s">
        <v>40</v>
      </c>
      <c r="T16" s="64"/>
      <c r="U16" s="59" t="s">
        <v>92</v>
      </c>
      <c r="V16" s="76" t="s">
        <v>93</v>
      </c>
      <c r="W16" s="76">
        <v>31070100101</v>
      </c>
      <c r="X16" s="77" t="s">
        <v>94</v>
      </c>
      <c r="Y16" s="77"/>
      <c r="Z16" s="77"/>
      <c r="AA16" s="77" t="s">
        <v>54</v>
      </c>
      <c r="AB16" s="77" t="s">
        <v>95</v>
      </c>
      <c r="AC16" s="88">
        <v>2.3</v>
      </c>
      <c r="AD16" s="88">
        <v>2</v>
      </c>
      <c r="AE16" s="88">
        <v>1.7</v>
      </c>
      <c r="AF16" s="44">
        <f t="shared" si="0"/>
        <v>0</v>
      </c>
      <c r="AG16" s="44" t="str">
        <f t="shared" si="1"/>
        <v>常规心电图检查费十二导联以上（加收）</v>
      </c>
      <c r="AH16" s="44">
        <f t="shared" si="2"/>
        <v>2</v>
      </c>
      <c r="AI16" s="44">
        <f t="shared" si="3"/>
        <v>1.9</v>
      </c>
      <c r="AJ16" s="44">
        <f t="shared" si="4"/>
        <v>1.8</v>
      </c>
    </row>
    <row r="17" s="44" customFormat="1" ht="38" customHeight="1" spans="1:36">
      <c r="A17" s="55" t="s">
        <v>55</v>
      </c>
      <c r="B17" s="55" t="s">
        <v>96</v>
      </c>
      <c r="C17" s="56" t="s">
        <v>97</v>
      </c>
      <c r="D17" s="55" t="s">
        <v>36</v>
      </c>
      <c r="E17" s="59" t="s">
        <v>40</v>
      </c>
      <c r="F17" s="59" t="s">
        <v>40</v>
      </c>
      <c r="G17" s="55" t="s">
        <v>54</v>
      </c>
      <c r="H17" s="59"/>
      <c r="I17" s="30">
        <v>15</v>
      </c>
      <c r="J17" s="30">
        <v>14</v>
      </c>
      <c r="K17" s="64">
        <v>42</v>
      </c>
      <c r="L17" s="64">
        <v>35</v>
      </c>
      <c r="M17" s="64">
        <v>28</v>
      </c>
      <c r="N17" s="66">
        <v>15</v>
      </c>
      <c r="O17" s="66">
        <v>14</v>
      </c>
      <c r="P17" s="66">
        <v>13</v>
      </c>
      <c r="Q17" s="55" t="s">
        <v>41</v>
      </c>
      <c r="R17" s="55" t="s">
        <v>40</v>
      </c>
      <c r="S17" s="74" t="s">
        <v>40</v>
      </c>
      <c r="T17" s="64"/>
      <c r="U17" s="59" t="s">
        <v>98</v>
      </c>
      <c r="V17" s="76" t="s">
        <v>99</v>
      </c>
      <c r="W17" s="76">
        <v>310701015</v>
      </c>
      <c r="X17" s="77" t="s">
        <v>100</v>
      </c>
      <c r="Y17" s="77" t="s">
        <v>84</v>
      </c>
      <c r="Z17" s="77"/>
      <c r="AA17" s="77" t="s">
        <v>54</v>
      </c>
      <c r="AB17" s="77" t="s">
        <v>40</v>
      </c>
      <c r="AC17" s="88">
        <v>69</v>
      </c>
      <c r="AD17" s="88">
        <v>60</v>
      </c>
      <c r="AE17" s="88">
        <v>51</v>
      </c>
      <c r="AF17" s="44">
        <f t="shared" si="0"/>
        <v>0</v>
      </c>
      <c r="AG17" s="44" t="str">
        <f t="shared" si="1"/>
        <v>常规心电图检查费-心脏晚电位检查（加收）</v>
      </c>
      <c r="AH17" s="44">
        <f t="shared" si="2"/>
        <v>15</v>
      </c>
      <c r="AI17" s="44">
        <f t="shared" si="3"/>
        <v>14</v>
      </c>
      <c r="AJ17" s="44">
        <f t="shared" si="4"/>
        <v>13</v>
      </c>
    </row>
    <row r="18" s="44" customFormat="1" ht="38" customHeight="1" spans="1:36">
      <c r="A18" s="55"/>
      <c r="B18" s="55"/>
      <c r="C18" s="56" t="s">
        <v>97</v>
      </c>
      <c r="D18" s="55"/>
      <c r="E18" s="59"/>
      <c r="F18" s="59"/>
      <c r="G18" s="55"/>
      <c r="H18" s="59"/>
      <c r="I18" s="37"/>
      <c r="J18" s="37"/>
      <c r="K18" s="64"/>
      <c r="L18" s="64"/>
      <c r="M18" s="64"/>
      <c r="N18" s="66">
        <v>15</v>
      </c>
      <c r="O18" s="66">
        <v>14</v>
      </c>
      <c r="P18" s="66">
        <v>13</v>
      </c>
      <c r="Q18" s="55"/>
      <c r="R18" s="55"/>
      <c r="S18" s="74"/>
      <c r="T18" s="64"/>
      <c r="U18" s="59"/>
      <c r="V18" s="76" t="s">
        <v>101</v>
      </c>
      <c r="W18" s="76">
        <v>310701016</v>
      </c>
      <c r="X18" s="77" t="s">
        <v>102</v>
      </c>
      <c r="Y18" s="77" t="s">
        <v>84</v>
      </c>
      <c r="Z18" s="77"/>
      <c r="AA18" s="77" t="s">
        <v>54</v>
      </c>
      <c r="AB18" s="77" t="s">
        <v>40</v>
      </c>
      <c r="AC18" s="88">
        <v>69</v>
      </c>
      <c r="AD18" s="88">
        <v>60</v>
      </c>
      <c r="AE18" s="88">
        <v>51</v>
      </c>
      <c r="AF18" s="44">
        <f t="shared" si="0"/>
        <v>0</v>
      </c>
      <c r="AG18" s="44" t="str">
        <f t="shared" si="1"/>
        <v>常规心电图检查费-心脏晚电位检查（加收）</v>
      </c>
      <c r="AH18" s="44">
        <f t="shared" si="2"/>
        <v>15</v>
      </c>
      <c r="AI18" s="44">
        <f t="shared" si="3"/>
        <v>14</v>
      </c>
      <c r="AJ18" s="44">
        <f t="shared" si="4"/>
        <v>13</v>
      </c>
    </row>
    <row r="19" s="44" customFormat="1" ht="38" customHeight="1" spans="1:36">
      <c r="A19" s="55" t="s">
        <v>55</v>
      </c>
      <c r="B19" s="55" t="s">
        <v>103</v>
      </c>
      <c r="C19" s="55" t="s">
        <v>104</v>
      </c>
      <c r="D19" s="55" t="s">
        <v>36</v>
      </c>
      <c r="E19" s="59" t="s">
        <v>40</v>
      </c>
      <c r="F19" s="59" t="s">
        <v>40</v>
      </c>
      <c r="G19" s="55" t="s">
        <v>54</v>
      </c>
      <c r="H19" s="59"/>
      <c r="I19" s="30">
        <v>29</v>
      </c>
      <c r="J19" s="30">
        <v>26</v>
      </c>
      <c r="K19" s="64">
        <v>34.5</v>
      </c>
      <c r="L19" s="64">
        <v>30</v>
      </c>
      <c r="M19" s="64">
        <v>25.5</v>
      </c>
      <c r="N19" s="35">
        <v>27</v>
      </c>
      <c r="O19" s="35">
        <v>25</v>
      </c>
      <c r="P19" s="35">
        <v>23</v>
      </c>
      <c r="Q19" s="55" t="s">
        <v>41</v>
      </c>
      <c r="R19" s="55" t="s">
        <v>40</v>
      </c>
      <c r="S19" s="74" t="s">
        <v>40</v>
      </c>
      <c r="T19" s="64"/>
      <c r="U19" s="59" t="s">
        <v>105</v>
      </c>
      <c r="V19" s="76" t="s">
        <v>106</v>
      </c>
      <c r="W19" s="76">
        <v>310701012</v>
      </c>
      <c r="X19" s="77" t="s">
        <v>107</v>
      </c>
      <c r="Y19" s="77"/>
      <c r="Z19" s="77"/>
      <c r="AA19" s="77" t="s">
        <v>54</v>
      </c>
      <c r="AB19" s="77" t="s">
        <v>40</v>
      </c>
      <c r="AC19" s="88">
        <v>34.5</v>
      </c>
      <c r="AD19" s="88">
        <v>30</v>
      </c>
      <c r="AE19" s="88">
        <v>25.5</v>
      </c>
      <c r="AF19" s="44">
        <f t="shared" si="0"/>
        <v>0</v>
      </c>
      <c r="AG19" s="44" t="str">
        <f t="shared" si="1"/>
        <v>常规心电图检查费-心电向量图（扩展）</v>
      </c>
      <c r="AH19" s="44">
        <f t="shared" si="2"/>
        <v>27</v>
      </c>
      <c r="AI19" s="44">
        <f t="shared" si="3"/>
        <v>25</v>
      </c>
      <c r="AJ19" s="44">
        <f t="shared" si="4"/>
        <v>23</v>
      </c>
    </row>
    <row r="20" s="44" customFormat="1" ht="38" customHeight="1" spans="1:36">
      <c r="A20" s="55" t="s">
        <v>55</v>
      </c>
      <c r="B20" s="55" t="s">
        <v>108</v>
      </c>
      <c r="C20" s="55" t="s">
        <v>109</v>
      </c>
      <c r="D20" s="55" t="s">
        <v>36</v>
      </c>
      <c r="E20" s="59" t="s">
        <v>40</v>
      </c>
      <c r="F20" s="59" t="s">
        <v>40</v>
      </c>
      <c r="G20" s="55" t="s">
        <v>54</v>
      </c>
      <c r="H20" s="59" t="s">
        <v>40</v>
      </c>
      <c r="I20" s="30">
        <v>29</v>
      </c>
      <c r="J20" s="30">
        <v>26</v>
      </c>
      <c r="K20" s="64">
        <v>46</v>
      </c>
      <c r="L20" s="64">
        <v>40</v>
      </c>
      <c r="M20" s="64">
        <v>34</v>
      </c>
      <c r="N20" s="35">
        <v>27</v>
      </c>
      <c r="O20" s="35">
        <v>25</v>
      </c>
      <c r="P20" s="35">
        <v>23</v>
      </c>
      <c r="Q20" s="55" t="s">
        <v>41</v>
      </c>
      <c r="R20" s="55" t="s">
        <v>40</v>
      </c>
      <c r="S20" s="74" t="s">
        <v>40</v>
      </c>
      <c r="T20" s="64"/>
      <c r="U20" s="59" t="s">
        <v>105</v>
      </c>
      <c r="V20" s="76" t="s">
        <v>110</v>
      </c>
      <c r="W20" s="76">
        <v>310701004</v>
      </c>
      <c r="X20" s="77" t="s">
        <v>111</v>
      </c>
      <c r="Y20" s="77" t="s">
        <v>84</v>
      </c>
      <c r="Z20" s="77"/>
      <c r="AA20" s="77" t="s">
        <v>54</v>
      </c>
      <c r="AB20" s="77" t="s">
        <v>40</v>
      </c>
      <c r="AC20" s="88">
        <v>46</v>
      </c>
      <c r="AD20" s="88">
        <v>40</v>
      </c>
      <c r="AE20" s="88">
        <v>34</v>
      </c>
      <c r="AF20" s="44">
        <f t="shared" si="0"/>
        <v>0</v>
      </c>
      <c r="AG20" s="44" t="str">
        <f t="shared" si="1"/>
        <v>常规心电图检查费-频谱心电图（扩展）</v>
      </c>
      <c r="AH20" s="44">
        <f t="shared" si="2"/>
        <v>27</v>
      </c>
      <c r="AI20" s="44">
        <f t="shared" si="3"/>
        <v>25</v>
      </c>
      <c r="AJ20" s="44">
        <f t="shared" si="4"/>
        <v>23</v>
      </c>
    </row>
    <row r="21" s="44" customFormat="1" ht="34" customHeight="1" spans="1:36">
      <c r="A21" s="55">
        <v>3</v>
      </c>
      <c r="B21" s="55" t="s">
        <v>112</v>
      </c>
      <c r="C21" s="56" t="s">
        <v>113</v>
      </c>
      <c r="D21" s="55" t="s">
        <v>36</v>
      </c>
      <c r="E21" s="59" t="s">
        <v>114</v>
      </c>
      <c r="F21" s="59" t="s">
        <v>69</v>
      </c>
      <c r="G21" s="55" t="s">
        <v>54</v>
      </c>
      <c r="H21" s="59"/>
      <c r="I21" s="30">
        <v>80</v>
      </c>
      <c r="J21" s="30">
        <v>72</v>
      </c>
      <c r="K21" s="63">
        <v>92.0028164886689</v>
      </c>
      <c r="L21" s="63">
        <v>80</v>
      </c>
      <c r="M21" s="63">
        <v>68.0650728222039</v>
      </c>
      <c r="N21" s="67">
        <v>80</v>
      </c>
      <c r="O21" s="67">
        <v>72</v>
      </c>
      <c r="P21" s="67">
        <v>65</v>
      </c>
      <c r="Q21" s="55" t="s">
        <v>41</v>
      </c>
      <c r="R21" s="55" t="s">
        <v>40</v>
      </c>
      <c r="S21" s="74" t="s">
        <v>40</v>
      </c>
      <c r="T21" s="63" t="s">
        <v>115</v>
      </c>
      <c r="U21" s="59" t="s">
        <v>116</v>
      </c>
      <c r="V21" s="76" t="s">
        <v>117</v>
      </c>
      <c r="W21" s="76">
        <v>310701018</v>
      </c>
      <c r="X21" s="77" t="s">
        <v>118</v>
      </c>
      <c r="Y21" s="77" t="s">
        <v>119</v>
      </c>
      <c r="Z21" s="77"/>
      <c r="AA21" s="77" t="s">
        <v>54</v>
      </c>
      <c r="AB21" s="77" t="s">
        <v>120</v>
      </c>
      <c r="AC21" s="88">
        <v>92</v>
      </c>
      <c r="AD21" s="88">
        <v>80</v>
      </c>
      <c r="AE21" s="88">
        <v>68</v>
      </c>
      <c r="AF21" s="44">
        <f t="shared" si="0"/>
        <v>0</v>
      </c>
      <c r="AG21" s="44" t="str">
        <f t="shared" si="1"/>
        <v>心率变异性分析检查费</v>
      </c>
      <c r="AH21" s="44">
        <f t="shared" si="2"/>
        <v>80</v>
      </c>
      <c r="AI21" s="44">
        <f t="shared" si="3"/>
        <v>72</v>
      </c>
      <c r="AJ21" s="44">
        <f t="shared" si="4"/>
        <v>65</v>
      </c>
    </row>
    <row r="22" s="44" customFormat="1" ht="34" customHeight="1" spans="1:36">
      <c r="A22" s="55"/>
      <c r="B22" s="55"/>
      <c r="C22" s="56" t="s">
        <v>113</v>
      </c>
      <c r="D22" s="55"/>
      <c r="E22" s="59"/>
      <c r="F22" s="59"/>
      <c r="G22" s="55"/>
      <c r="H22" s="59"/>
      <c r="I22" s="37"/>
      <c r="J22" s="37"/>
      <c r="K22" s="63"/>
      <c r="L22" s="63"/>
      <c r="M22" s="63"/>
      <c r="N22" s="67">
        <v>80</v>
      </c>
      <c r="O22" s="67">
        <v>72</v>
      </c>
      <c r="P22" s="67">
        <v>65</v>
      </c>
      <c r="Q22" s="55"/>
      <c r="R22" s="55"/>
      <c r="S22" s="74"/>
      <c r="T22" s="63"/>
      <c r="U22" s="59"/>
      <c r="V22" s="76" t="s">
        <v>121</v>
      </c>
      <c r="W22" s="76">
        <v>31070101801</v>
      </c>
      <c r="X22" s="77" t="s">
        <v>122</v>
      </c>
      <c r="Y22" s="77"/>
      <c r="Z22" s="77"/>
      <c r="AA22" s="77" t="s">
        <v>54</v>
      </c>
      <c r="AB22" s="77" t="s">
        <v>123</v>
      </c>
      <c r="AC22" s="88">
        <v>17.3</v>
      </c>
      <c r="AD22" s="88">
        <v>15</v>
      </c>
      <c r="AE22" s="88">
        <v>12.8</v>
      </c>
      <c r="AF22" s="44">
        <f t="shared" si="0"/>
        <v>0</v>
      </c>
      <c r="AG22" s="44" t="str">
        <f t="shared" si="1"/>
        <v>心率变异性分析检查费</v>
      </c>
      <c r="AH22" s="44">
        <f t="shared" si="2"/>
        <v>80</v>
      </c>
      <c r="AI22" s="44">
        <f t="shared" si="3"/>
        <v>72</v>
      </c>
      <c r="AJ22" s="44">
        <f t="shared" si="4"/>
        <v>65</v>
      </c>
    </row>
    <row r="23" s="44" customFormat="1" ht="38" customHeight="1" spans="1:36">
      <c r="A23" s="55">
        <v>4</v>
      </c>
      <c r="B23" s="55" t="s">
        <v>124</v>
      </c>
      <c r="C23" s="56" t="s">
        <v>125</v>
      </c>
      <c r="D23" s="55" t="s">
        <v>36</v>
      </c>
      <c r="E23" s="59" t="s">
        <v>126</v>
      </c>
      <c r="F23" s="59" t="s">
        <v>127</v>
      </c>
      <c r="G23" s="55" t="s">
        <v>54</v>
      </c>
      <c r="H23" s="59" t="s">
        <v>40</v>
      </c>
      <c r="I23" s="30">
        <v>107</v>
      </c>
      <c r="J23" s="30">
        <v>96</v>
      </c>
      <c r="K23" s="63">
        <v>114.160341555977</v>
      </c>
      <c r="L23" s="63">
        <v>91.1748633879781</v>
      </c>
      <c r="M23" s="64"/>
      <c r="N23" s="66">
        <v>105</v>
      </c>
      <c r="O23" s="66">
        <v>95</v>
      </c>
      <c r="P23" s="66">
        <v>80</v>
      </c>
      <c r="Q23" s="55" t="s">
        <v>41</v>
      </c>
      <c r="R23" s="55" t="s">
        <v>40</v>
      </c>
      <c r="S23" s="74" t="s">
        <v>40</v>
      </c>
      <c r="T23" s="64" t="s">
        <v>115</v>
      </c>
      <c r="U23" s="59" t="s">
        <v>128</v>
      </c>
      <c r="V23" s="76" t="s">
        <v>129</v>
      </c>
      <c r="W23" s="76">
        <v>310701010</v>
      </c>
      <c r="X23" s="77" t="s">
        <v>130</v>
      </c>
      <c r="Y23" s="77" t="s">
        <v>131</v>
      </c>
      <c r="Z23" s="77"/>
      <c r="AA23" s="77" t="s">
        <v>54</v>
      </c>
      <c r="AB23" s="77" t="s">
        <v>132</v>
      </c>
      <c r="AC23" s="88">
        <v>149.5</v>
      </c>
      <c r="AD23" s="88">
        <v>130</v>
      </c>
      <c r="AE23" s="88">
        <v>110.5</v>
      </c>
      <c r="AF23" s="44">
        <f t="shared" si="0"/>
        <v>0</v>
      </c>
      <c r="AG23" s="44" t="str">
        <f t="shared" si="1"/>
        <v>心电图负荷检查费</v>
      </c>
      <c r="AH23" s="44">
        <f t="shared" si="2"/>
        <v>105</v>
      </c>
      <c r="AI23" s="44">
        <f t="shared" si="3"/>
        <v>95</v>
      </c>
      <c r="AJ23" s="44">
        <f t="shared" si="4"/>
        <v>80</v>
      </c>
    </row>
    <row r="24" s="44" customFormat="1" ht="38" customHeight="1" spans="1:36">
      <c r="A24" s="55"/>
      <c r="B24" s="55"/>
      <c r="C24" s="56" t="s">
        <v>125</v>
      </c>
      <c r="D24" s="55"/>
      <c r="E24" s="59"/>
      <c r="F24" s="59"/>
      <c r="G24" s="55"/>
      <c r="H24" s="59"/>
      <c r="I24" s="37"/>
      <c r="J24" s="37"/>
      <c r="K24" s="63"/>
      <c r="L24" s="63"/>
      <c r="M24" s="64"/>
      <c r="N24" s="66">
        <v>105</v>
      </c>
      <c r="O24" s="66">
        <v>95</v>
      </c>
      <c r="P24" s="66">
        <v>80</v>
      </c>
      <c r="Q24" s="55"/>
      <c r="R24" s="55"/>
      <c r="S24" s="74"/>
      <c r="T24" s="64"/>
      <c r="U24" s="59"/>
      <c r="V24" s="76" t="s">
        <v>133</v>
      </c>
      <c r="W24" s="76">
        <v>31070101001</v>
      </c>
      <c r="X24" s="77" t="s">
        <v>134</v>
      </c>
      <c r="Y24" s="77"/>
      <c r="Z24" s="77"/>
      <c r="AA24" s="77" t="s">
        <v>54</v>
      </c>
      <c r="AB24" s="77" t="s">
        <v>135</v>
      </c>
      <c r="AC24" s="88">
        <v>34.5</v>
      </c>
      <c r="AD24" s="88">
        <v>30</v>
      </c>
      <c r="AE24" s="88">
        <v>25.5</v>
      </c>
      <c r="AF24" s="44">
        <f t="shared" si="0"/>
        <v>0</v>
      </c>
      <c r="AG24" s="44" t="str">
        <f t="shared" si="1"/>
        <v>心电图负荷检查费</v>
      </c>
      <c r="AH24" s="44">
        <f t="shared" si="2"/>
        <v>105</v>
      </c>
      <c r="AI24" s="44">
        <f t="shared" si="3"/>
        <v>95</v>
      </c>
      <c r="AJ24" s="44">
        <f t="shared" si="4"/>
        <v>80</v>
      </c>
    </row>
    <row r="25" s="44" customFormat="1" ht="38" customHeight="1" spans="1:36">
      <c r="A25" s="55"/>
      <c r="B25" s="55"/>
      <c r="C25" s="56" t="s">
        <v>125</v>
      </c>
      <c r="D25" s="55"/>
      <c r="E25" s="59"/>
      <c r="F25" s="59"/>
      <c r="G25" s="55"/>
      <c r="H25" s="59"/>
      <c r="I25" s="37"/>
      <c r="J25" s="37"/>
      <c r="K25" s="63"/>
      <c r="L25" s="63"/>
      <c r="M25" s="64"/>
      <c r="N25" s="66">
        <v>105</v>
      </c>
      <c r="O25" s="66">
        <v>95</v>
      </c>
      <c r="P25" s="66">
        <v>80</v>
      </c>
      <c r="Q25" s="55"/>
      <c r="R25" s="55"/>
      <c r="S25" s="74"/>
      <c r="T25" s="64"/>
      <c r="U25" s="59"/>
      <c r="V25" s="76" t="s">
        <v>136</v>
      </c>
      <c r="W25" s="76">
        <v>310701011</v>
      </c>
      <c r="X25" s="77" t="s">
        <v>137</v>
      </c>
      <c r="Y25" s="77" t="s">
        <v>84</v>
      </c>
      <c r="Z25" s="77"/>
      <c r="AA25" s="77" t="s">
        <v>54</v>
      </c>
      <c r="AB25" s="77" t="s">
        <v>40</v>
      </c>
      <c r="AC25" s="88">
        <v>51.8</v>
      </c>
      <c r="AD25" s="88">
        <v>45</v>
      </c>
      <c r="AE25" s="88">
        <v>38.3</v>
      </c>
      <c r="AF25" s="44">
        <f t="shared" si="0"/>
        <v>0</v>
      </c>
      <c r="AG25" s="44" t="str">
        <f t="shared" si="1"/>
        <v>心电图负荷检查费</v>
      </c>
      <c r="AH25" s="44">
        <f t="shared" si="2"/>
        <v>105</v>
      </c>
      <c r="AI25" s="44">
        <f t="shared" si="3"/>
        <v>95</v>
      </c>
      <c r="AJ25" s="44">
        <f t="shared" si="4"/>
        <v>80</v>
      </c>
    </row>
    <row r="26" s="44" customFormat="1" ht="38" customHeight="1" spans="1:36">
      <c r="A26" s="55">
        <v>5</v>
      </c>
      <c r="B26" s="55" t="s">
        <v>138</v>
      </c>
      <c r="C26" s="56" t="s">
        <v>139</v>
      </c>
      <c r="D26" s="55" t="s">
        <v>36</v>
      </c>
      <c r="E26" s="59" t="s">
        <v>140</v>
      </c>
      <c r="F26" s="59" t="s">
        <v>69</v>
      </c>
      <c r="G26" s="55" t="s">
        <v>63</v>
      </c>
      <c r="H26" s="59" t="s">
        <v>141</v>
      </c>
      <c r="I26" s="30">
        <v>150</v>
      </c>
      <c r="J26" s="30">
        <v>135</v>
      </c>
      <c r="K26" s="64">
        <v>172.5</v>
      </c>
      <c r="L26" s="63">
        <v>150.005387036098</v>
      </c>
      <c r="M26" s="64">
        <v>127.5</v>
      </c>
      <c r="N26" s="67">
        <v>150</v>
      </c>
      <c r="O26" s="67">
        <v>135</v>
      </c>
      <c r="P26" s="67">
        <v>120</v>
      </c>
      <c r="Q26" s="55" t="s">
        <v>41</v>
      </c>
      <c r="R26" s="55" t="s">
        <v>40</v>
      </c>
      <c r="S26" s="74" t="s">
        <v>40</v>
      </c>
      <c r="T26" s="64" t="s">
        <v>115</v>
      </c>
      <c r="U26" s="59" t="s">
        <v>142</v>
      </c>
      <c r="V26" s="76" t="s">
        <v>143</v>
      </c>
      <c r="W26" s="76">
        <v>310701003</v>
      </c>
      <c r="X26" s="77" t="s">
        <v>144</v>
      </c>
      <c r="Y26" s="77" t="s">
        <v>145</v>
      </c>
      <c r="Z26" s="77"/>
      <c r="AA26" s="77" t="s">
        <v>54</v>
      </c>
      <c r="AB26" s="77" t="s">
        <v>40</v>
      </c>
      <c r="AC26" s="88">
        <v>172.5</v>
      </c>
      <c r="AD26" s="88">
        <v>150</v>
      </c>
      <c r="AE26" s="88">
        <v>127.5</v>
      </c>
      <c r="AF26" s="44">
        <f t="shared" si="0"/>
        <v>0</v>
      </c>
      <c r="AG26" s="44" t="str">
        <f t="shared" si="1"/>
        <v>动态心电图检查费</v>
      </c>
      <c r="AH26" s="44">
        <f t="shared" si="2"/>
        <v>150</v>
      </c>
      <c r="AI26" s="44">
        <f t="shared" si="3"/>
        <v>135</v>
      </c>
      <c r="AJ26" s="44">
        <f t="shared" si="4"/>
        <v>120</v>
      </c>
    </row>
    <row r="27" s="44" customFormat="1" ht="38" customHeight="1" spans="1:36">
      <c r="A27" s="55"/>
      <c r="B27" s="55"/>
      <c r="C27" s="56" t="s">
        <v>139</v>
      </c>
      <c r="D27" s="55"/>
      <c r="E27" s="59"/>
      <c r="F27" s="59"/>
      <c r="G27" s="55"/>
      <c r="H27" s="59"/>
      <c r="I27" s="37"/>
      <c r="J27" s="37"/>
      <c r="K27" s="64"/>
      <c r="L27" s="63"/>
      <c r="M27" s="64"/>
      <c r="N27" s="67">
        <v>150</v>
      </c>
      <c r="O27" s="67">
        <v>135</v>
      </c>
      <c r="P27" s="67">
        <v>120</v>
      </c>
      <c r="Q27" s="55"/>
      <c r="R27" s="55"/>
      <c r="S27" s="74"/>
      <c r="T27" s="64"/>
      <c r="U27" s="59"/>
      <c r="V27" s="76" t="s">
        <v>146</v>
      </c>
      <c r="W27" s="76">
        <v>310701007</v>
      </c>
      <c r="X27" s="77" t="s">
        <v>147</v>
      </c>
      <c r="Y27" s="77" t="s">
        <v>148</v>
      </c>
      <c r="Z27" s="77"/>
      <c r="AA27" s="77" t="s">
        <v>54</v>
      </c>
      <c r="AB27" s="77" t="s">
        <v>40</v>
      </c>
      <c r="AC27" s="88">
        <v>11.5</v>
      </c>
      <c r="AD27" s="88">
        <v>10</v>
      </c>
      <c r="AE27" s="88">
        <v>8.5</v>
      </c>
      <c r="AF27" s="44">
        <f t="shared" si="0"/>
        <v>0</v>
      </c>
      <c r="AG27" s="44" t="str">
        <f t="shared" si="1"/>
        <v>动态心电图检查费</v>
      </c>
      <c r="AH27" s="44">
        <f t="shared" si="2"/>
        <v>150</v>
      </c>
      <c r="AI27" s="44">
        <f t="shared" si="3"/>
        <v>135</v>
      </c>
      <c r="AJ27" s="44">
        <f t="shared" si="4"/>
        <v>120</v>
      </c>
    </row>
    <row r="28" s="44" customFormat="1" ht="64" customHeight="1" spans="1:36">
      <c r="A28" s="55">
        <v>6</v>
      </c>
      <c r="B28" s="55" t="s">
        <v>149</v>
      </c>
      <c r="C28" s="55" t="s">
        <v>150</v>
      </c>
      <c r="D28" s="55" t="s">
        <v>151</v>
      </c>
      <c r="E28" s="59" t="s">
        <v>152</v>
      </c>
      <c r="F28" s="59" t="s">
        <v>153</v>
      </c>
      <c r="G28" s="55" t="s">
        <v>54</v>
      </c>
      <c r="H28" s="59"/>
      <c r="I28" s="30">
        <v>132</v>
      </c>
      <c r="J28" s="30">
        <v>119</v>
      </c>
      <c r="K28" s="64">
        <v>138</v>
      </c>
      <c r="L28" s="64">
        <v>120</v>
      </c>
      <c r="M28" s="64">
        <v>102</v>
      </c>
      <c r="N28" s="68">
        <v>132</v>
      </c>
      <c r="O28" s="68">
        <v>119</v>
      </c>
      <c r="P28" s="69">
        <v>102</v>
      </c>
      <c r="Q28" s="55" t="s">
        <v>41</v>
      </c>
      <c r="R28" s="55" t="s">
        <v>40</v>
      </c>
      <c r="S28" s="74" t="s">
        <v>40</v>
      </c>
      <c r="T28" s="64" t="s">
        <v>115</v>
      </c>
      <c r="U28" s="59" t="s">
        <v>116</v>
      </c>
      <c r="V28" s="76" t="s">
        <v>154</v>
      </c>
      <c r="W28" s="76">
        <v>310702015</v>
      </c>
      <c r="X28" s="77" t="s">
        <v>155</v>
      </c>
      <c r="Y28" s="77" t="s">
        <v>156</v>
      </c>
      <c r="Z28" s="77"/>
      <c r="AA28" s="77" t="s">
        <v>54</v>
      </c>
      <c r="AB28" s="77" t="s">
        <v>157</v>
      </c>
      <c r="AC28" s="88">
        <v>138</v>
      </c>
      <c r="AD28" s="88">
        <v>120</v>
      </c>
      <c r="AE28" s="88">
        <v>102</v>
      </c>
      <c r="AF28" s="44">
        <f t="shared" si="0"/>
        <v>0</v>
      </c>
      <c r="AG28" s="44" t="str">
        <f t="shared" si="1"/>
        <v>经食管心脏调搏费</v>
      </c>
      <c r="AH28" s="44">
        <f t="shared" si="2"/>
        <v>132</v>
      </c>
      <c r="AI28" s="44">
        <f t="shared" si="3"/>
        <v>119</v>
      </c>
      <c r="AJ28" s="44">
        <f t="shared" si="4"/>
        <v>102</v>
      </c>
    </row>
    <row r="29" s="44" customFormat="1" ht="57" customHeight="1" spans="1:36">
      <c r="A29" s="55">
        <v>7</v>
      </c>
      <c r="B29" s="55" t="s">
        <v>158</v>
      </c>
      <c r="C29" s="55" t="s">
        <v>159</v>
      </c>
      <c r="D29" s="55" t="s">
        <v>151</v>
      </c>
      <c r="E29" s="59" t="s">
        <v>160</v>
      </c>
      <c r="F29" s="59" t="s">
        <v>161</v>
      </c>
      <c r="G29" s="55" t="s">
        <v>54</v>
      </c>
      <c r="H29" s="59" t="s">
        <v>40</v>
      </c>
      <c r="I29" s="30">
        <v>132</v>
      </c>
      <c r="J29" s="30">
        <v>119</v>
      </c>
      <c r="K29" s="64">
        <v>138</v>
      </c>
      <c r="L29" s="64">
        <v>120</v>
      </c>
      <c r="M29" s="64">
        <v>102</v>
      </c>
      <c r="N29" s="68">
        <v>132</v>
      </c>
      <c r="O29" s="68">
        <v>119</v>
      </c>
      <c r="P29" s="69">
        <v>102</v>
      </c>
      <c r="Q29" s="55" t="s">
        <v>41</v>
      </c>
      <c r="R29" s="55" t="s">
        <v>40</v>
      </c>
      <c r="S29" s="74" t="s">
        <v>40</v>
      </c>
      <c r="T29" s="64" t="s">
        <v>115</v>
      </c>
      <c r="U29" s="59" t="s">
        <v>162</v>
      </c>
      <c r="V29" s="76" t="s">
        <v>163</v>
      </c>
      <c r="W29" s="76">
        <v>310702014</v>
      </c>
      <c r="X29" s="77" t="s">
        <v>164</v>
      </c>
      <c r="Y29" s="77"/>
      <c r="Z29" s="77"/>
      <c r="AA29" s="77" t="s">
        <v>54</v>
      </c>
      <c r="AB29" s="77" t="s">
        <v>157</v>
      </c>
      <c r="AC29" s="88">
        <v>138</v>
      </c>
      <c r="AD29" s="88">
        <v>120</v>
      </c>
      <c r="AE29" s="88">
        <v>102</v>
      </c>
      <c r="AF29" s="44">
        <f t="shared" si="0"/>
        <v>0</v>
      </c>
      <c r="AG29" s="44" t="str">
        <f t="shared" si="1"/>
        <v>经食管心脏起搏费</v>
      </c>
      <c r="AH29" s="44">
        <f t="shared" si="2"/>
        <v>132</v>
      </c>
      <c r="AI29" s="44">
        <f t="shared" si="3"/>
        <v>119</v>
      </c>
      <c r="AJ29" s="44">
        <f t="shared" si="4"/>
        <v>102</v>
      </c>
    </row>
    <row r="30" s="44" customFormat="1" ht="76" customHeight="1" spans="1:36">
      <c r="A30" s="55">
        <v>9</v>
      </c>
      <c r="B30" s="55" t="s">
        <v>172</v>
      </c>
      <c r="C30" s="55" t="s">
        <v>173</v>
      </c>
      <c r="D30" s="55" t="s">
        <v>36</v>
      </c>
      <c r="E30" s="59" t="s">
        <v>174</v>
      </c>
      <c r="F30" s="59" t="s">
        <v>175</v>
      </c>
      <c r="G30" s="55" t="s">
        <v>54</v>
      </c>
      <c r="H30" s="59" t="s">
        <v>176</v>
      </c>
      <c r="I30" s="30">
        <v>160</v>
      </c>
      <c r="J30" s="30">
        <v>144</v>
      </c>
      <c r="K30" s="64">
        <v>184</v>
      </c>
      <c r="L30" s="64">
        <v>160</v>
      </c>
      <c r="M30" s="64">
        <v>136</v>
      </c>
      <c r="N30" s="68">
        <v>160</v>
      </c>
      <c r="O30" s="68">
        <v>144</v>
      </c>
      <c r="P30" s="68">
        <v>125</v>
      </c>
      <c r="Q30" s="55" t="s">
        <v>41</v>
      </c>
      <c r="R30" s="55" t="s">
        <v>40</v>
      </c>
      <c r="S30" s="74" t="s">
        <v>40</v>
      </c>
      <c r="T30" s="64" t="s">
        <v>115</v>
      </c>
      <c r="U30" s="59" t="s">
        <v>116</v>
      </c>
      <c r="V30" s="76" t="s">
        <v>177</v>
      </c>
      <c r="W30" s="76">
        <v>310701017</v>
      </c>
      <c r="X30" s="77" t="s">
        <v>178</v>
      </c>
      <c r="Y30" s="77"/>
      <c r="Z30" s="77"/>
      <c r="AA30" s="77" t="s">
        <v>54</v>
      </c>
      <c r="AB30" s="77" t="s">
        <v>40</v>
      </c>
      <c r="AC30" s="88">
        <v>184</v>
      </c>
      <c r="AD30" s="88">
        <v>160</v>
      </c>
      <c r="AE30" s="88">
        <v>136</v>
      </c>
      <c r="AF30" s="44">
        <f t="shared" si="0"/>
        <v>0</v>
      </c>
      <c r="AG30" s="44" t="str">
        <f t="shared" si="1"/>
        <v>直立倾斜检查费</v>
      </c>
      <c r="AH30" s="44">
        <f t="shared" si="2"/>
        <v>160</v>
      </c>
      <c r="AI30" s="44">
        <f t="shared" si="3"/>
        <v>144</v>
      </c>
      <c r="AJ30" s="44">
        <f t="shared" si="4"/>
        <v>125</v>
      </c>
    </row>
    <row r="31" s="44" customFormat="1" ht="63" customHeight="1" spans="1:36">
      <c r="A31" s="55">
        <v>10</v>
      </c>
      <c r="B31" s="55" t="s">
        <v>179</v>
      </c>
      <c r="C31" s="55" t="s">
        <v>180</v>
      </c>
      <c r="D31" s="55" t="s">
        <v>36</v>
      </c>
      <c r="E31" s="59" t="s">
        <v>181</v>
      </c>
      <c r="F31" s="59" t="s">
        <v>182</v>
      </c>
      <c r="G31" s="55" t="s">
        <v>54</v>
      </c>
      <c r="H31" s="59" t="s">
        <v>176</v>
      </c>
      <c r="I31" s="30">
        <v>40</v>
      </c>
      <c r="J31" s="30">
        <v>36</v>
      </c>
      <c r="K31" s="64">
        <v>36</v>
      </c>
      <c r="L31" s="64">
        <v>32</v>
      </c>
      <c r="M31" s="64">
        <v>27</v>
      </c>
      <c r="N31" s="35">
        <v>36</v>
      </c>
      <c r="O31" s="35">
        <v>32</v>
      </c>
      <c r="P31" s="35">
        <v>27</v>
      </c>
      <c r="Q31" s="55" t="s">
        <v>169</v>
      </c>
      <c r="R31" s="55" t="s">
        <v>40</v>
      </c>
      <c r="S31" s="74" t="s">
        <v>40</v>
      </c>
      <c r="T31" s="64" t="s">
        <v>183</v>
      </c>
      <c r="U31" s="59" t="s">
        <v>183</v>
      </c>
      <c r="V31" s="76" t="s">
        <v>184</v>
      </c>
      <c r="W31" s="76">
        <v>340200046</v>
      </c>
      <c r="X31" s="80" t="s">
        <v>185</v>
      </c>
      <c r="Y31" s="84" t="s">
        <v>186</v>
      </c>
      <c r="Z31" s="77"/>
      <c r="AA31" s="77" t="s">
        <v>54</v>
      </c>
      <c r="AB31" s="77" t="s">
        <v>40</v>
      </c>
      <c r="AC31" s="88">
        <v>36</v>
      </c>
      <c r="AD31" s="88">
        <v>32</v>
      </c>
      <c r="AE31" s="88">
        <v>27</v>
      </c>
      <c r="AF31" s="44">
        <f t="shared" si="0"/>
        <v>0</v>
      </c>
      <c r="AG31" s="44" t="str">
        <f t="shared" si="1"/>
        <v>6分钟步行检查费</v>
      </c>
      <c r="AH31" s="44">
        <f t="shared" si="2"/>
        <v>36</v>
      </c>
      <c r="AI31" s="44">
        <f t="shared" si="3"/>
        <v>32</v>
      </c>
      <c r="AJ31" s="44">
        <f t="shared" si="4"/>
        <v>27</v>
      </c>
    </row>
    <row r="32" s="44" customFormat="1" ht="40" customHeight="1" spans="1:36">
      <c r="A32" s="57">
        <v>11</v>
      </c>
      <c r="B32" s="57" t="s">
        <v>187</v>
      </c>
      <c r="C32" s="58" t="s">
        <v>188</v>
      </c>
      <c r="D32" s="57" t="s">
        <v>36</v>
      </c>
      <c r="E32" s="60" t="s">
        <v>189</v>
      </c>
      <c r="F32" s="60" t="s">
        <v>190</v>
      </c>
      <c r="G32" s="57" t="s">
        <v>63</v>
      </c>
      <c r="H32" s="60" t="s">
        <v>40</v>
      </c>
      <c r="I32" s="30">
        <v>200</v>
      </c>
      <c r="J32" s="30">
        <v>180</v>
      </c>
      <c r="K32" s="63">
        <v>257.240940952834</v>
      </c>
      <c r="L32" s="63">
        <v>179.938851257307</v>
      </c>
      <c r="M32" s="63">
        <v>195.927846889952</v>
      </c>
      <c r="N32" s="66">
        <v>200</v>
      </c>
      <c r="O32" s="66">
        <v>180</v>
      </c>
      <c r="P32" s="66">
        <v>165</v>
      </c>
      <c r="Q32" s="55" t="s">
        <v>41</v>
      </c>
      <c r="R32" s="55" t="s">
        <v>40</v>
      </c>
      <c r="S32" s="74" t="s">
        <v>40</v>
      </c>
      <c r="T32" s="63" t="s">
        <v>115</v>
      </c>
      <c r="U32" s="59" t="s">
        <v>191</v>
      </c>
      <c r="V32" s="81" t="s">
        <v>192</v>
      </c>
      <c r="W32" s="81">
        <v>310701021</v>
      </c>
      <c r="X32" s="82" t="s">
        <v>193</v>
      </c>
      <c r="Y32" s="82" t="s">
        <v>194</v>
      </c>
      <c r="Z32" s="82"/>
      <c r="AA32" s="77" t="s">
        <v>39</v>
      </c>
      <c r="AB32" s="77" t="s">
        <v>40</v>
      </c>
      <c r="AC32" s="88">
        <v>11.5</v>
      </c>
      <c r="AD32" s="88">
        <v>10</v>
      </c>
      <c r="AE32" s="88">
        <v>8.5</v>
      </c>
      <c r="AF32" s="44">
        <f t="shared" si="0"/>
        <v>0</v>
      </c>
      <c r="AG32" s="44" t="str">
        <f t="shared" si="1"/>
        <v>无创动态血压监测费</v>
      </c>
      <c r="AH32" s="44">
        <f t="shared" si="2"/>
        <v>200</v>
      </c>
      <c r="AI32" s="44">
        <f t="shared" si="3"/>
        <v>180</v>
      </c>
      <c r="AJ32" s="44">
        <f t="shared" si="4"/>
        <v>165</v>
      </c>
    </row>
    <row r="33" s="44" customFormat="1" ht="40" customHeight="1" spans="1:36">
      <c r="A33" s="57"/>
      <c r="B33" s="57"/>
      <c r="C33" s="58" t="s">
        <v>188</v>
      </c>
      <c r="D33" s="57"/>
      <c r="E33" s="60"/>
      <c r="F33" s="60"/>
      <c r="G33" s="57"/>
      <c r="H33" s="60"/>
      <c r="I33" s="37"/>
      <c r="J33" s="37"/>
      <c r="K33" s="63"/>
      <c r="L33" s="63"/>
      <c r="M33" s="63"/>
      <c r="N33" s="66">
        <v>200</v>
      </c>
      <c r="O33" s="66">
        <v>180</v>
      </c>
      <c r="P33" s="66">
        <v>165</v>
      </c>
      <c r="Q33" s="55"/>
      <c r="R33" s="55"/>
      <c r="S33" s="74"/>
      <c r="T33" s="63"/>
      <c r="U33" s="59"/>
      <c r="V33" s="81" t="s">
        <v>195</v>
      </c>
      <c r="W33" s="81">
        <v>31070102101</v>
      </c>
      <c r="X33" s="82" t="s">
        <v>196</v>
      </c>
      <c r="Y33" s="82"/>
      <c r="Z33" s="82"/>
      <c r="AA33" s="77" t="s">
        <v>39</v>
      </c>
      <c r="AB33" s="77" t="s">
        <v>197</v>
      </c>
      <c r="AC33" s="88">
        <v>11.5</v>
      </c>
      <c r="AD33" s="88">
        <v>10</v>
      </c>
      <c r="AE33" s="88">
        <v>8.5</v>
      </c>
      <c r="AF33" s="44">
        <f t="shared" si="0"/>
        <v>0</v>
      </c>
      <c r="AG33" s="44" t="str">
        <f t="shared" si="1"/>
        <v>无创动态血压监测费</v>
      </c>
      <c r="AH33" s="44">
        <f t="shared" si="2"/>
        <v>200</v>
      </c>
      <c r="AI33" s="44">
        <f t="shared" si="3"/>
        <v>180</v>
      </c>
      <c r="AJ33" s="44">
        <f t="shared" si="4"/>
        <v>165</v>
      </c>
    </row>
    <row r="34" s="44" customFormat="1" ht="38" customHeight="1" spans="1:36">
      <c r="A34" s="55">
        <v>12</v>
      </c>
      <c r="B34" s="55" t="s">
        <v>198</v>
      </c>
      <c r="C34" s="56" t="s">
        <v>199</v>
      </c>
      <c r="D34" s="55" t="s">
        <v>36</v>
      </c>
      <c r="E34" s="59" t="s">
        <v>200</v>
      </c>
      <c r="F34" s="59" t="s">
        <v>201</v>
      </c>
      <c r="G34" s="55" t="s">
        <v>54</v>
      </c>
      <c r="H34" s="59" t="s">
        <v>40</v>
      </c>
      <c r="I34" s="30">
        <v>47</v>
      </c>
      <c r="J34" s="30">
        <v>42</v>
      </c>
      <c r="K34" s="63">
        <v>46.9547309647212</v>
      </c>
      <c r="L34" s="63" t="e">
        <v>#DIV/0!</v>
      </c>
      <c r="M34" s="63">
        <v>37.6507385524372</v>
      </c>
      <c r="N34" s="67">
        <v>47</v>
      </c>
      <c r="O34" s="67">
        <v>42</v>
      </c>
      <c r="P34" s="67">
        <v>37</v>
      </c>
      <c r="Q34" s="55" t="s">
        <v>41</v>
      </c>
      <c r="R34" s="55" t="s">
        <v>40</v>
      </c>
      <c r="S34" s="74" t="s">
        <v>40</v>
      </c>
      <c r="T34" s="63" t="s">
        <v>42</v>
      </c>
      <c r="U34" s="59" t="s">
        <v>42</v>
      </c>
      <c r="V34" s="76" t="s">
        <v>202</v>
      </c>
      <c r="W34" s="76">
        <v>310701029</v>
      </c>
      <c r="X34" s="77" t="s">
        <v>203</v>
      </c>
      <c r="Y34" s="77" t="s">
        <v>204</v>
      </c>
      <c r="Z34" s="77"/>
      <c r="AA34" s="77" t="s">
        <v>54</v>
      </c>
      <c r="AB34" s="77" t="s">
        <v>40</v>
      </c>
      <c r="AC34" s="88">
        <v>50</v>
      </c>
      <c r="AD34" s="88">
        <v>50</v>
      </c>
      <c r="AE34" s="88">
        <v>42.5</v>
      </c>
      <c r="AF34" s="44">
        <f t="shared" si="0"/>
        <v>0</v>
      </c>
      <c r="AG34" s="44" t="str">
        <f t="shared" si="1"/>
        <v>无创肢体动脉检查费</v>
      </c>
      <c r="AH34" s="44">
        <f t="shared" si="2"/>
        <v>47</v>
      </c>
      <c r="AI34" s="44">
        <f t="shared" si="3"/>
        <v>42</v>
      </c>
      <c r="AJ34" s="44">
        <f t="shared" si="4"/>
        <v>37</v>
      </c>
    </row>
    <row r="35" s="44" customFormat="1" ht="38" customHeight="1" spans="1:36">
      <c r="A35" s="55"/>
      <c r="B35" s="55"/>
      <c r="C35" s="56" t="s">
        <v>199</v>
      </c>
      <c r="D35" s="55"/>
      <c r="E35" s="59"/>
      <c r="F35" s="59"/>
      <c r="G35" s="55"/>
      <c r="H35" s="59"/>
      <c r="I35" s="37"/>
      <c r="J35" s="37"/>
      <c r="K35" s="63"/>
      <c r="L35" s="63"/>
      <c r="M35" s="63"/>
      <c r="N35" s="67">
        <v>47</v>
      </c>
      <c r="O35" s="67">
        <v>42</v>
      </c>
      <c r="P35" s="67">
        <v>37</v>
      </c>
      <c r="Q35" s="55"/>
      <c r="R35" s="55"/>
      <c r="S35" s="74"/>
      <c r="T35" s="63"/>
      <c r="U35" s="59"/>
      <c r="V35" s="76" t="s">
        <v>205</v>
      </c>
      <c r="W35" s="76">
        <v>310701030</v>
      </c>
      <c r="X35" s="77" t="s">
        <v>206</v>
      </c>
      <c r="Y35" s="77" t="s">
        <v>207</v>
      </c>
      <c r="Z35" s="77"/>
      <c r="AA35" s="77" t="s">
        <v>54</v>
      </c>
      <c r="AB35" s="77" t="s">
        <v>40</v>
      </c>
      <c r="AC35" s="88">
        <v>35</v>
      </c>
      <c r="AD35" s="88">
        <v>35</v>
      </c>
      <c r="AE35" s="88">
        <v>29.8</v>
      </c>
      <c r="AF35" s="44">
        <f t="shared" si="0"/>
        <v>0</v>
      </c>
      <c r="AG35" s="44" t="str">
        <f t="shared" si="1"/>
        <v>无创肢体动脉检查费</v>
      </c>
      <c r="AH35" s="44">
        <f t="shared" si="2"/>
        <v>47</v>
      </c>
      <c r="AI35" s="44">
        <f t="shared" si="3"/>
        <v>42</v>
      </c>
      <c r="AJ35" s="44">
        <f t="shared" si="4"/>
        <v>37</v>
      </c>
    </row>
    <row r="36" s="44" customFormat="1" ht="38" customHeight="1" spans="1:36">
      <c r="A36" s="55">
        <v>13</v>
      </c>
      <c r="B36" s="55" t="s">
        <v>208</v>
      </c>
      <c r="C36" s="56" t="s">
        <v>209</v>
      </c>
      <c r="D36" s="55" t="s">
        <v>151</v>
      </c>
      <c r="E36" s="59" t="s">
        <v>210</v>
      </c>
      <c r="F36" s="59" t="s">
        <v>211</v>
      </c>
      <c r="G36" s="55" t="s">
        <v>54</v>
      </c>
      <c r="H36" s="59" t="s">
        <v>40</v>
      </c>
      <c r="I36" s="30">
        <v>59</v>
      </c>
      <c r="J36" s="30">
        <v>53</v>
      </c>
      <c r="K36" s="63">
        <v>60.3326105810928</v>
      </c>
      <c r="L36" s="63">
        <v>51.0606060606061</v>
      </c>
      <c r="M36" s="63">
        <v>42.5</v>
      </c>
      <c r="N36" s="66">
        <v>57</v>
      </c>
      <c r="O36" s="66">
        <v>51</v>
      </c>
      <c r="P36" s="66">
        <v>43</v>
      </c>
      <c r="Q36" s="55" t="s">
        <v>41</v>
      </c>
      <c r="R36" s="55" t="s">
        <v>40</v>
      </c>
      <c r="S36" s="74" t="s">
        <v>40</v>
      </c>
      <c r="T36" s="63" t="s">
        <v>115</v>
      </c>
      <c r="U36" s="59" t="s">
        <v>212</v>
      </c>
      <c r="V36" s="76" t="s">
        <v>213</v>
      </c>
      <c r="W36" s="76">
        <v>310702013</v>
      </c>
      <c r="X36" s="77" t="s">
        <v>214</v>
      </c>
      <c r="Y36" s="77"/>
      <c r="Z36" s="77"/>
      <c r="AA36" s="77" t="s">
        <v>54</v>
      </c>
      <c r="AB36" s="77" t="s">
        <v>157</v>
      </c>
      <c r="AC36" s="88">
        <v>51.8</v>
      </c>
      <c r="AD36" s="88">
        <v>45</v>
      </c>
      <c r="AE36" s="88">
        <v>38.3</v>
      </c>
      <c r="AF36" s="44">
        <f t="shared" si="0"/>
        <v>0</v>
      </c>
      <c r="AG36" s="44" t="str">
        <f t="shared" si="1"/>
        <v>心脏电除颤/电复律费</v>
      </c>
      <c r="AH36" s="44">
        <f t="shared" si="2"/>
        <v>57</v>
      </c>
      <c r="AI36" s="44">
        <f t="shared" si="3"/>
        <v>51</v>
      </c>
      <c r="AJ36" s="44">
        <f t="shared" si="4"/>
        <v>43</v>
      </c>
    </row>
    <row r="37" s="44" customFormat="1" ht="38" customHeight="1" spans="1:36">
      <c r="A37" s="55"/>
      <c r="B37" s="55"/>
      <c r="C37" s="56" t="s">
        <v>209</v>
      </c>
      <c r="D37" s="55"/>
      <c r="E37" s="59"/>
      <c r="F37" s="59"/>
      <c r="G37" s="55"/>
      <c r="H37" s="59"/>
      <c r="I37" s="37"/>
      <c r="J37" s="37"/>
      <c r="K37" s="63"/>
      <c r="L37" s="63"/>
      <c r="M37" s="63"/>
      <c r="N37" s="66">
        <v>57</v>
      </c>
      <c r="O37" s="66">
        <v>51</v>
      </c>
      <c r="P37" s="66">
        <v>43</v>
      </c>
      <c r="Q37" s="55"/>
      <c r="R37" s="55"/>
      <c r="S37" s="74"/>
      <c r="T37" s="63"/>
      <c r="U37" s="59"/>
      <c r="V37" s="76" t="s">
        <v>215</v>
      </c>
      <c r="W37" s="76">
        <v>310702016</v>
      </c>
      <c r="X37" s="77" t="s">
        <v>216</v>
      </c>
      <c r="Y37" s="77"/>
      <c r="Z37" s="77"/>
      <c r="AA37" s="77" t="s">
        <v>54</v>
      </c>
      <c r="AB37" s="77" t="s">
        <v>157</v>
      </c>
      <c r="AC37" s="88">
        <v>69</v>
      </c>
      <c r="AD37" s="88">
        <v>60</v>
      </c>
      <c r="AE37" s="88">
        <v>51</v>
      </c>
      <c r="AF37" s="44">
        <f t="shared" si="0"/>
        <v>0</v>
      </c>
      <c r="AG37" s="44" t="str">
        <f t="shared" si="1"/>
        <v>心脏电除颤/电复律费</v>
      </c>
      <c r="AH37" s="44">
        <f t="shared" si="2"/>
        <v>57</v>
      </c>
      <c r="AI37" s="44">
        <f t="shared" si="3"/>
        <v>51</v>
      </c>
      <c r="AJ37" s="44">
        <f t="shared" si="4"/>
        <v>43</v>
      </c>
    </row>
    <row r="38" s="44" customFormat="1" ht="38" customHeight="1" spans="1:36">
      <c r="A38" s="55"/>
      <c r="B38" s="55"/>
      <c r="C38" s="56" t="s">
        <v>209</v>
      </c>
      <c r="D38" s="55"/>
      <c r="E38" s="59"/>
      <c r="F38" s="59"/>
      <c r="G38" s="55"/>
      <c r="H38" s="59"/>
      <c r="I38" s="37"/>
      <c r="J38" s="37"/>
      <c r="K38" s="63"/>
      <c r="L38" s="63"/>
      <c r="M38" s="63"/>
      <c r="N38" s="66">
        <v>57</v>
      </c>
      <c r="O38" s="66">
        <v>51</v>
      </c>
      <c r="P38" s="66">
        <v>43</v>
      </c>
      <c r="Q38" s="55"/>
      <c r="R38" s="55"/>
      <c r="S38" s="74"/>
      <c r="T38" s="63"/>
      <c r="U38" s="59"/>
      <c r="V38" s="76" t="s">
        <v>217</v>
      </c>
      <c r="W38" s="76">
        <v>310702017</v>
      </c>
      <c r="X38" s="77" t="s">
        <v>218</v>
      </c>
      <c r="Y38" s="77"/>
      <c r="Z38" s="77"/>
      <c r="AA38" s="77" t="s">
        <v>54</v>
      </c>
      <c r="AB38" s="77" t="s">
        <v>157</v>
      </c>
      <c r="AC38" s="88">
        <v>57.5</v>
      </c>
      <c r="AD38" s="88">
        <v>50</v>
      </c>
      <c r="AE38" s="88">
        <v>42.5</v>
      </c>
      <c r="AF38" s="44">
        <f t="shared" si="0"/>
        <v>0</v>
      </c>
      <c r="AG38" s="44" t="str">
        <f t="shared" si="1"/>
        <v>心脏电除颤/电复律费</v>
      </c>
      <c r="AH38" s="44">
        <f t="shared" si="2"/>
        <v>57</v>
      </c>
      <c r="AI38" s="44">
        <f t="shared" si="3"/>
        <v>51</v>
      </c>
      <c r="AJ38" s="44">
        <f t="shared" si="4"/>
        <v>43</v>
      </c>
    </row>
    <row r="39" s="44" customFormat="1" ht="38" customHeight="1" spans="1:36">
      <c r="A39" s="55"/>
      <c r="B39" s="55"/>
      <c r="C39" s="56" t="s">
        <v>209</v>
      </c>
      <c r="D39" s="55"/>
      <c r="E39" s="59"/>
      <c r="F39" s="59"/>
      <c r="G39" s="55"/>
      <c r="H39" s="59"/>
      <c r="I39" s="37"/>
      <c r="J39" s="37"/>
      <c r="K39" s="63"/>
      <c r="L39" s="63"/>
      <c r="M39" s="63"/>
      <c r="N39" s="66">
        <v>57</v>
      </c>
      <c r="O39" s="66">
        <v>51</v>
      </c>
      <c r="P39" s="66">
        <v>43</v>
      </c>
      <c r="Q39" s="55"/>
      <c r="R39" s="55"/>
      <c r="S39" s="74"/>
      <c r="T39" s="63"/>
      <c r="U39" s="59"/>
      <c r="V39" s="76" t="s">
        <v>219</v>
      </c>
      <c r="W39" s="76">
        <v>310702018</v>
      </c>
      <c r="X39" s="77" t="s">
        <v>220</v>
      </c>
      <c r="Y39" s="77" t="s">
        <v>221</v>
      </c>
      <c r="Z39" s="77" t="s">
        <v>222</v>
      </c>
      <c r="AA39" s="77" t="s">
        <v>54</v>
      </c>
      <c r="AB39" s="77" t="s">
        <v>157</v>
      </c>
      <c r="AC39" s="88">
        <v>57.5</v>
      </c>
      <c r="AD39" s="88">
        <v>50</v>
      </c>
      <c r="AE39" s="88">
        <v>42.5</v>
      </c>
      <c r="AF39" s="44">
        <f t="shared" si="0"/>
        <v>0</v>
      </c>
      <c r="AG39" s="44" t="str">
        <f t="shared" si="1"/>
        <v>心脏电除颤/电复律费</v>
      </c>
      <c r="AH39" s="44">
        <f t="shared" si="2"/>
        <v>57</v>
      </c>
      <c r="AI39" s="44">
        <f t="shared" si="3"/>
        <v>51</v>
      </c>
      <c r="AJ39" s="44">
        <f t="shared" si="4"/>
        <v>43</v>
      </c>
    </row>
    <row r="40" s="44" customFormat="1" ht="27" customHeight="1" spans="1:36">
      <c r="A40" s="55">
        <v>14</v>
      </c>
      <c r="B40" s="57" t="s">
        <v>223</v>
      </c>
      <c r="C40" s="58" t="s">
        <v>224</v>
      </c>
      <c r="D40" s="57" t="s">
        <v>36</v>
      </c>
      <c r="E40" s="60" t="s">
        <v>225</v>
      </c>
      <c r="F40" s="60" t="s">
        <v>226</v>
      </c>
      <c r="G40" s="57" t="s">
        <v>39</v>
      </c>
      <c r="H40" s="60" t="s">
        <v>40</v>
      </c>
      <c r="I40" s="30">
        <v>15</v>
      </c>
      <c r="J40" s="30">
        <v>14</v>
      </c>
      <c r="K40" s="63">
        <v>19.3466573891666</v>
      </c>
      <c r="L40" s="63">
        <v>17.5045779325974</v>
      </c>
      <c r="M40" s="63">
        <v>12.8</v>
      </c>
      <c r="N40" s="67">
        <v>15</v>
      </c>
      <c r="O40" s="67">
        <v>14</v>
      </c>
      <c r="P40" s="67">
        <v>13</v>
      </c>
      <c r="Q40" s="55" t="s">
        <v>41</v>
      </c>
      <c r="R40" s="55" t="s">
        <v>40</v>
      </c>
      <c r="S40" s="74" t="s">
        <v>40</v>
      </c>
      <c r="T40" s="63" t="s">
        <v>115</v>
      </c>
      <c r="U40" s="59" t="s">
        <v>227</v>
      </c>
      <c r="V40" s="76" t="s">
        <v>228</v>
      </c>
      <c r="W40" s="83">
        <v>310702001</v>
      </c>
      <c r="X40" s="77" t="s">
        <v>229</v>
      </c>
      <c r="Y40" s="77" t="s">
        <v>230</v>
      </c>
      <c r="Z40" s="77" t="s">
        <v>231</v>
      </c>
      <c r="AA40" s="77" t="s">
        <v>54</v>
      </c>
      <c r="AB40" s="77" t="s">
        <v>232</v>
      </c>
      <c r="AC40" s="88">
        <v>115</v>
      </c>
      <c r="AD40" s="88">
        <v>100</v>
      </c>
      <c r="AE40" s="88">
        <v>85</v>
      </c>
      <c r="AF40" s="44">
        <f t="shared" si="0"/>
        <v>0</v>
      </c>
      <c r="AG40" s="44" t="str">
        <f t="shared" si="1"/>
        <v>有创血流动力学监测费</v>
      </c>
      <c r="AH40" s="44">
        <f t="shared" si="2"/>
        <v>15</v>
      </c>
      <c r="AI40" s="44">
        <f t="shared" si="3"/>
        <v>14</v>
      </c>
      <c r="AJ40" s="44">
        <f t="shared" si="4"/>
        <v>13</v>
      </c>
    </row>
    <row r="41" s="44" customFormat="1" ht="27" customHeight="1" spans="1:36">
      <c r="A41" s="55"/>
      <c r="B41" s="57"/>
      <c r="C41" s="58" t="s">
        <v>224</v>
      </c>
      <c r="D41" s="57"/>
      <c r="E41" s="60"/>
      <c r="F41" s="60"/>
      <c r="G41" s="57"/>
      <c r="H41" s="60"/>
      <c r="I41" s="37"/>
      <c r="J41" s="37"/>
      <c r="K41" s="63"/>
      <c r="L41" s="63"/>
      <c r="M41" s="63"/>
      <c r="N41" s="67">
        <v>15</v>
      </c>
      <c r="O41" s="67">
        <v>14</v>
      </c>
      <c r="P41" s="67">
        <v>13</v>
      </c>
      <c r="Q41" s="55"/>
      <c r="R41" s="55"/>
      <c r="S41" s="74"/>
      <c r="T41" s="63"/>
      <c r="U41" s="59"/>
      <c r="V41" s="81" t="s">
        <v>233</v>
      </c>
      <c r="W41" s="81">
        <v>31070200102</v>
      </c>
      <c r="X41" s="82" t="s">
        <v>234</v>
      </c>
      <c r="Y41" s="82"/>
      <c r="Z41" s="82"/>
      <c r="AA41" s="82" t="s">
        <v>39</v>
      </c>
      <c r="AB41" s="82" t="s">
        <v>235</v>
      </c>
      <c r="AC41" s="88">
        <v>40.3</v>
      </c>
      <c r="AD41" s="88">
        <v>35</v>
      </c>
      <c r="AE41" s="88">
        <v>30</v>
      </c>
      <c r="AF41" s="44">
        <f t="shared" si="0"/>
        <v>0</v>
      </c>
      <c r="AG41" s="44" t="str">
        <f t="shared" si="1"/>
        <v>有创血流动力学监测费</v>
      </c>
      <c r="AH41" s="44">
        <f t="shared" si="2"/>
        <v>15</v>
      </c>
      <c r="AI41" s="44">
        <f t="shared" si="3"/>
        <v>14</v>
      </c>
      <c r="AJ41" s="44">
        <f t="shared" si="4"/>
        <v>13</v>
      </c>
    </row>
    <row r="42" s="44" customFormat="1" ht="27" customHeight="1" spans="1:36">
      <c r="A42" s="55"/>
      <c r="B42" s="57"/>
      <c r="C42" s="58" t="s">
        <v>224</v>
      </c>
      <c r="D42" s="57"/>
      <c r="E42" s="60"/>
      <c r="F42" s="60"/>
      <c r="G42" s="57"/>
      <c r="H42" s="60"/>
      <c r="I42" s="37"/>
      <c r="J42" s="37"/>
      <c r="K42" s="63"/>
      <c r="L42" s="63"/>
      <c r="M42" s="63"/>
      <c r="N42" s="67">
        <v>15</v>
      </c>
      <c r="O42" s="67">
        <v>14</v>
      </c>
      <c r="P42" s="67">
        <v>13</v>
      </c>
      <c r="Q42" s="55"/>
      <c r="R42" s="55"/>
      <c r="S42" s="74"/>
      <c r="T42" s="63"/>
      <c r="U42" s="59"/>
      <c r="V42" s="81" t="s">
        <v>236</v>
      </c>
      <c r="W42" s="81">
        <v>310702002</v>
      </c>
      <c r="X42" s="82" t="s">
        <v>237</v>
      </c>
      <c r="Y42" s="82" t="s">
        <v>238</v>
      </c>
      <c r="Z42" s="82" t="s">
        <v>239</v>
      </c>
      <c r="AA42" s="82" t="s">
        <v>39</v>
      </c>
      <c r="AB42" s="82" t="s">
        <v>157</v>
      </c>
      <c r="AC42" s="88">
        <v>23</v>
      </c>
      <c r="AD42" s="88">
        <v>20</v>
      </c>
      <c r="AE42" s="88">
        <v>17</v>
      </c>
      <c r="AF42" s="44">
        <f t="shared" si="0"/>
        <v>0</v>
      </c>
      <c r="AG42" s="44" t="str">
        <f t="shared" si="1"/>
        <v>有创血流动力学监测费</v>
      </c>
      <c r="AH42" s="44">
        <f t="shared" si="2"/>
        <v>15</v>
      </c>
      <c r="AI42" s="44">
        <f t="shared" si="3"/>
        <v>14</v>
      </c>
      <c r="AJ42" s="44">
        <f t="shared" si="4"/>
        <v>13</v>
      </c>
    </row>
    <row r="43" s="44" customFormat="1" ht="27" customHeight="1" spans="1:36">
      <c r="A43" s="55"/>
      <c r="B43" s="57"/>
      <c r="C43" s="58" t="s">
        <v>224</v>
      </c>
      <c r="D43" s="57"/>
      <c r="E43" s="60"/>
      <c r="F43" s="60"/>
      <c r="G43" s="57"/>
      <c r="H43" s="60"/>
      <c r="I43" s="37"/>
      <c r="J43" s="37"/>
      <c r="K43" s="63"/>
      <c r="L43" s="63"/>
      <c r="M43" s="63"/>
      <c r="N43" s="67">
        <v>15</v>
      </c>
      <c r="O43" s="67">
        <v>14</v>
      </c>
      <c r="P43" s="67">
        <v>13</v>
      </c>
      <c r="Q43" s="55"/>
      <c r="R43" s="55"/>
      <c r="S43" s="74"/>
      <c r="T43" s="63"/>
      <c r="U43" s="59"/>
      <c r="V43" s="81" t="s">
        <v>240</v>
      </c>
      <c r="W43" s="81">
        <v>310701025</v>
      </c>
      <c r="X43" s="82" t="s">
        <v>241</v>
      </c>
      <c r="Y43" s="82"/>
      <c r="Z43" s="82" t="s">
        <v>242</v>
      </c>
      <c r="AA43" s="82" t="s">
        <v>39</v>
      </c>
      <c r="AB43" s="82" t="s">
        <v>40</v>
      </c>
      <c r="AC43" s="88">
        <v>17.3</v>
      </c>
      <c r="AD43" s="88">
        <v>15</v>
      </c>
      <c r="AE43" s="88">
        <v>12.8</v>
      </c>
      <c r="AF43" s="44">
        <f t="shared" si="0"/>
        <v>0</v>
      </c>
      <c r="AG43" s="44" t="str">
        <f t="shared" si="1"/>
        <v>有创血流动力学监测费</v>
      </c>
      <c r="AH43" s="44">
        <f t="shared" si="2"/>
        <v>15</v>
      </c>
      <c r="AI43" s="44">
        <f t="shared" si="3"/>
        <v>14</v>
      </c>
      <c r="AJ43" s="44">
        <f t="shared" si="4"/>
        <v>13</v>
      </c>
    </row>
    <row r="44" s="44" customFormat="1" ht="27" customHeight="1" spans="1:36">
      <c r="A44" s="55"/>
      <c r="B44" s="57"/>
      <c r="C44" s="58" t="s">
        <v>224</v>
      </c>
      <c r="D44" s="57"/>
      <c r="E44" s="60"/>
      <c r="F44" s="60"/>
      <c r="G44" s="57"/>
      <c r="H44" s="60"/>
      <c r="I44" s="37"/>
      <c r="J44" s="37"/>
      <c r="K44" s="63"/>
      <c r="L44" s="63"/>
      <c r="M44" s="63"/>
      <c r="N44" s="67">
        <v>15</v>
      </c>
      <c r="O44" s="67">
        <v>14</v>
      </c>
      <c r="P44" s="67">
        <v>13</v>
      </c>
      <c r="Q44" s="55"/>
      <c r="R44" s="55"/>
      <c r="S44" s="74"/>
      <c r="T44" s="63"/>
      <c r="U44" s="59"/>
      <c r="V44" s="76" t="s">
        <v>243</v>
      </c>
      <c r="W44" s="76">
        <v>310701023</v>
      </c>
      <c r="X44" s="77" t="s">
        <v>244</v>
      </c>
      <c r="Y44" s="77"/>
      <c r="Z44" s="77" t="s">
        <v>245</v>
      </c>
      <c r="AA44" s="77" t="s">
        <v>54</v>
      </c>
      <c r="AB44" s="77" t="s">
        <v>40</v>
      </c>
      <c r="AC44" s="88">
        <v>115</v>
      </c>
      <c r="AD44" s="88">
        <v>100</v>
      </c>
      <c r="AE44" s="88">
        <v>85</v>
      </c>
      <c r="AF44" s="44">
        <f t="shared" si="0"/>
        <v>0</v>
      </c>
      <c r="AG44" s="44" t="str">
        <f t="shared" si="1"/>
        <v>有创血流动力学监测费</v>
      </c>
      <c r="AH44" s="44">
        <f t="shared" si="2"/>
        <v>15</v>
      </c>
      <c r="AI44" s="44">
        <f t="shared" si="3"/>
        <v>14</v>
      </c>
      <c r="AJ44" s="44">
        <f t="shared" si="4"/>
        <v>13</v>
      </c>
    </row>
    <row r="45" s="44" customFormat="1" ht="25" customHeight="1" spans="1:36">
      <c r="A45" s="55">
        <v>15</v>
      </c>
      <c r="B45" s="55" t="s">
        <v>246</v>
      </c>
      <c r="C45" s="56" t="s">
        <v>247</v>
      </c>
      <c r="D45" s="55" t="s">
        <v>36</v>
      </c>
      <c r="E45" s="59" t="s">
        <v>248</v>
      </c>
      <c r="F45" s="59" t="s">
        <v>226</v>
      </c>
      <c r="G45" s="55" t="s">
        <v>249</v>
      </c>
      <c r="H45" s="59" t="s">
        <v>250</v>
      </c>
      <c r="I45" s="30">
        <v>8</v>
      </c>
      <c r="J45" s="30">
        <v>7</v>
      </c>
      <c r="K45" s="63">
        <v>9.14826276393699</v>
      </c>
      <c r="L45" s="63">
        <v>8.80091217649555</v>
      </c>
      <c r="M45" s="63">
        <v>17</v>
      </c>
      <c r="N45" s="67">
        <v>8</v>
      </c>
      <c r="O45" s="67">
        <v>7</v>
      </c>
      <c r="P45" s="67">
        <v>6</v>
      </c>
      <c r="Q45" s="55" t="s">
        <v>41</v>
      </c>
      <c r="R45" s="55" t="s">
        <v>40</v>
      </c>
      <c r="S45" s="74" t="s">
        <v>40</v>
      </c>
      <c r="T45" s="63" t="s">
        <v>115</v>
      </c>
      <c r="U45" s="59" t="s">
        <v>251</v>
      </c>
      <c r="V45" s="76" t="s">
        <v>252</v>
      </c>
      <c r="W45" s="76">
        <v>310701013</v>
      </c>
      <c r="X45" s="77" t="s">
        <v>253</v>
      </c>
      <c r="Y45" s="77"/>
      <c r="Z45" s="77"/>
      <c r="AA45" s="77" t="s">
        <v>54</v>
      </c>
      <c r="AB45" s="77" t="s">
        <v>40</v>
      </c>
      <c r="AC45" s="88">
        <v>23</v>
      </c>
      <c r="AD45" s="88">
        <v>20</v>
      </c>
      <c r="AE45" s="88">
        <v>17</v>
      </c>
      <c r="AF45" s="44">
        <f t="shared" si="0"/>
        <v>0</v>
      </c>
      <c r="AG45" s="44" t="str">
        <f t="shared" si="1"/>
        <v>无创血流动力学检查费</v>
      </c>
      <c r="AH45" s="44">
        <f t="shared" si="2"/>
        <v>8</v>
      </c>
      <c r="AI45" s="44">
        <f t="shared" si="3"/>
        <v>7</v>
      </c>
      <c r="AJ45" s="44">
        <f t="shared" si="4"/>
        <v>6</v>
      </c>
    </row>
    <row r="46" s="44" customFormat="1" ht="25" customHeight="1" spans="1:36">
      <c r="A46" s="55"/>
      <c r="B46" s="55"/>
      <c r="C46" s="56" t="s">
        <v>247</v>
      </c>
      <c r="D46" s="55"/>
      <c r="E46" s="59"/>
      <c r="F46" s="59"/>
      <c r="G46" s="55"/>
      <c r="H46" s="59"/>
      <c r="I46" s="37"/>
      <c r="J46" s="37"/>
      <c r="K46" s="63"/>
      <c r="L46" s="63"/>
      <c r="M46" s="63"/>
      <c r="N46" s="67">
        <v>8</v>
      </c>
      <c r="O46" s="67">
        <v>7</v>
      </c>
      <c r="P46" s="67">
        <v>6</v>
      </c>
      <c r="Q46" s="55"/>
      <c r="R46" s="55"/>
      <c r="S46" s="74"/>
      <c r="T46" s="63"/>
      <c r="U46" s="59"/>
      <c r="V46" s="76" t="s">
        <v>254</v>
      </c>
      <c r="W46" s="76">
        <v>310701014</v>
      </c>
      <c r="X46" s="77" t="s">
        <v>255</v>
      </c>
      <c r="Y46" s="77"/>
      <c r="Z46" s="77"/>
      <c r="AA46" s="77" t="s">
        <v>54</v>
      </c>
      <c r="AB46" s="85" t="s">
        <v>256</v>
      </c>
      <c r="AC46" s="88">
        <v>17.3</v>
      </c>
      <c r="AD46" s="88">
        <v>15</v>
      </c>
      <c r="AE46" s="88">
        <v>12.8</v>
      </c>
      <c r="AF46" s="44">
        <f t="shared" si="0"/>
        <v>0</v>
      </c>
      <c r="AG46" s="44" t="str">
        <f t="shared" si="1"/>
        <v>无创血流动力学检查费</v>
      </c>
      <c r="AH46" s="44">
        <f t="shared" si="2"/>
        <v>8</v>
      </c>
      <c r="AI46" s="44">
        <f t="shared" si="3"/>
        <v>7</v>
      </c>
      <c r="AJ46" s="44">
        <f t="shared" si="4"/>
        <v>6</v>
      </c>
    </row>
    <row r="47" s="44" customFormat="1" ht="25" customHeight="1" spans="1:36">
      <c r="A47" s="55"/>
      <c r="B47" s="55"/>
      <c r="C47" s="56" t="s">
        <v>247</v>
      </c>
      <c r="D47" s="55"/>
      <c r="E47" s="59"/>
      <c r="F47" s="59"/>
      <c r="G47" s="55"/>
      <c r="H47" s="59"/>
      <c r="I47" s="37"/>
      <c r="J47" s="37"/>
      <c r="K47" s="63"/>
      <c r="L47" s="63"/>
      <c r="M47" s="63"/>
      <c r="N47" s="67">
        <v>8</v>
      </c>
      <c r="O47" s="67">
        <v>7</v>
      </c>
      <c r="P47" s="67">
        <v>6</v>
      </c>
      <c r="Q47" s="55"/>
      <c r="R47" s="55"/>
      <c r="S47" s="74"/>
      <c r="T47" s="63"/>
      <c r="U47" s="59"/>
      <c r="V47" s="76" t="s">
        <v>257</v>
      </c>
      <c r="W47" s="76">
        <v>31070101401</v>
      </c>
      <c r="X47" s="77" t="s">
        <v>258</v>
      </c>
      <c r="Y47" s="77"/>
      <c r="Z47" s="77"/>
      <c r="AA47" s="77" t="s">
        <v>54</v>
      </c>
      <c r="AB47" s="77" t="s">
        <v>40</v>
      </c>
      <c r="AC47" s="88">
        <v>115</v>
      </c>
      <c r="AD47" s="88">
        <v>100</v>
      </c>
      <c r="AE47" s="88">
        <v>85</v>
      </c>
      <c r="AF47" s="44">
        <f t="shared" si="0"/>
        <v>0</v>
      </c>
      <c r="AG47" s="44" t="str">
        <f t="shared" si="1"/>
        <v>无创血流动力学检查费</v>
      </c>
      <c r="AH47" s="44">
        <f t="shared" si="2"/>
        <v>8</v>
      </c>
      <c r="AI47" s="44">
        <f t="shared" si="3"/>
        <v>7</v>
      </c>
      <c r="AJ47" s="44">
        <f t="shared" si="4"/>
        <v>6</v>
      </c>
    </row>
    <row r="48" s="44" customFormat="1" ht="25" customHeight="1" spans="1:36">
      <c r="A48" s="55"/>
      <c r="B48" s="55"/>
      <c r="C48" s="56" t="s">
        <v>247</v>
      </c>
      <c r="D48" s="55"/>
      <c r="E48" s="59"/>
      <c r="F48" s="59"/>
      <c r="G48" s="55"/>
      <c r="H48" s="59"/>
      <c r="I48" s="37"/>
      <c r="J48" s="37"/>
      <c r="K48" s="63"/>
      <c r="L48" s="63"/>
      <c r="M48" s="63"/>
      <c r="N48" s="67">
        <v>8</v>
      </c>
      <c r="O48" s="67">
        <v>7</v>
      </c>
      <c r="P48" s="67">
        <v>6</v>
      </c>
      <c r="Q48" s="55"/>
      <c r="R48" s="55"/>
      <c r="S48" s="74"/>
      <c r="T48" s="63"/>
      <c r="U48" s="59"/>
      <c r="V48" s="76" t="s">
        <v>259</v>
      </c>
      <c r="W48" s="76">
        <v>310701019</v>
      </c>
      <c r="X48" s="77" t="s">
        <v>260</v>
      </c>
      <c r="Y48" s="77"/>
      <c r="Z48" s="77"/>
      <c r="AA48" s="77" t="s">
        <v>54</v>
      </c>
      <c r="AB48" s="77" t="s">
        <v>40</v>
      </c>
      <c r="AC48" s="88"/>
      <c r="AD48" s="88"/>
      <c r="AE48" s="88"/>
      <c r="AF48" s="44">
        <f t="shared" si="0"/>
        <v>0</v>
      </c>
      <c r="AG48" s="44" t="str">
        <f t="shared" si="1"/>
        <v>无创血流动力学检查费</v>
      </c>
      <c r="AH48" s="44">
        <f t="shared" si="2"/>
        <v>8</v>
      </c>
      <c r="AI48" s="44">
        <f t="shared" si="3"/>
        <v>7</v>
      </c>
      <c r="AJ48" s="44">
        <f t="shared" si="4"/>
        <v>6</v>
      </c>
    </row>
    <row r="49" s="44" customFormat="1" ht="25" customHeight="1" spans="1:36">
      <c r="A49" s="55"/>
      <c r="B49" s="55"/>
      <c r="C49" s="56" t="s">
        <v>247</v>
      </c>
      <c r="D49" s="55"/>
      <c r="E49" s="59"/>
      <c r="F49" s="59"/>
      <c r="G49" s="55"/>
      <c r="H49" s="59"/>
      <c r="I49" s="37"/>
      <c r="J49" s="37"/>
      <c r="K49" s="63"/>
      <c r="L49" s="63"/>
      <c r="M49" s="63"/>
      <c r="N49" s="67">
        <v>8</v>
      </c>
      <c r="O49" s="67">
        <v>7</v>
      </c>
      <c r="P49" s="67">
        <v>6</v>
      </c>
      <c r="Q49" s="55"/>
      <c r="R49" s="55"/>
      <c r="S49" s="74"/>
      <c r="T49" s="63"/>
      <c r="U49" s="59"/>
      <c r="V49" s="76" t="s">
        <v>261</v>
      </c>
      <c r="W49" s="76">
        <v>310701020</v>
      </c>
      <c r="X49" s="77" t="s">
        <v>262</v>
      </c>
      <c r="Y49" s="77" t="s">
        <v>263</v>
      </c>
      <c r="Z49" s="77"/>
      <c r="AA49" s="77" t="s">
        <v>264</v>
      </c>
      <c r="AB49" s="77" t="s">
        <v>40</v>
      </c>
      <c r="AC49" s="88">
        <v>5.8</v>
      </c>
      <c r="AD49" s="88">
        <v>5</v>
      </c>
      <c r="AE49" s="88">
        <v>4.3</v>
      </c>
      <c r="AF49" s="44">
        <f t="shared" si="0"/>
        <v>0</v>
      </c>
      <c r="AG49" s="44" t="str">
        <f t="shared" si="1"/>
        <v>无创血流动力学检查费</v>
      </c>
      <c r="AH49" s="44">
        <f t="shared" si="2"/>
        <v>8</v>
      </c>
      <c r="AI49" s="44">
        <f t="shared" si="3"/>
        <v>7</v>
      </c>
      <c r="AJ49" s="44">
        <f t="shared" si="4"/>
        <v>6</v>
      </c>
    </row>
    <row r="50" s="44" customFormat="1" ht="25" customHeight="1" spans="1:36">
      <c r="A50" s="55"/>
      <c r="B50" s="55"/>
      <c r="C50" s="56" t="s">
        <v>247</v>
      </c>
      <c r="D50" s="55"/>
      <c r="E50" s="59"/>
      <c r="F50" s="59"/>
      <c r="G50" s="55"/>
      <c r="H50" s="59"/>
      <c r="I50" s="37"/>
      <c r="J50" s="37"/>
      <c r="K50" s="63"/>
      <c r="L50" s="63"/>
      <c r="M50" s="63"/>
      <c r="N50" s="67">
        <v>8</v>
      </c>
      <c r="O50" s="67">
        <v>7</v>
      </c>
      <c r="P50" s="67">
        <v>6</v>
      </c>
      <c r="Q50" s="55"/>
      <c r="R50" s="55"/>
      <c r="S50" s="74"/>
      <c r="T50" s="63"/>
      <c r="U50" s="59"/>
      <c r="V50" s="76" t="s">
        <v>265</v>
      </c>
      <c r="W50" s="76">
        <v>31070102001</v>
      </c>
      <c r="X50" s="77" t="s">
        <v>266</v>
      </c>
      <c r="Y50" s="77"/>
      <c r="Z50" s="77"/>
      <c r="AA50" s="77" t="s">
        <v>264</v>
      </c>
      <c r="AB50" s="77" t="s">
        <v>267</v>
      </c>
      <c r="AC50" s="88">
        <v>5.8</v>
      </c>
      <c r="AD50" s="88">
        <v>5</v>
      </c>
      <c r="AE50" s="88">
        <v>4.3</v>
      </c>
      <c r="AF50" s="44">
        <f t="shared" si="0"/>
        <v>0</v>
      </c>
      <c r="AG50" s="44" t="str">
        <f t="shared" si="1"/>
        <v>无创血流动力学检查费</v>
      </c>
      <c r="AH50" s="44">
        <f t="shared" si="2"/>
        <v>8</v>
      </c>
      <c r="AI50" s="44">
        <f t="shared" si="3"/>
        <v>7</v>
      </c>
      <c r="AJ50" s="44">
        <f t="shared" si="4"/>
        <v>6</v>
      </c>
    </row>
    <row r="51" s="44" customFormat="1" ht="25" customHeight="1" spans="1:36">
      <c r="A51" s="55"/>
      <c r="B51" s="55"/>
      <c r="C51" s="56" t="s">
        <v>247</v>
      </c>
      <c r="D51" s="55"/>
      <c r="E51" s="59"/>
      <c r="F51" s="59"/>
      <c r="G51" s="55"/>
      <c r="H51" s="59"/>
      <c r="I51" s="37"/>
      <c r="J51" s="37"/>
      <c r="K51" s="63"/>
      <c r="L51" s="63"/>
      <c r="M51" s="63"/>
      <c r="N51" s="67">
        <v>8</v>
      </c>
      <c r="O51" s="67">
        <v>7</v>
      </c>
      <c r="P51" s="67">
        <v>6</v>
      </c>
      <c r="Q51" s="55"/>
      <c r="R51" s="55"/>
      <c r="S51" s="74"/>
      <c r="T51" s="63"/>
      <c r="U51" s="59"/>
      <c r="V51" s="76" t="s">
        <v>268</v>
      </c>
      <c r="W51" s="76">
        <v>31070102002</v>
      </c>
      <c r="X51" s="77" t="s">
        <v>269</v>
      </c>
      <c r="Y51" s="77"/>
      <c r="Z51" s="77"/>
      <c r="AA51" s="77" t="s">
        <v>264</v>
      </c>
      <c r="AB51" s="77" t="s">
        <v>270</v>
      </c>
      <c r="AC51" s="88">
        <v>5.8</v>
      </c>
      <c r="AD51" s="88">
        <v>5</v>
      </c>
      <c r="AE51" s="88">
        <v>4.3</v>
      </c>
      <c r="AF51" s="44">
        <f t="shared" si="0"/>
        <v>0</v>
      </c>
      <c r="AG51" s="44" t="str">
        <f t="shared" si="1"/>
        <v>无创血流动力学检查费</v>
      </c>
      <c r="AH51" s="44">
        <f t="shared" si="2"/>
        <v>8</v>
      </c>
      <c r="AI51" s="44">
        <f t="shared" si="3"/>
        <v>7</v>
      </c>
      <c r="AJ51" s="44">
        <f t="shared" si="4"/>
        <v>6</v>
      </c>
    </row>
    <row r="52" s="44" customFormat="1" ht="62" customHeight="1" spans="1:36">
      <c r="A52" s="55">
        <v>16</v>
      </c>
      <c r="B52" s="55" t="s">
        <v>271</v>
      </c>
      <c r="C52" s="55" t="s">
        <v>272</v>
      </c>
      <c r="D52" s="55" t="s">
        <v>151</v>
      </c>
      <c r="E52" s="59" t="s">
        <v>273</v>
      </c>
      <c r="F52" s="59" t="s">
        <v>274</v>
      </c>
      <c r="G52" s="55" t="s">
        <v>54</v>
      </c>
      <c r="H52" s="59" t="s">
        <v>40</v>
      </c>
      <c r="I52" s="30">
        <v>66</v>
      </c>
      <c r="J52" s="30">
        <v>59</v>
      </c>
      <c r="K52" s="64">
        <v>69</v>
      </c>
      <c r="L52" s="64">
        <v>60</v>
      </c>
      <c r="M52" s="64">
        <v>51</v>
      </c>
      <c r="N52" s="70">
        <v>65</v>
      </c>
      <c r="O52" s="70">
        <v>58</v>
      </c>
      <c r="P52" s="70">
        <v>50</v>
      </c>
      <c r="Q52" s="55" t="s">
        <v>41</v>
      </c>
      <c r="R52" s="55" t="s">
        <v>40</v>
      </c>
      <c r="S52" s="74" t="s">
        <v>40</v>
      </c>
      <c r="T52" s="64" t="s">
        <v>115</v>
      </c>
      <c r="U52" s="59" t="s">
        <v>275</v>
      </c>
      <c r="V52" s="76" t="s">
        <v>276</v>
      </c>
      <c r="W52" s="76">
        <v>310702019</v>
      </c>
      <c r="X52" s="77" t="s">
        <v>277</v>
      </c>
      <c r="Y52" s="77"/>
      <c r="Z52" s="77"/>
      <c r="AA52" s="77" t="s">
        <v>54</v>
      </c>
      <c r="AB52" s="77" t="s">
        <v>157</v>
      </c>
      <c r="AC52" s="88">
        <v>69</v>
      </c>
      <c r="AD52" s="88">
        <v>60</v>
      </c>
      <c r="AE52" s="88">
        <v>51</v>
      </c>
      <c r="AF52" s="44">
        <f t="shared" si="0"/>
        <v>0</v>
      </c>
      <c r="AG52" s="44" t="str">
        <f t="shared" si="1"/>
        <v>体外反搏治疗费</v>
      </c>
      <c r="AH52" s="44">
        <f t="shared" si="2"/>
        <v>65</v>
      </c>
      <c r="AI52" s="44">
        <f t="shared" si="3"/>
        <v>58</v>
      </c>
      <c r="AJ52" s="44">
        <f t="shared" si="4"/>
        <v>50</v>
      </c>
    </row>
    <row r="53" s="44" customFormat="1" ht="38" customHeight="1" spans="1:36">
      <c r="A53" s="55">
        <v>17</v>
      </c>
      <c r="B53" s="55" t="s">
        <v>278</v>
      </c>
      <c r="C53" s="56" t="s">
        <v>279</v>
      </c>
      <c r="D53" s="55" t="s">
        <v>36</v>
      </c>
      <c r="E53" s="59" t="s">
        <v>280</v>
      </c>
      <c r="F53" s="59" t="s">
        <v>281</v>
      </c>
      <c r="G53" s="55" t="s">
        <v>54</v>
      </c>
      <c r="H53" s="59" t="s">
        <v>282</v>
      </c>
      <c r="I53" s="30">
        <v>45</v>
      </c>
      <c r="J53" s="30">
        <v>41</v>
      </c>
      <c r="K53" s="64">
        <v>51.8</v>
      </c>
      <c r="L53" s="64">
        <v>45</v>
      </c>
      <c r="M53" s="64">
        <v>38.3</v>
      </c>
      <c r="N53" s="71">
        <v>45</v>
      </c>
      <c r="O53" s="71">
        <v>41</v>
      </c>
      <c r="P53" s="71">
        <v>35</v>
      </c>
      <c r="Q53" s="55" t="s">
        <v>41</v>
      </c>
      <c r="R53" s="55" t="s">
        <v>40</v>
      </c>
      <c r="S53" s="74" t="s">
        <v>40</v>
      </c>
      <c r="T53" s="64" t="s">
        <v>115</v>
      </c>
      <c r="U53" s="59" t="s">
        <v>116</v>
      </c>
      <c r="V53" s="76" t="s">
        <v>283</v>
      </c>
      <c r="W53" s="76">
        <v>310702010</v>
      </c>
      <c r="X53" s="77" t="s">
        <v>284</v>
      </c>
      <c r="Y53" s="77"/>
      <c r="Z53" s="77"/>
      <c r="AA53" s="77" t="s">
        <v>54</v>
      </c>
      <c r="AB53" s="77" t="s">
        <v>157</v>
      </c>
      <c r="AC53" s="88">
        <v>51.8</v>
      </c>
      <c r="AD53" s="88">
        <v>45</v>
      </c>
      <c r="AE53" s="88">
        <v>38.3</v>
      </c>
      <c r="AF53" s="44">
        <f t="shared" si="0"/>
        <v>0</v>
      </c>
      <c r="AG53" s="44" t="str">
        <f t="shared" si="1"/>
        <v>心脏植入式装置适配费</v>
      </c>
      <c r="AH53" s="44">
        <f t="shared" si="2"/>
        <v>45</v>
      </c>
      <c r="AI53" s="44">
        <f t="shared" si="3"/>
        <v>41</v>
      </c>
      <c r="AJ53" s="44">
        <f t="shared" si="4"/>
        <v>35</v>
      </c>
    </row>
    <row r="54" s="44" customFormat="1" ht="38" customHeight="1" spans="1:36">
      <c r="A54" s="55"/>
      <c r="B54" s="55"/>
      <c r="C54" s="56" t="s">
        <v>279</v>
      </c>
      <c r="D54" s="55"/>
      <c r="E54" s="59"/>
      <c r="F54" s="59"/>
      <c r="G54" s="55"/>
      <c r="H54" s="59"/>
      <c r="I54" s="37"/>
      <c r="J54" s="37"/>
      <c r="K54" s="64"/>
      <c r="L54" s="64"/>
      <c r="M54" s="64"/>
      <c r="N54" s="71">
        <v>45</v>
      </c>
      <c r="O54" s="71">
        <v>41</v>
      </c>
      <c r="P54" s="71">
        <v>35</v>
      </c>
      <c r="Q54" s="55"/>
      <c r="R54" s="55"/>
      <c r="S54" s="74"/>
      <c r="T54" s="64"/>
      <c r="U54" s="59"/>
      <c r="V54" s="76" t="s">
        <v>285</v>
      </c>
      <c r="W54" s="76">
        <v>310702011</v>
      </c>
      <c r="X54" s="77" t="s">
        <v>286</v>
      </c>
      <c r="Y54" s="77" t="s">
        <v>287</v>
      </c>
      <c r="Z54" s="77"/>
      <c r="AA54" s="77" t="s">
        <v>54</v>
      </c>
      <c r="AB54" s="77" t="s">
        <v>157</v>
      </c>
      <c r="AC54" s="88">
        <v>51.8</v>
      </c>
      <c r="AD54" s="88">
        <v>45</v>
      </c>
      <c r="AE54" s="88">
        <v>38.3</v>
      </c>
      <c r="AF54" s="44">
        <f t="shared" si="0"/>
        <v>0</v>
      </c>
      <c r="AG54" s="44" t="str">
        <f t="shared" si="1"/>
        <v>心脏植入式装置适配费</v>
      </c>
      <c r="AH54" s="44">
        <f t="shared" si="2"/>
        <v>45</v>
      </c>
      <c r="AI54" s="44">
        <f t="shared" si="3"/>
        <v>41</v>
      </c>
      <c r="AJ54" s="44">
        <f t="shared" si="4"/>
        <v>35</v>
      </c>
    </row>
    <row r="55" s="44" customFormat="1" ht="38" customHeight="1" spans="1:36">
      <c r="A55" s="55"/>
      <c r="B55" s="55"/>
      <c r="C55" s="56" t="s">
        <v>279</v>
      </c>
      <c r="D55" s="55"/>
      <c r="E55" s="59"/>
      <c r="F55" s="59"/>
      <c r="G55" s="55"/>
      <c r="H55" s="59"/>
      <c r="I55" s="37"/>
      <c r="J55" s="37"/>
      <c r="K55" s="64"/>
      <c r="L55" s="64"/>
      <c r="M55" s="64"/>
      <c r="N55" s="71">
        <v>45</v>
      </c>
      <c r="O55" s="71">
        <v>41</v>
      </c>
      <c r="P55" s="71">
        <v>35</v>
      </c>
      <c r="Q55" s="55"/>
      <c r="R55" s="55"/>
      <c r="S55" s="74"/>
      <c r="T55" s="64"/>
      <c r="U55" s="59"/>
      <c r="V55" s="76" t="s">
        <v>288</v>
      </c>
      <c r="W55" s="76">
        <v>310702012</v>
      </c>
      <c r="X55" s="77" t="s">
        <v>289</v>
      </c>
      <c r="Y55" s="77"/>
      <c r="Z55" s="77"/>
      <c r="AA55" s="77" t="s">
        <v>54</v>
      </c>
      <c r="AB55" s="77" t="s">
        <v>157</v>
      </c>
      <c r="AC55" s="88">
        <v>51.8</v>
      </c>
      <c r="AD55" s="88">
        <v>45</v>
      </c>
      <c r="AE55" s="88">
        <v>38.3</v>
      </c>
      <c r="AF55" s="44">
        <f t="shared" si="0"/>
        <v>0</v>
      </c>
      <c r="AG55" s="44" t="str">
        <f t="shared" si="1"/>
        <v>心脏植入式装置适配费</v>
      </c>
      <c r="AH55" s="44">
        <f t="shared" si="2"/>
        <v>45</v>
      </c>
      <c r="AI55" s="44">
        <f t="shared" si="3"/>
        <v>41</v>
      </c>
      <c r="AJ55" s="44">
        <f t="shared" si="4"/>
        <v>35</v>
      </c>
    </row>
    <row r="56" s="44" customFormat="1" ht="38" customHeight="1" spans="1:36">
      <c r="A56" s="55">
        <v>18</v>
      </c>
      <c r="B56" s="55" t="s">
        <v>292</v>
      </c>
      <c r="C56" s="56" t="s">
        <v>293</v>
      </c>
      <c r="D56" s="55" t="s">
        <v>36</v>
      </c>
      <c r="E56" s="59" t="s">
        <v>294</v>
      </c>
      <c r="F56" s="59" t="s">
        <v>295</v>
      </c>
      <c r="G56" s="55" t="s">
        <v>54</v>
      </c>
      <c r="H56" s="59" t="s">
        <v>40</v>
      </c>
      <c r="I56" s="30">
        <v>3000</v>
      </c>
      <c r="J56" s="30">
        <v>2700</v>
      </c>
      <c r="K56" s="64">
        <v>3100</v>
      </c>
      <c r="L56" s="64">
        <v>2950</v>
      </c>
      <c r="M56" s="64">
        <v>2500</v>
      </c>
      <c r="N56" s="67">
        <v>2900</v>
      </c>
      <c r="O56" s="67">
        <v>2700</v>
      </c>
      <c r="P56" s="67">
        <v>2300</v>
      </c>
      <c r="Q56" s="55" t="s">
        <v>41</v>
      </c>
      <c r="R56" s="55" t="s">
        <v>40</v>
      </c>
      <c r="S56" s="74">
        <v>0.2</v>
      </c>
      <c r="T56" s="64" t="s">
        <v>296</v>
      </c>
      <c r="U56" s="59" t="s">
        <v>297</v>
      </c>
      <c r="V56" s="76" t="s">
        <v>298</v>
      </c>
      <c r="W56" s="76">
        <v>320500001</v>
      </c>
      <c r="X56" s="77" t="s">
        <v>299</v>
      </c>
      <c r="Y56" s="77"/>
      <c r="Z56" s="77"/>
      <c r="AA56" s="77" t="s">
        <v>54</v>
      </c>
      <c r="AB56" s="77" t="s">
        <v>300</v>
      </c>
      <c r="AC56" s="88">
        <v>3100</v>
      </c>
      <c r="AD56" s="88">
        <v>2950</v>
      </c>
      <c r="AE56" s="88">
        <v>2500</v>
      </c>
      <c r="AF56" s="44">
        <f t="shared" si="0"/>
        <v>0</v>
      </c>
      <c r="AG56" s="44" t="str">
        <f t="shared" si="1"/>
        <v>冠状动脉造影费</v>
      </c>
      <c r="AH56" s="44">
        <f t="shared" si="2"/>
        <v>2900</v>
      </c>
      <c r="AI56" s="44">
        <f t="shared" si="3"/>
        <v>2700</v>
      </c>
      <c r="AJ56" s="44">
        <f t="shared" si="4"/>
        <v>2300</v>
      </c>
    </row>
    <row r="57" s="44" customFormat="1" ht="38" customHeight="1" spans="1:36">
      <c r="A57" s="55"/>
      <c r="B57" s="55"/>
      <c r="C57" s="56" t="s">
        <v>293</v>
      </c>
      <c r="D57" s="55"/>
      <c r="E57" s="59"/>
      <c r="F57" s="59"/>
      <c r="G57" s="55"/>
      <c r="H57" s="59"/>
      <c r="I57" s="37"/>
      <c r="J57" s="37"/>
      <c r="K57" s="64"/>
      <c r="L57" s="64"/>
      <c r="M57" s="64"/>
      <c r="N57" s="67">
        <v>2900</v>
      </c>
      <c r="O57" s="67">
        <v>2700</v>
      </c>
      <c r="P57" s="67">
        <v>2300</v>
      </c>
      <c r="Q57" s="55"/>
      <c r="R57" s="55"/>
      <c r="S57" s="74"/>
      <c r="T57" s="64"/>
      <c r="U57" s="59"/>
      <c r="V57" s="76" t="s">
        <v>301</v>
      </c>
      <c r="W57" s="76">
        <v>320500010</v>
      </c>
      <c r="X57" s="77" t="s">
        <v>302</v>
      </c>
      <c r="Y57" s="77"/>
      <c r="Z57" s="77"/>
      <c r="AA57" s="77" t="s">
        <v>54</v>
      </c>
      <c r="AB57" s="77" t="s">
        <v>40</v>
      </c>
      <c r="AC57" s="88"/>
      <c r="AD57" s="88"/>
      <c r="AE57" s="88"/>
      <c r="AF57" s="44">
        <f t="shared" si="0"/>
        <v>0</v>
      </c>
      <c r="AG57" s="44" t="str">
        <f t="shared" si="1"/>
        <v>冠状动脉造影费</v>
      </c>
      <c r="AH57" s="44">
        <f t="shared" si="2"/>
        <v>2900</v>
      </c>
      <c r="AI57" s="44">
        <f t="shared" si="3"/>
        <v>2700</v>
      </c>
      <c r="AJ57" s="44">
        <f t="shared" si="4"/>
        <v>2300</v>
      </c>
    </row>
    <row r="58" s="44" customFormat="1" ht="38" customHeight="1" spans="1:36">
      <c r="A58" s="55" t="s">
        <v>55</v>
      </c>
      <c r="B58" s="55" t="s">
        <v>303</v>
      </c>
      <c r="C58" s="55" t="s">
        <v>304</v>
      </c>
      <c r="D58" s="55" t="s">
        <v>36</v>
      </c>
      <c r="E58" s="59" t="s">
        <v>40</v>
      </c>
      <c r="F58" s="59" t="s">
        <v>40</v>
      </c>
      <c r="G58" s="55" t="s">
        <v>54</v>
      </c>
      <c r="H58" s="59" t="s">
        <v>40</v>
      </c>
      <c r="I58" s="30">
        <v>900</v>
      </c>
      <c r="J58" s="30">
        <v>810</v>
      </c>
      <c r="K58" s="64">
        <v>930</v>
      </c>
      <c r="L58" s="64">
        <v>885</v>
      </c>
      <c r="M58" s="64">
        <v>750</v>
      </c>
      <c r="N58" s="68">
        <v>870</v>
      </c>
      <c r="O58" s="68">
        <v>810</v>
      </c>
      <c r="P58" s="68">
        <v>690</v>
      </c>
      <c r="Q58" s="55" t="s">
        <v>41</v>
      </c>
      <c r="R58" s="55" t="s">
        <v>40</v>
      </c>
      <c r="S58" s="74" t="s">
        <v>40</v>
      </c>
      <c r="T58" s="64"/>
      <c r="U58" s="59" t="s">
        <v>305</v>
      </c>
      <c r="V58" s="76" t="s">
        <v>306</v>
      </c>
      <c r="W58" s="76">
        <v>32050000102</v>
      </c>
      <c r="X58" s="77" t="s">
        <v>307</v>
      </c>
      <c r="Y58" s="77"/>
      <c r="Z58" s="77"/>
      <c r="AA58" s="77" t="s">
        <v>54</v>
      </c>
      <c r="AB58" s="77" t="s">
        <v>40</v>
      </c>
      <c r="AC58" s="88">
        <v>4030</v>
      </c>
      <c r="AD58" s="88">
        <v>3835</v>
      </c>
      <c r="AE58" s="88">
        <v>3250</v>
      </c>
      <c r="AF58" s="44">
        <f t="shared" si="0"/>
        <v>8</v>
      </c>
      <c r="AG58" s="44" t="str">
        <f t="shared" si="1"/>
        <v>冠状动脉造影费</v>
      </c>
      <c r="AH58" s="44">
        <f t="shared" si="2"/>
        <v>3770</v>
      </c>
      <c r="AI58" s="44">
        <f t="shared" si="3"/>
        <v>3510</v>
      </c>
      <c r="AJ58" s="44">
        <f t="shared" si="4"/>
        <v>2990</v>
      </c>
    </row>
    <row r="59" s="44" customFormat="1" ht="30" customHeight="1" spans="1:36">
      <c r="A59" s="55" t="s">
        <v>55</v>
      </c>
      <c r="B59" s="55" t="s">
        <v>308</v>
      </c>
      <c r="C59" s="56" t="s">
        <v>309</v>
      </c>
      <c r="D59" s="55" t="s">
        <v>36</v>
      </c>
      <c r="E59" s="59" t="s">
        <v>40</v>
      </c>
      <c r="F59" s="59" t="s">
        <v>40</v>
      </c>
      <c r="G59" s="55" t="s">
        <v>54</v>
      </c>
      <c r="H59" s="59" t="s">
        <v>40</v>
      </c>
      <c r="I59" s="30">
        <v>540</v>
      </c>
      <c r="J59" s="30">
        <v>486</v>
      </c>
      <c r="K59" s="64">
        <v>685</v>
      </c>
      <c r="L59" s="64">
        <v>685</v>
      </c>
      <c r="M59" s="64">
        <v>570</v>
      </c>
      <c r="N59" s="67">
        <v>520</v>
      </c>
      <c r="O59" s="67">
        <v>485</v>
      </c>
      <c r="P59" s="67">
        <v>415</v>
      </c>
      <c r="Q59" s="55" t="s">
        <v>41</v>
      </c>
      <c r="R59" s="55" t="s">
        <v>40</v>
      </c>
      <c r="S59" s="74">
        <v>0.2</v>
      </c>
      <c r="T59" s="64" t="s">
        <v>296</v>
      </c>
      <c r="U59" s="59" t="s">
        <v>297</v>
      </c>
      <c r="V59" s="76" t="s">
        <v>310</v>
      </c>
      <c r="W59" s="76">
        <v>31070202101</v>
      </c>
      <c r="X59" s="77" t="s">
        <v>311</v>
      </c>
      <c r="Y59" s="77"/>
      <c r="Z59" s="77"/>
      <c r="AA59" s="77" t="s">
        <v>54</v>
      </c>
      <c r="AB59" s="77" t="s">
        <v>312</v>
      </c>
      <c r="AC59" s="88">
        <v>1150</v>
      </c>
      <c r="AD59" s="88">
        <v>1000</v>
      </c>
      <c r="AE59" s="88">
        <v>850</v>
      </c>
      <c r="AF59" s="44">
        <f t="shared" si="0"/>
        <v>0</v>
      </c>
      <c r="AG59" s="44" t="str">
        <f t="shared" si="1"/>
        <v>冠状动脉造影费-左心室造影（加收）</v>
      </c>
      <c r="AH59" s="44">
        <f t="shared" si="2"/>
        <v>520</v>
      </c>
      <c r="AI59" s="44">
        <f t="shared" si="3"/>
        <v>485</v>
      </c>
      <c r="AJ59" s="44">
        <f t="shared" si="4"/>
        <v>415</v>
      </c>
    </row>
    <row r="60" s="44" customFormat="1" ht="30" customHeight="1" spans="1:36">
      <c r="A60" s="55"/>
      <c r="B60" s="55"/>
      <c r="C60" s="56" t="s">
        <v>309</v>
      </c>
      <c r="D60" s="55"/>
      <c r="E60" s="59"/>
      <c r="F60" s="59"/>
      <c r="G60" s="55"/>
      <c r="H60" s="59"/>
      <c r="I60" s="37"/>
      <c r="J60" s="37"/>
      <c r="K60" s="64"/>
      <c r="L60" s="64"/>
      <c r="M60" s="64"/>
      <c r="N60" s="67">
        <v>520</v>
      </c>
      <c r="O60" s="67">
        <v>485</v>
      </c>
      <c r="P60" s="67">
        <v>415</v>
      </c>
      <c r="Q60" s="55"/>
      <c r="R60" s="55"/>
      <c r="S60" s="74"/>
      <c r="T60" s="64"/>
      <c r="U60" s="59"/>
      <c r="V60" s="76" t="s">
        <v>313</v>
      </c>
      <c r="W60" s="76">
        <v>32050000101</v>
      </c>
      <c r="X60" s="77" t="s">
        <v>314</v>
      </c>
      <c r="Y60" s="77"/>
      <c r="Z60" s="77"/>
      <c r="AA60" s="77" t="s">
        <v>54</v>
      </c>
      <c r="AB60" s="77"/>
      <c r="AC60" s="88">
        <v>3585</v>
      </c>
      <c r="AD60" s="88">
        <v>3385</v>
      </c>
      <c r="AE60" s="88">
        <v>2870</v>
      </c>
      <c r="AF60" s="44">
        <f t="shared" si="0"/>
        <v>0</v>
      </c>
      <c r="AG60" s="44" t="str">
        <f t="shared" si="1"/>
        <v>冠状动脉造影费-左心室造影（加收）</v>
      </c>
      <c r="AH60" s="44">
        <f t="shared" si="2"/>
        <v>520</v>
      </c>
      <c r="AI60" s="44">
        <f t="shared" si="3"/>
        <v>485</v>
      </c>
      <c r="AJ60" s="44">
        <f t="shared" si="4"/>
        <v>415</v>
      </c>
    </row>
    <row r="61" s="44" customFormat="1" ht="30" customHeight="1" spans="1:36">
      <c r="A61" s="55"/>
      <c r="B61" s="55"/>
      <c r="C61" s="56" t="s">
        <v>309</v>
      </c>
      <c r="D61" s="55"/>
      <c r="E61" s="59"/>
      <c r="F61" s="59"/>
      <c r="G61" s="55"/>
      <c r="H61" s="59"/>
      <c r="I61" s="37"/>
      <c r="J61" s="37"/>
      <c r="K61" s="64"/>
      <c r="L61" s="64"/>
      <c r="M61" s="64"/>
      <c r="N61" s="67">
        <v>520</v>
      </c>
      <c r="O61" s="67">
        <v>485</v>
      </c>
      <c r="P61" s="67">
        <v>415</v>
      </c>
      <c r="Q61" s="55"/>
      <c r="R61" s="55"/>
      <c r="S61" s="74"/>
      <c r="T61" s="64"/>
      <c r="U61" s="59"/>
      <c r="V61" s="76" t="s">
        <v>315</v>
      </c>
      <c r="W61" s="76">
        <v>32050000103</v>
      </c>
      <c r="X61" s="77" t="s">
        <v>316</v>
      </c>
      <c r="Y61" s="77"/>
      <c r="Z61" s="77"/>
      <c r="AA61" s="77" t="s">
        <v>54</v>
      </c>
      <c r="AB61" s="77" t="s">
        <v>40</v>
      </c>
      <c r="AC61" s="88">
        <v>4515</v>
      </c>
      <c r="AD61" s="88">
        <v>4270</v>
      </c>
      <c r="AE61" s="88">
        <v>3620</v>
      </c>
      <c r="AF61" s="44">
        <f t="shared" si="0"/>
        <v>0</v>
      </c>
      <c r="AG61" s="44" t="str">
        <f t="shared" si="1"/>
        <v>冠状动脉造影费-左心室造影（加收）</v>
      </c>
      <c r="AH61" s="44">
        <f t="shared" si="2"/>
        <v>520</v>
      </c>
      <c r="AI61" s="44">
        <f t="shared" si="3"/>
        <v>485</v>
      </c>
      <c r="AJ61" s="44">
        <f t="shared" si="4"/>
        <v>415</v>
      </c>
    </row>
    <row r="62" s="44" customFormat="1" ht="25" customHeight="1" spans="1:36">
      <c r="A62" s="55">
        <v>19</v>
      </c>
      <c r="B62" s="55" t="s">
        <v>317</v>
      </c>
      <c r="C62" s="56" t="s">
        <v>318</v>
      </c>
      <c r="D62" s="55" t="s">
        <v>36</v>
      </c>
      <c r="E62" s="59" t="s">
        <v>319</v>
      </c>
      <c r="F62" s="59" t="s">
        <v>320</v>
      </c>
      <c r="G62" s="55" t="s">
        <v>54</v>
      </c>
      <c r="H62" s="59" t="s">
        <v>321</v>
      </c>
      <c r="I62" s="30">
        <v>1200</v>
      </c>
      <c r="J62" s="30">
        <v>1080</v>
      </c>
      <c r="K62" s="63">
        <v>1153.30163043478</v>
      </c>
      <c r="L62" s="63">
        <v>1034.23076923077</v>
      </c>
      <c r="M62" s="63" t="e">
        <v>#DIV/0!</v>
      </c>
      <c r="N62" s="66">
        <v>1155</v>
      </c>
      <c r="O62" s="66">
        <v>1035</v>
      </c>
      <c r="P62" s="66">
        <v>880</v>
      </c>
      <c r="Q62" s="55" t="s">
        <v>41</v>
      </c>
      <c r="R62" s="55" t="s">
        <v>40</v>
      </c>
      <c r="S62" s="74">
        <v>0.2</v>
      </c>
      <c r="T62" s="63" t="s">
        <v>42</v>
      </c>
      <c r="U62" s="59" t="s">
        <v>322</v>
      </c>
      <c r="V62" s="76" t="s">
        <v>323</v>
      </c>
      <c r="W62" s="76">
        <v>320500007</v>
      </c>
      <c r="X62" s="77" t="s">
        <v>324</v>
      </c>
      <c r="Y62" s="77" t="s">
        <v>325</v>
      </c>
      <c r="Z62" s="77"/>
      <c r="AA62" s="77" t="s">
        <v>54</v>
      </c>
      <c r="AB62" s="77" t="s">
        <v>326</v>
      </c>
      <c r="AC62" s="88">
        <v>4050</v>
      </c>
      <c r="AD62" s="88">
        <v>3650</v>
      </c>
      <c r="AE62" s="88">
        <v>3100</v>
      </c>
      <c r="AF62" s="44">
        <f t="shared" si="0"/>
        <v>0</v>
      </c>
      <c r="AG62" s="44" t="str">
        <f t="shared" si="1"/>
        <v>冠状动脉腔内影像学检查费</v>
      </c>
      <c r="AH62" s="44">
        <f t="shared" si="2"/>
        <v>1155</v>
      </c>
      <c r="AI62" s="44">
        <f t="shared" si="3"/>
        <v>1035</v>
      </c>
      <c r="AJ62" s="44">
        <f t="shared" si="4"/>
        <v>880</v>
      </c>
    </row>
    <row r="63" s="44" customFormat="1" ht="25" customHeight="1" spans="1:36">
      <c r="A63" s="55"/>
      <c r="B63" s="55"/>
      <c r="C63" s="56" t="s">
        <v>318</v>
      </c>
      <c r="D63" s="55"/>
      <c r="E63" s="59"/>
      <c r="F63" s="59"/>
      <c r="G63" s="55"/>
      <c r="H63" s="59"/>
      <c r="I63" s="37"/>
      <c r="J63" s="37"/>
      <c r="K63" s="63"/>
      <c r="L63" s="63"/>
      <c r="M63" s="63"/>
      <c r="N63" s="66">
        <v>1155</v>
      </c>
      <c r="O63" s="66">
        <v>1035</v>
      </c>
      <c r="P63" s="66">
        <v>880</v>
      </c>
      <c r="Q63" s="55"/>
      <c r="R63" s="55"/>
      <c r="S63" s="74"/>
      <c r="T63" s="63"/>
      <c r="U63" s="59"/>
      <c r="V63" s="76" t="s">
        <v>327</v>
      </c>
      <c r="W63" s="76">
        <v>32050000701</v>
      </c>
      <c r="X63" s="77" t="s">
        <v>328</v>
      </c>
      <c r="Y63" s="77"/>
      <c r="Z63" s="77"/>
      <c r="AA63" s="77" t="s">
        <v>54</v>
      </c>
      <c r="AB63" s="77" t="s">
        <v>329</v>
      </c>
      <c r="AC63" s="88">
        <v>4860</v>
      </c>
      <c r="AD63" s="88">
        <v>4380</v>
      </c>
      <c r="AE63" s="88">
        <v>3720</v>
      </c>
      <c r="AF63" s="44">
        <f t="shared" si="0"/>
        <v>0</v>
      </c>
      <c r="AG63" s="44" t="str">
        <f t="shared" si="1"/>
        <v>冠状动脉腔内影像学检查费</v>
      </c>
      <c r="AH63" s="44">
        <f t="shared" si="2"/>
        <v>1155</v>
      </c>
      <c r="AI63" s="44">
        <f t="shared" si="3"/>
        <v>1035</v>
      </c>
      <c r="AJ63" s="44">
        <f t="shared" si="4"/>
        <v>880</v>
      </c>
    </row>
    <row r="64" s="44" customFormat="1" ht="25" customHeight="1" spans="1:36">
      <c r="A64" s="55"/>
      <c r="B64" s="55"/>
      <c r="C64" s="56" t="s">
        <v>318</v>
      </c>
      <c r="D64" s="55"/>
      <c r="E64" s="59"/>
      <c r="F64" s="59"/>
      <c r="G64" s="55"/>
      <c r="H64" s="59"/>
      <c r="I64" s="37"/>
      <c r="J64" s="37"/>
      <c r="K64" s="63"/>
      <c r="L64" s="63"/>
      <c r="M64" s="63"/>
      <c r="N64" s="66">
        <v>1155</v>
      </c>
      <c r="O64" s="66">
        <v>1035</v>
      </c>
      <c r="P64" s="66">
        <v>880</v>
      </c>
      <c r="Q64" s="55"/>
      <c r="R64" s="55"/>
      <c r="S64" s="74"/>
      <c r="T64" s="63"/>
      <c r="U64" s="59"/>
      <c r="V64" s="76" t="s">
        <v>330</v>
      </c>
      <c r="W64" s="76">
        <v>32050000702</v>
      </c>
      <c r="X64" s="77" t="s">
        <v>331</v>
      </c>
      <c r="Y64" s="77"/>
      <c r="Z64" s="77"/>
      <c r="AA64" s="77" t="s">
        <v>54</v>
      </c>
      <c r="AB64" s="77" t="s">
        <v>40</v>
      </c>
      <c r="AC64" s="88">
        <v>5265</v>
      </c>
      <c r="AD64" s="88">
        <v>4745</v>
      </c>
      <c r="AE64" s="88">
        <v>4030</v>
      </c>
      <c r="AF64" s="44">
        <f t="shared" si="0"/>
        <v>0</v>
      </c>
      <c r="AG64" s="44" t="str">
        <f t="shared" si="1"/>
        <v>冠状动脉腔内影像学检查费</v>
      </c>
      <c r="AH64" s="44">
        <f t="shared" si="2"/>
        <v>1155</v>
      </c>
      <c r="AI64" s="44">
        <f t="shared" si="3"/>
        <v>1035</v>
      </c>
      <c r="AJ64" s="44">
        <f t="shared" si="4"/>
        <v>880</v>
      </c>
    </row>
    <row r="65" s="44" customFormat="1" ht="25" customHeight="1" spans="1:36">
      <c r="A65" s="55"/>
      <c r="B65" s="55"/>
      <c r="C65" s="56" t="s">
        <v>318</v>
      </c>
      <c r="D65" s="55"/>
      <c r="E65" s="59"/>
      <c r="F65" s="59"/>
      <c r="G65" s="55"/>
      <c r="H65" s="59"/>
      <c r="I65" s="37"/>
      <c r="J65" s="37"/>
      <c r="K65" s="63"/>
      <c r="L65" s="63"/>
      <c r="M65" s="63"/>
      <c r="N65" s="66">
        <v>1155</v>
      </c>
      <c r="O65" s="66">
        <v>1035</v>
      </c>
      <c r="P65" s="66">
        <v>880</v>
      </c>
      <c r="Q65" s="55"/>
      <c r="R65" s="55"/>
      <c r="S65" s="74"/>
      <c r="T65" s="63"/>
      <c r="U65" s="59"/>
      <c r="V65" s="76" t="s">
        <v>332</v>
      </c>
      <c r="W65" s="76">
        <v>32050000703</v>
      </c>
      <c r="X65" s="77" t="s">
        <v>333</v>
      </c>
      <c r="Y65" s="77"/>
      <c r="Z65" s="77"/>
      <c r="AA65" s="77" t="s">
        <v>54</v>
      </c>
      <c r="AB65" s="77" t="s">
        <v>329</v>
      </c>
      <c r="AC65" s="88">
        <v>6320</v>
      </c>
      <c r="AD65" s="88">
        <v>5695</v>
      </c>
      <c r="AE65" s="88">
        <v>4835</v>
      </c>
      <c r="AF65" s="44">
        <f t="shared" si="0"/>
        <v>0</v>
      </c>
      <c r="AG65" s="44" t="str">
        <f t="shared" si="1"/>
        <v>冠状动脉腔内影像学检查费</v>
      </c>
      <c r="AH65" s="44">
        <f t="shared" si="2"/>
        <v>1155</v>
      </c>
      <c r="AI65" s="44">
        <f t="shared" si="3"/>
        <v>1035</v>
      </c>
      <c r="AJ65" s="44">
        <f t="shared" si="4"/>
        <v>880</v>
      </c>
    </row>
    <row r="66" s="44" customFormat="1" ht="25" customHeight="1" spans="1:36">
      <c r="A66" s="55"/>
      <c r="B66" s="55"/>
      <c r="C66" s="56" t="s">
        <v>318</v>
      </c>
      <c r="D66" s="55"/>
      <c r="E66" s="59"/>
      <c r="F66" s="59"/>
      <c r="G66" s="55"/>
      <c r="H66" s="59"/>
      <c r="I66" s="37"/>
      <c r="J66" s="37"/>
      <c r="K66" s="63"/>
      <c r="L66" s="63"/>
      <c r="M66" s="63"/>
      <c r="N66" s="66">
        <v>1155</v>
      </c>
      <c r="O66" s="66">
        <v>1035</v>
      </c>
      <c r="P66" s="66">
        <v>880</v>
      </c>
      <c r="Q66" s="55"/>
      <c r="R66" s="55"/>
      <c r="S66" s="74"/>
      <c r="T66" s="63"/>
      <c r="U66" s="59"/>
      <c r="V66" s="76" t="s">
        <v>334</v>
      </c>
      <c r="W66" s="76">
        <v>320500008</v>
      </c>
      <c r="X66" s="77" t="s">
        <v>335</v>
      </c>
      <c r="Y66" s="77" t="s">
        <v>325</v>
      </c>
      <c r="Z66" s="77"/>
      <c r="AA66" s="77" t="s">
        <v>54</v>
      </c>
      <c r="AB66" s="77" t="s">
        <v>40</v>
      </c>
      <c r="AC66" s="88">
        <v>3890</v>
      </c>
      <c r="AD66" s="88">
        <v>3500</v>
      </c>
      <c r="AE66" s="88">
        <v>2980</v>
      </c>
      <c r="AF66" s="44">
        <f t="shared" si="0"/>
        <v>0</v>
      </c>
      <c r="AG66" s="44" t="str">
        <f t="shared" si="1"/>
        <v>冠状动脉腔内影像学检查费</v>
      </c>
      <c r="AH66" s="44">
        <f t="shared" si="2"/>
        <v>1155</v>
      </c>
      <c r="AI66" s="44">
        <f t="shared" si="3"/>
        <v>1035</v>
      </c>
      <c r="AJ66" s="44">
        <f t="shared" si="4"/>
        <v>880</v>
      </c>
    </row>
    <row r="67" s="44" customFormat="1" ht="25" customHeight="1" spans="1:36">
      <c r="A67" s="55"/>
      <c r="B67" s="55"/>
      <c r="C67" s="56" t="s">
        <v>318</v>
      </c>
      <c r="D67" s="55"/>
      <c r="E67" s="59"/>
      <c r="F67" s="59"/>
      <c r="G67" s="55"/>
      <c r="H67" s="59"/>
      <c r="I67" s="37"/>
      <c r="J67" s="37"/>
      <c r="K67" s="63"/>
      <c r="L67" s="63"/>
      <c r="M67" s="63"/>
      <c r="N67" s="66">
        <v>1155</v>
      </c>
      <c r="O67" s="66">
        <v>1035</v>
      </c>
      <c r="P67" s="66">
        <v>880</v>
      </c>
      <c r="Q67" s="55"/>
      <c r="R67" s="55"/>
      <c r="S67" s="74"/>
      <c r="T67" s="63"/>
      <c r="U67" s="59"/>
      <c r="V67" s="76" t="s">
        <v>336</v>
      </c>
      <c r="W67" s="76">
        <v>32050000801</v>
      </c>
      <c r="X67" s="77" t="s">
        <v>337</v>
      </c>
      <c r="Y67" s="77"/>
      <c r="Z67" s="77"/>
      <c r="AA67" s="77" t="s">
        <v>54</v>
      </c>
      <c r="AB67" s="77" t="s">
        <v>40</v>
      </c>
      <c r="AC67" s="88">
        <v>5055</v>
      </c>
      <c r="AD67" s="88">
        <v>4550</v>
      </c>
      <c r="AE67" s="88">
        <v>3870</v>
      </c>
      <c r="AF67" s="44">
        <f t="shared" si="0"/>
        <v>0</v>
      </c>
      <c r="AG67" s="44" t="str">
        <f t="shared" si="1"/>
        <v>冠状动脉腔内影像学检查费</v>
      </c>
      <c r="AH67" s="44">
        <f t="shared" si="2"/>
        <v>1155</v>
      </c>
      <c r="AI67" s="44">
        <f t="shared" si="3"/>
        <v>1035</v>
      </c>
      <c r="AJ67" s="44">
        <f t="shared" si="4"/>
        <v>880</v>
      </c>
    </row>
    <row r="68" s="44" customFormat="1" ht="55" customHeight="1" spans="1:36">
      <c r="A68" s="55">
        <v>20</v>
      </c>
      <c r="B68" s="55" t="s">
        <v>338</v>
      </c>
      <c r="C68" s="56" t="s">
        <v>339</v>
      </c>
      <c r="D68" s="55" t="s">
        <v>36</v>
      </c>
      <c r="E68" s="59" t="s">
        <v>340</v>
      </c>
      <c r="F68" s="59" t="s">
        <v>341</v>
      </c>
      <c r="G68" s="55" t="s">
        <v>54</v>
      </c>
      <c r="H68" s="59" t="s">
        <v>342</v>
      </c>
      <c r="I68" s="30">
        <v>1000</v>
      </c>
      <c r="J68" s="30">
        <v>900</v>
      </c>
      <c r="K68" s="64">
        <v>900</v>
      </c>
      <c r="L68" s="64">
        <v>810</v>
      </c>
      <c r="M68" s="64">
        <v>690</v>
      </c>
      <c r="N68" s="66">
        <v>900</v>
      </c>
      <c r="O68" s="66">
        <v>810</v>
      </c>
      <c r="P68" s="66">
        <v>690</v>
      </c>
      <c r="Q68" s="55" t="s">
        <v>41</v>
      </c>
      <c r="R68" s="55" t="s">
        <v>40</v>
      </c>
      <c r="S68" s="74">
        <v>0.2</v>
      </c>
      <c r="T68" s="64" t="s">
        <v>183</v>
      </c>
      <c r="U68" s="59" t="s">
        <v>183</v>
      </c>
      <c r="V68" s="76" t="s">
        <v>343</v>
      </c>
      <c r="W68" s="76">
        <v>32050000104</v>
      </c>
      <c r="X68" s="77" t="s">
        <v>344</v>
      </c>
      <c r="Y68" s="77" t="s">
        <v>345</v>
      </c>
      <c r="Z68" s="77"/>
      <c r="AA68" s="77" t="s">
        <v>54</v>
      </c>
      <c r="AB68" s="77" t="s">
        <v>40</v>
      </c>
      <c r="AC68" s="88">
        <v>900</v>
      </c>
      <c r="AD68" s="88">
        <v>810</v>
      </c>
      <c r="AE68" s="88">
        <v>690</v>
      </c>
      <c r="AF68" s="44">
        <f t="shared" si="0"/>
        <v>0</v>
      </c>
      <c r="AG68" s="44" t="str">
        <f t="shared" si="1"/>
        <v>冠状动脉血流储备功能检查费</v>
      </c>
      <c r="AH68" s="44">
        <f t="shared" si="2"/>
        <v>900</v>
      </c>
      <c r="AI68" s="44">
        <f t="shared" si="3"/>
        <v>810</v>
      </c>
      <c r="AJ68" s="44">
        <f t="shared" si="4"/>
        <v>690</v>
      </c>
    </row>
    <row r="69" s="44" customFormat="1" ht="55" customHeight="1" spans="1:36">
      <c r="A69" s="55"/>
      <c r="B69" s="55"/>
      <c r="C69" s="56" t="s">
        <v>339</v>
      </c>
      <c r="D69" s="55"/>
      <c r="E69" s="59"/>
      <c r="F69" s="59"/>
      <c r="G69" s="55"/>
      <c r="H69" s="59"/>
      <c r="I69" s="37"/>
      <c r="J69" s="37"/>
      <c r="K69" s="64"/>
      <c r="L69" s="64"/>
      <c r="M69" s="64"/>
      <c r="N69" s="66">
        <v>900</v>
      </c>
      <c r="O69" s="66">
        <v>810</v>
      </c>
      <c r="P69" s="66">
        <v>690</v>
      </c>
      <c r="Q69" s="55"/>
      <c r="R69" s="55"/>
      <c r="S69" s="74"/>
      <c r="T69" s="64"/>
      <c r="U69" s="59"/>
      <c r="V69" s="76" t="s">
        <v>346</v>
      </c>
      <c r="W69" s="76">
        <v>32050000105</v>
      </c>
      <c r="X69" s="77" t="s">
        <v>347</v>
      </c>
      <c r="Y69" s="77" t="s">
        <v>345</v>
      </c>
      <c r="Z69" s="77"/>
      <c r="AA69" s="77" t="s">
        <v>54</v>
      </c>
      <c r="AB69" s="77" t="s">
        <v>40</v>
      </c>
      <c r="AC69" s="88">
        <v>1170</v>
      </c>
      <c r="AD69" s="88">
        <v>1055</v>
      </c>
      <c r="AE69" s="88">
        <v>895</v>
      </c>
      <c r="AF69" s="44">
        <f t="shared" ref="AF69:AF132" si="5">IFERROR(FIND("-儿童（加收）",C69,1),0)</f>
        <v>0</v>
      </c>
      <c r="AG69" s="44" t="str">
        <f t="shared" ref="AG69:AG132" si="6">SUBSTITUTE(C69,"-儿童（加收）","")</f>
        <v>冠状动脉血流储备功能检查费</v>
      </c>
      <c r="AH69" s="44">
        <f t="shared" ref="AH69:AH132" si="7">IF(AF69&gt;0,_xlfn.MAXIFS(N:N,C:C,SUBSTITUTE(C69,"-儿童（加收）","")),0)+N69</f>
        <v>900</v>
      </c>
      <c r="AI69" s="44">
        <f t="shared" ref="AI69:AI132" si="8">IF(AF69&gt;0,_xlfn.MAXIFS(O:O,C:C,SUBSTITUTE(C69,"-儿童（加收）","")),0)+O69</f>
        <v>810</v>
      </c>
      <c r="AJ69" s="44">
        <f t="shared" ref="AJ69:AJ132" si="9">IF(AF69&gt;0,_xlfn.MAXIFS(P:P,C:C,SUBSTITUTE(C69,"-儿童（加收）","")),0)+P69</f>
        <v>690</v>
      </c>
    </row>
    <row r="70" s="44" customFormat="1" ht="27" customHeight="1" spans="1:36">
      <c r="A70" s="55">
        <v>21</v>
      </c>
      <c r="B70" s="55" t="s">
        <v>348</v>
      </c>
      <c r="C70" s="56" t="s">
        <v>349</v>
      </c>
      <c r="D70" s="55" t="s">
        <v>350</v>
      </c>
      <c r="E70" s="59" t="s">
        <v>351</v>
      </c>
      <c r="F70" s="59" t="s">
        <v>352</v>
      </c>
      <c r="G70" s="55" t="s">
        <v>353</v>
      </c>
      <c r="H70" s="59" t="s">
        <v>354</v>
      </c>
      <c r="I70" s="30">
        <v>4500</v>
      </c>
      <c r="J70" s="30">
        <v>4050</v>
      </c>
      <c r="K70" s="63">
        <v>4380.03069528868</v>
      </c>
      <c r="L70" s="63">
        <v>4148.17099724198</v>
      </c>
      <c r="M70" s="63"/>
      <c r="N70" s="66">
        <v>4380</v>
      </c>
      <c r="O70" s="66">
        <v>4050</v>
      </c>
      <c r="P70" s="66">
        <v>3450</v>
      </c>
      <c r="Q70" s="55" t="s">
        <v>41</v>
      </c>
      <c r="R70" s="55" t="s">
        <v>40</v>
      </c>
      <c r="S70" s="74">
        <v>0.2</v>
      </c>
      <c r="T70" s="63" t="s">
        <v>355</v>
      </c>
      <c r="U70" s="59" t="s">
        <v>356</v>
      </c>
      <c r="V70" s="76" t="s">
        <v>357</v>
      </c>
      <c r="W70" s="76">
        <v>320500003</v>
      </c>
      <c r="X70" s="77" t="s">
        <v>358</v>
      </c>
      <c r="Y70" s="77" t="s">
        <v>359</v>
      </c>
      <c r="Z70" s="77"/>
      <c r="AA70" s="77" t="s">
        <v>54</v>
      </c>
      <c r="AB70" s="77" t="s">
        <v>360</v>
      </c>
      <c r="AC70" s="88">
        <v>4300</v>
      </c>
      <c r="AD70" s="88">
        <v>4100</v>
      </c>
      <c r="AE70" s="88">
        <v>3700</v>
      </c>
      <c r="AF70" s="44">
        <f t="shared" si="5"/>
        <v>0</v>
      </c>
      <c r="AG70" s="44" t="str">
        <f t="shared" si="6"/>
        <v>冠状动脉支架置入费</v>
      </c>
      <c r="AH70" s="44">
        <f t="shared" si="7"/>
        <v>4380</v>
      </c>
      <c r="AI70" s="44">
        <f t="shared" si="8"/>
        <v>4050</v>
      </c>
      <c r="AJ70" s="44">
        <f t="shared" si="9"/>
        <v>3450</v>
      </c>
    </row>
    <row r="71" s="44" customFormat="1" ht="27" customHeight="1" spans="1:36">
      <c r="A71" s="55"/>
      <c r="B71" s="55"/>
      <c r="C71" s="56" t="s">
        <v>349</v>
      </c>
      <c r="D71" s="55"/>
      <c r="E71" s="59"/>
      <c r="F71" s="59"/>
      <c r="G71" s="55"/>
      <c r="H71" s="59"/>
      <c r="I71" s="37"/>
      <c r="J71" s="37"/>
      <c r="K71" s="63"/>
      <c r="L71" s="63"/>
      <c r="M71" s="63"/>
      <c r="N71" s="66">
        <v>4380</v>
      </c>
      <c r="O71" s="66">
        <v>4050</v>
      </c>
      <c r="P71" s="66">
        <v>3450</v>
      </c>
      <c r="Q71" s="55"/>
      <c r="R71" s="55"/>
      <c r="S71" s="74"/>
      <c r="T71" s="63"/>
      <c r="U71" s="59"/>
      <c r="V71" s="76" t="s">
        <v>361</v>
      </c>
      <c r="W71" s="76">
        <v>32050000301</v>
      </c>
      <c r="X71" s="77" t="s">
        <v>362</v>
      </c>
      <c r="Y71" s="77"/>
      <c r="Z71" s="77"/>
      <c r="AA71" s="77" t="s">
        <v>54</v>
      </c>
      <c r="AB71" s="77" t="s">
        <v>363</v>
      </c>
      <c r="AC71" s="88">
        <v>645</v>
      </c>
      <c r="AD71" s="88">
        <v>615</v>
      </c>
      <c r="AE71" s="88">
        <v>555</v>
      </c>
      <c r="AF71" s="44">
        <f t="shared" si="5"/>
        <v>0</v>
      </c>
      <c r="AG71" s="44" t="str">
        <f t="shared" si="6"/>
        <v>冠状动脉支架置入费</v>
      </c>
      <c r="AH71" s="44">
        <f t="shared" si="7"/>
        <v>4380</v>
      </c>
      <c r="AI71" s="44">
        <f t="shared" si="8"/>
        <v>4050</v>
      </c>
      <c r="AJ71" s="44">
        <f t="shared" si="9"/>
        <v>3450</v>
      </c>
    </row>
    <row r="72" s="44" customFormat="1" ht="27" customHeight="1" spans="1:36">
      <c r="A72" s="55"/>
      <c r="B72" s="55"/>
      <c r="C72" s="56" t="s">
        <v>349</v>
      </c>
      <c r="D72" s="55"/>
      <c r="E72" s="59"/>
      <c r="F72" s="59"/>
      <c r="G72" s="55"/>
      <c r="H72" s="59"/>
      <c r="I72" s="37"/>
      <c r="J72" s="37"/>
      <c r="K72" s="63"/>
      <c r="L72" s="63"/>
      <c r="M72" s="63"/>
      <c r="N72" s="66">
        <v>4380</v>
      </c>
      <c r="O72" s="66">
        <v>4050</v>
      </c>
      <c r="P72" s="66">
        <v>3450</v>
      </c>
      <c r="Q72" s="55"/>
      <c r="R72" s="55"/>
      <c r="S72" s="74"/>
      <c r="T72" s="63"/>
      <c r="U72" s="59"/>
      <c r="V72" s="76" t="s">
        <v>364</v>
      </c>
      <c r="W72" s="76">
        <v>32050000302</v>
      </c>
      <c r="X72" s="77" t="s">
        <v>365</v>
      </c>
      <c r="Y72" s="77"/>
      <c r="Z72" s="77"/>
      <c r="AA72" s="77" t="s">
        <v>54</v>
      </c>
      <c r="AB72" s="77" t="s">
        <v>366</v>
      </c>
      <c r="AC72" s="88">
        <v>345</v>
      </c>
      <c r="AD72" s="88">
        <v>330</v>
      </c>
      <c r="AE72" s="88">
        <v>295</v>
      </c>
      <c r="AF72" s="44">
        <f t="shared" si="5"/>
        <v>0</v>
      </c>
      <c r="AG72" s="44" t="str">
        <f t="shared" si="6"/>
        <v>冠状动脉支架置入费</v>
      </c>
      <c r="AH72" s="44">
        <f t="shared" si="7"/>
        <v>4380</v>
      </c>
      <c r="AI72" s="44">
        <f t="shared" si="8"/>
        <v>4050</v>
      </c>
      <c r="AJ72" s="44">
        <f t="shared" si="9"/>
        <v>3450</v>
      </c>
    </row>
    <row r="73" s="44" customFormat="1" ht="27" customHeight="1" spans="1:36">
      <c r="A73" s="55"/>
      <c r="B73" s="55"/>
      <c r="C73" s="56" t="s">
        <v>349</v>
      </c>
      <c r="D73" s="55"/>
      <c r="E73" s="59"/>
      <c r="F73" s="59"/>
      <c r="G73" s="55"/>
      <c r="H73" s="59"/>
      <c r="I73" s="37"/>
      <c r="J73" s="37"/>
      <c r="K73" s="63"/>
      <c r="L73" s="63"/>
      <c r="M73" s="63"/>
      <c r="N73" s="66">
        <v>4380</v>
      </c>
      <c r="O73" s="66">
        <v>4050</v>
      </c>
      <c r="P73" s="66">
        <v>3450</v>
      </c>
      <c r="Q73" s="55"/>
      <c r="R73" s="55"/>
      <c r="S73" s="74"/>
      <c r="T73" s="63"/>
      <c r="U73" s="59"/>
      <c r="V73" s="76" t="s">
        <v>367</v>
      </c>
      <c r="W73" s="76">
        <v>32050000303</v>
      </c>
      <c r="X73" s="77" t="s">
        <v>368</v>
      </c>
      <c r="Y73" s="77"/>
      <c r="Z73" s="77"/>
      <c r="AA73" s="77" t="s">
        <v>54</v>
      </c>
      <c r="AB73" s="77" t="s">
        <v>369</v>
      </c>
      <c r="AC73" s="88">
        <v>515</v>
      </c>
      <c r="AD73" s="88">
        <v>490</v>
      </c>
      <c r="AE73" s="88">
        <v>445</v>
      </c>
      <c r="AF73" s="44">
        <f t="shared" si="5"/>
        <v>0</v>
      </c>
      <c r="AG73" s="44" t="str">
        <f t="shared" si="6"/>
        <v>冠状动脉支架置入费</v>
      </c>
      <c r="AH73" s="44">
        <f t="shared" si="7"/>
        <v>4380</v>
      </c>
      <c r="AI73" s="44">
        <f t="shared" si="8"/>
        <v>4050</v>
      </c>
      <c r="AJ73" s="44">
        <f t="shared" si="9"/>
        <v>3450</v>
      </c>
    </row>
    <row r="74" s="44" customFormat="1" ht="27" customHeight="1" spans="1:36">
      <c r="A74" s="55"/>
      <c r="B74" s="55"/>
      <c r="C74" s="56" t="s">
        <v>349</v>
      </c>
      <c r="D74" s="55"/>
      <c r="E74" s="59"/>
      <c r="F74" s="59"/>
      <c r="G74" s="55"/>
      <c r="H74" s="59"/>
      <c r="I74" s="37"/>
      <c r="J74" s="37"/>
      <c r="K74" s="63"/>
      <c r="L74" s="63"/>
      <c r="M74" s="63"/>
      <c r="N74" s="66">
        <v>4380</v>
      </c>
      <c r="O74" s="66">
        <v>4050</v>
      </c>
      <c r="P74" s="66">
        <v>3450</v>
      </c>
      <c r="Q74" s="55"/>
      <c r="R74" s="55"/>
      <c r="S74" s="74"/>
      <c r="T74" s="63"/>
      <c r="U74" s="59"/>
      <c r="V74" s="76" t="s">
        <v>370</v>
      </c>
      <c r="W74" s="76">
        <v>320500015</v>
      </c>
      <c r="X74" s="77" t="s">
        <v>371</v>
      </c>
      <c r="Y74" s="77" t="s">
        <v>372</v>
      </c>
      <c r="Z74" s="77"/>
      <c r="AA74" s="77" t="s">
        <v>54</v>
      </c>
      <c r="AB74" s="77" t="s">
        <v>40</v>
      </c>
      <c r="AC74" s="88">
        <v>5130</v>
      </c>
      <c r="AD74" s="88">
        <v>4620</v>
      </c>
      <c r="AE74" s="88">
        <v>3695</v>
      </c>
      <c r="AF74" s="44">
        <f t="shared" si="5"/>
        <v>0</v>
      </c>
      <c r="AG74" s="44" t="str">
        <f t="shared" si="6"/>
        <v>冠状动脉支架置入费</v>
      </c>
      <c r="AH74" s="44">
        <f t="shared" si="7"/>
        <v>4380</v>
      </c>
      <c r="AI74" s="44">
        <f t="shared" si="8"/>
        <v>4050</v>
      </c>
      <c r="AJ74" s="44">
        <f t="shared" si="9"/>
        <v>3450</v>
      </c>
    </row>
    <row r="75" s="44" customFormat="1" ht="28" customHeight="1" spans="1:36">
      <c r="A75" s="55" t="s">
        <v>55</v>
      </c>
      <c r="B75" s="55" t="s">
        <v>373</v>
      </c>
      <c r="C75" s="56" t="s">
        <v>374</v>
      </c>
      <c r="D75" s="55" t="s">
        <v>350</v>
      </c>
      <c r="E75" s="59" t="s">
        <v>40</v>
      </c>
      <c r="F75" s="59" t="s">
        <v>40</v>
      </c>
      <c r="G75" s="55" t="s">
        <v>353</v>
      </c>
      <c r="H75" s="59" t="s">
        <v>40</v>
      </c>
      <c r="I75" s="30">
        <v>1350</v>
      </c>
      <c r="J75" s="30">
        <v>1215</v>
      </c>
      <c r="K75" s="64"/>
      <c r="L75" s="64"/>
      <c r="M75" s="64"/>
      <c r="N75" s="66">
        <v>1315</v>
      </c>
      <c r="O75" s="66">
        <v>1215</v>
      </c>
      <c r="P75" s="66">
        <v>1065</v>
      </c>
      <c r="Q75" s="55" t="s">
        <v>41</v>
      </c>
      <c r="R75" s="55" t="s">
        <v>40</v>
      </c>
      <c r="S75" s="74">
        <v>0.2</v>
      </c>
      <c r="T75" s="64"/>
      <c r="U75" s="59" t="s">
        <v>305</v>
      </c>
      <c r="V75" s="76" t="s">
        <v>375</v>
      </c>
      <c r="W75" s="76">
        <v>32050000304</v>
      </c>
      <c r="X75" s="77" t="s">
        <v>376</v>
      </c>
      <c r="Y75" s="77"/>
      <c r="Z75" s="77"/>
      <c r="AA75" s="77" t="s">
        <v>54</v>
      </c>
      <c r="AB75" s="77" t="s">
        <v>40</v>
      </c>
      <c r="AC75" s="88">
        <v>5590</v>
      </c>
      <c r="AD75" s="88">
        <v>5330</v>
      </c>
      <c r="AE75" s="88">
        <v>4810</v>
      </c>
      <c r="AF75" s="44">
        <f t="shared" si="5"/>
        <v>10</v>
      </c>
      <c r="AG75" s="44" t="str">
        <f t="shared" si="6"/>
        <v>冠状动脉支架置入费</v>
      </c>
      <c r="AH75" s="44">
        <f t="shared" si="7"/>
        <v>5695</v>
      </c>
      <c r="AI75" s="44">
        <f t="shared" si="8"/>
        <v>5265</v>
      </c>
      <c r="AJ75" s="44">
        <f t="shared" si="9"/>
        <v>4515</v>
      </c>
    </row>
    <row r="76" s="44" customFormat="1" ht="28" customHeight="1" spans="1:36">
      <c r="A76" s="55"/>
      <c r="B76" s="55"/>
      <c r="C76" s="56" t="s">
        <v>374</v>
      </c>
      <c r="D76" s="55"/>
      <c r="E76" s="59"/>
      <c r="F76" s="59"/>
      <c r="G76" s="55"/>
      <c r="H76" s="59"/>
      <c r="I76" s="37"/>
      <c r="J76" s="37"/>
      <c r="K76" s="64"/>
      <c r="L76" s="64"/>
      <c r="M76" s="64"/>
      <c r="N76" s="66">
        <v>1315</v>
      </c>
      <c r="O76" s="66">
        <v>1215</v>
      </c>
      <c r="P76" s="66">
        <v>1065</v>
      </c>
      <c r="Q76" s="55"/>
      <c r="R76" s="55"/>
      <c r="S76" s="74"/>
      <c r="T76" s="64"/>
      <c r="U76" s="59"/>
      <c r="V76" s="76" t="s">
        <v>377</v>
      </c>
      <c r="W76" s="76">
        <v>32050000305</v>
      </c>
      <c r="X76" s="77" t="s">
        <v>378</v>
      </c>
      <c r="Y76" s="77"/>
      <c r="Z76" s="77"/>
      <c r="AA76" s="77" t="s">
        <v>54</v>
      </c>
      <c r="AB76" s="77" t="s">
        <v>363</v>
      </c>
      <c r="AC76" s="88">
        <v>835</v>
      </c>
      <c r="AD76" s="88">
        <v>795</v>
      </c>
      <c r="AE76" s="88">
        <v>720</v>
      </c>
      <c r="AF76" s="44">
        <f t="shared" si="5"/>
        <v>10</v>
      </c>
      <c r="AG76" s="44" t="str">
        <f t="shared" si="6"/>
        <v>冠状动脉支架置入费</v>
      </c>
      <c r="AH76" s="44">
        <f t="shared" si="7"/>
        <v>5695</v>
      </c>
      <c r="AI76" s="44">
        <f t="shared" si="8"/>
        <v>5265</v>
      </c>
      <c r="AJ76" s="44">
        <f t="shared" si="9"/>
        <v>4515</v>
      </c>
    </row>
    <row r="77" s="44" customFormat="1" ht="28" customHeight="1" spans="1:36">
      <c r="A77" s="55"/>
      <c r="B77" s="55"/>
      <c r="C77" s="56" t="s">
        <v>374</v>
      </c>
      <c r="D77" s="55"/>
      <c r="E77" s="59"/>
      <c r="F77" s="59"/>
      <c r="G77" s="55"/>
      <c r="H77" s="59"/>
      <c r="I77" s="37"/>
      <c r="J77" s="37"/>
      <c r="K77" s="64"/>
      <c r="L77" s="64"/>
      <c r="M77" s="64"/>
      <c r="N77" s="66">
        <v>1315</v>
      </c>
      <c r="O77" s="66">
        <v>1215</v>
      </c>
      <c r="P77" s="66">
        <v>1065</v>
      </c>
      <c r="Q77" s="55"/>
      <c r="R77" s="55"/>
      <c r="S77" s="74"/>
      <c r="T77" s="64"/>
      <c r="U77" s="59"/>
      <c r="V77" s="76" t="s">
        <v>379</v>
      </c>
      <c r="W77" s="76">
        <v>32050001501</v>
      </c>
      <c r="X77" s="77" t="s">
        <v>380</v>
      </c>
      <c r="Y77" s="77"/>
      <c r="Z77" s="77"/>
      <c r="AA77" s="77" t="s">
        <v>54</v>
      </c>
      <c r="AB77" s="77" t="s">
        <v>40</v>
      </c>
      <c r="AC77" s="88">
        <v>6670</v>
      </c>
      <c r="AD77" s="88">
        <v>6005</v>
      </c>
      <c r="AE77" s="88">
        <v>4805</v>
      </c>
      <c r="AF77" s="44">
        <f t="shared" si="5"/>
        <v>10</v>
      </c>
      <c r="AG77" s="44" t="str">
        <f t="shared" si="6"/>
        <v>冠状动脉支架置入费</v>
      </c>
      <c r="AH77" s="44">
        <f t="shared" si="7"/>
        <v>5695</v>
      </c>
      <c r="AI77" s="44">
        <f t="shared" si="8"/>
        <v>5265</v>
      </c>
      <c r="AJ77" s="44">
        <f t="shared" si="9"/>
        <v>4515</v>
      </c>
    </row>
    <row r="78" s="44" customFormat="1" ht="40" customHeight="1" spans="1:36">
      <c r="A78" s="55">
        <v>22</v>
      </c>
      <c r="B78" s="55" t="s">
        <v>381</v>
      </c>
      <c r="C78" s="56" t="s">
        <v>382</v>
      </c>
      <c r="D78" s="55" t="s">
        <v>350</v>
      </c>
      <c r="E78" s="59" t="s">
        <v>383</v>
      </c>
      <c r="F78" s="59" t="s">
        <v>384</v>
      </c>
      <c r="G78" s="55" t="s">
        <v>353</v>
      </c>
      <c r="H78" s="59" t="s">
        <v>385</v>
      </c>
      <c r="I78" s="30">
        <v>3600</v>
      </c>
      <c r="J78" s="30">
        <v>3240</v>
      </c>
      <c r="K78" s="63">
        <v>3282.04601479047</v>
      </c>
      <c r="L78" s="63">
        <v>2975.27790643817</v>
      </c>
      <c r="M78" s="63" t="e">
        <v>#DIV/0!</v>
      </c>
      <c r="N78" s="66">
        <v>3285</v>
      </c>
      <c r="O78" s="66">
        <v>2975</v>
      </c>
      <c r="P78" s="66">
        <v>2530</v>
      </c>
      <c r="Q78" s="55" t="s">
        <v>41</v>
      </c>
      <c r="R78" s="55" t="s">
        <v>40</v>
      </c>
      <c r="S78" s="74">
        <v>0.2</v>
      </c>
      <c r="T78" s="63" t="s">
        <v>42</v>
      </c>
      <c r="U78" s="59" t="s">
        <v>42</v>
      </c>
      <c r="V78" s="76" t="s">
        <v>386</v>
      </c>
      <c r="W78" s="76">
        <v>320500002</v>
      </c>
      <c r="X78" s="77" t="s">
        <v>387</v>
      </c>
      <c r="Y78" s="77" t="s">
        <v>388</v>
      </c>
      <c r="Z78" s="77"/>
      <c r="AA78" s="77" t="s">
        <v>54</v>
      </c>
      <c r="AB78" s="77" t="s">
        <v>389</v>
      </c>
      <c r="AC78" s="88">
        <v>3250</v>
      </c>
      <c r="AD78" s="88">
        <v>2950</v>
      </c>
      <c r="AE78" s="88">
        <v>2500</v>
      </c>
      <c r="AF78" s="44">
        <f t="shared" si="5"/>
        <v>0</v>
      </c>
      <c r="AG78" s="44" t="str">
        <f t="shared" si="6"/>
        <v>冠状动脉球囊扩张费</v>
      </c>
      <c r="AH78" s="44">
        <f t="shared" si="7"/>
        <v>3285</v>
      </c>
      <c r="AI78" s="44">
        <f t="shared" si="8"/>
        <v>2975</v>
      </c>
      <c r="AJ78" s="44">
        <f t="shared" si="9"/>
        <v>2530</v>
      </c>
    </row>
    <row r="79" s="44" customFormat="1" ht="40" customHeight="1" spans="1:36">
      <c r="A79" s="55"/>
      <c r="B79" s="55"/>
      <c r="C79" s="56" t="s">
        <v>382</v>
      </c>
      <c r="D79" s="55"/>
      <c r="E79" s="59"/>
      <c r="F79" s="59"/>
      <c r="G79" s="55"/>
      <c r="H79" s="59"/>
      <c r="I79" s="37"/>
      <c r="J79" s="37"/>
      <c r="K79" s="63"/>
      <c r="L79" s="63"/>
      <c r="M79" s="63"/>
      <c r="N79" s="66">
        <v>3285</v>
      </c>
      <c r="O79" s="66">
        <v>2975</v>
      </c>
      <c r="P79" s="66">
        <v>2530</v>
      </c>
      <c r="Q79" s="55"/>
      <c r="R79" s="55"/>
      <c r="S79" s="74"/>
      <c r="T79" s="63"/>
      <c r="U79" s="59"/>
      <c r="V79" s="76" t="s">
        <v>390</v>
      </c>
      <c r="W79" s="76">
        <v>32050000201</v>
      </c>
      <c r="X79" s="77" t="s">
        <v>391</v>
      </c>
      <c r="Y79" s="77"/>
      <c r="Z79" s="77"/>
      <c r="AA79" s="77" t="s">
        <v>54</v>
      </c>
      <c r="AB79" s="77" t="s">
        <v>363</v>
      </c>
      <c r="AC79" s="88">
        <v>650</v>
      </c>
      <c r="AD79" s="88">
        <v>590</v>
      </c>
      <c r="AE79" s="88">
        <v>500</v>
      </c>
      <c r="AF79" s="44">
        <f t="shared" si="5"/>
        <v>0</v>
      </c>
      <c r="AG79" s="44" t="str">
        <f t="shared" si="6"/>
        <v>冠状动脉球囊扩张费</v>
      </c>
      <c r="AH79" s="44">
        <f t="shared" si="7"/>
        <v>3285</v>
      </c>
      <c r="AI79" s="44">
        <f t="shared" si="8"/>
        <v>2975</v>
      </c>
      <c r="AJ79" s="44">
        <f t="shared" si="9"/>
        <v>2530</v>
      </c>
    </row>
    <row r="80" s="44" customFormat="1" ht="42" customHeight="1" spans="1:36">
      <c r="A80" s="55" t="s">
        <v>55</v>
      </c>
      <c r="B80" s="55" t="s">
        <v>392</v>
      </c>
      <c r="C80" s="56" t="s">
        <v>393</v>
      </c>
      <c r="D80" s="55" t="s">
        <v>350</v>
      </c>
      <c r="E80" s="59" t="s">
        <v>40</v>
      </c>
      <c r="F80" s="59" t="s">
        <v>40</v>
      </c>
      <c r="G80" s="55" t="s">
        <v>353</v>
      </c>
      <c r="H80" s="59" t="s">
        <v>40</v>
      </c>
      <c r="I80" s="30">
        <v>1080</v>
      </c>
      <c r="J80" s="30">
        <v>972</v>
      </c>
      <c r="K80" s="64"/>
      <c r="L80" s="64"/>
      <c r="M80" s="64"/>
      <c r="N80" s="66">
        <v>985</v>
      </c>
      <c r="O80" s="66">
        <v>895</v>
      </c>
      <c r="P80" s="66">
        <v>760</v>
      </c>
      <c r="Q80" s="55" t="s">
        <v>41</v>
      </c>
      <c r="R80" s="55" t="s">
        <v>40</v>
      </c>
      <c r="S80" s="74">
        <v>0.2</v>
      </c>
      <c r="T80" s="64"/>
      <c r="U80" s="59" t="s">
        <v>305</v>
      </c>
      <c r="V80" s="76" t="s">
        <v>394</v>
      </c>
      <c r="W80" s="76">
        <v>32050000202</v>
      </c>
      <c r="X80" s="77" t="s">
        <v>395</v>
      </c>
      <c r="Y80" s="77"/>
      <c r="Z80" s="77"/>
      <c r="AA80" s="77" t="s">
        <v>54</v>
      </c>
      <c r="AB80" s="77" t="s">
        <v>40</v>
      </c>
      <c r="AC80" s="88">
        <v>4210</v>
      </c>
      <c r="AD80" s="88">
        <v>3795</v>
      </c>
      <c r="AE80" s="88">
        <v>3225</v>
      </c>
      <c r="AF80" s="44">
        <f t="shared" si="5"/>
        <v>10</v>
      </c>
      <c r="AG80" s="44" t="str">
        <f t="shared" si="6"/>
        <v>冠状动脉球囊扩张费</v>
      </c>
      <c r="AH80" s="44">
        <f t="shared" si="7"/>
        <v>4270</v>
      </c>
      <c r="AI80" s="44">
        <f t="shared" si="8"/>
        <v>3870</v>
      </c>
      <c r="AJ80" s="44">
        <f t="shared" si="9"/>
        <v>3290</v>
      </c>
    </row>
    <row r="81" s="44" customFormat="1" ht="42" customHeight="1" spans="1:36">
      <c r="A81" s="55"/>
      <c r="B81" s="55"/>
      <c r="C81" s="56" t="s">
        <v>393</v>
      </c>
      <c r="D81" s="55"/>
      <c r="E81" s="59"/>
      <c r="F81" s="59"/>
      <c r="G81" s="55"/>
      <c r="H81" s="59"/>
      <c r="I81" s="37"/>
      <c r="J81" s="37"/>
      <c r="K81" s="64"/>
      <c r="L81" s="64"/>
      <c r="M81" s="64"/>
      <c r="N81" s="66">
        <v>985</v>
      </c>
      <c r="O81" s="66">
        <v>895</v>
      </c>
      <c r="P81" s="66">
        <v>760</v>
      </c>
      <c r="Q81" s="55"/>
      <c r="R81" s="55"/>
      <c r="S81" s="74"/>
      <c r="T81" s="64"/>
      <c r="U81" s="59"/>
      <c r="V81" s="76" t="s">
        <v>396</v>
      </c>
      <c r="W81" s="76">
        <v>32050000203</v>
      </c>
      <c r="X81" s="77" t="s">
        <v>397</v>
      </c>
      <c r="Y81" s="77"/>
      <c r="Z81" s="77"/>
      <c r="AA81" s="77" t="s">
        <v>54</v>
      </c>
      <c r="AB81" s="77" t="s">
        <v>398</v>
      </c>
      <c r="AC81" s="88">
        <v>845</v>
      </c>
      <c r="AD81" s="88">
        <v>767</v>
      </c>
      <c r="AE81" s="88">
        <v>650</v>
      </c>
      <c r="AF81" s="44">
        <f t="shared" si="5"/>
        <v>10</v>
      </c>
      <c r="AG81" s="44" t="str">
        <f t="shared" si="6"/>
        <v>冠状动脉球囊扩张费</v>
      </c>
      <c r="AH81" s="44">
        <f t="shared" si="7"/>
        <v>4270</v>
      </c>
      <c r="AI81" s="44">
        <f t="shared" si="8"/>
        <v>3870</v>
      </c>
      <c r="AJ81" s="44">
        <f t="shared" si="9"/>
        <v>3290</v>
      </c>
    </row>
    <row r="82" s="44" customFormat="1" ht="27" customHeight="1" spans="1:36">
      <c r="A82" s="55">
        <v>24</v>
      </c>
      <c r="B82" s="55" t="s">
        <v>407</v>
      </c>
      <c r="C82" s="56" t="s">
        <v>408</v>
      </c>
      <c r="D82" s="55" t="s">
        <v>350</v>
      </c>
      <c r="E82" s="59" t="s">
        <v>409</v>
      </c>
      <c r="F82" s="59" t="s">
        <v>410</v>
      </c>
      <c r="G82" s="55" t="s">
        <v>353</v>
      </c>
      <c r="H82" s="59" t="s">
        <v>411</v>
      </c>
      <c r="I82" s="30">
        <v>4500</v>
      </c>
      <c r="J82" s="30">
        <v>4050</v>
      </c>
      <c r="K82" s="63">
        <v>4369.10714285714</v>
      </c>
      <c r="L82" s="63">
        <v>4100</v>
      </c>
      <c r="M82" s="63" t="e">
        <v>#DIV/0!</v>
      </c>
      <c r="N82" s="91">
        <v>4370</v>
      </c>
      <c r="O82" s="66">
        <v>4050</v>
      </c>
      <c r="P82" s="66">
        <v>3450</v>
      </c>
      <c r="Q82" s="55" t="s">
        <v>41</v>
      </c>
      <c r="R82" s="55" t="s">
        <v>40</v>
      </c>
      <c r="S82" s="74">
        <v>0.2</v>
      </c>
      <c r="T82" s="63" t="s">
        <v>355</v>
      </c>
      <c r="U82" s="59" t="s">
        <v>356</v>
      </c>
      <c r="V82" s="76" t="s">
        <v>412</v>
      </c>
      <c r="W82" s="76">
        <v>320500004</v>
      </c>
      <c r="X82" s="77" t="s">
        <v>413</v>
      </c>
      <c r="Y82" s="77" t="s">
        <v>414</v>
      </c>
      <c r="Z82" s="77"/>
      <c r="AA82" s="77" t="s">
        <v>54</v>
      </c>
      <c r="AB82" s="77" t="s">
        <v>415</v>
      </c>
      <c r="AC82" s="88"/>
      <c r="AD82" s="88"/>
      <c r="AE82" s="88"/>
      <c r="AF82" s="44">
        <f t="shared" si="5"/>
        <v>0</v>
      </c>
      <c r="AG82" s="44" t="str">
        <f t="shared" si="6"/>
        <v>冠状动脉腔内减容费</v>
      </c>
      <c r="AH82" s="44">
        <f t="shared" si="7"/>
        <v>4370</v>
      </c>
      <c r="AI82" s="44">
        <f t="shared" si="8"/>
        <v>4050</v>
      </c>
      <c r="AJ82" s="44">
        <f t="shared" si="9"/>
        <v>3450</v>
      </c>
    </row>
    <row r="83" s="44" customFormat="1" ht="27" customHeight="1" spans="1:36">
      <c r="A83" s="55"/>
      <c r="B83" s="55"/>
      <c r="C83" s="56" t="s">
        <v>408</v>
      </c>
      <c r="D83" s="55"/>
      <c r="E83" s="59"/>
      <c r="F83" s="59"/>
      <c r="G83" s="55"/>
      <c r="H83" s="59"/>
      <c r="I83" s="37"/>
      <c r="J83" s="37"/>
      <c r="K83" s="63"/>
      <c r="L83" s="63"/>
      <c r="M83" s="63"/>
      <c r="N83" s="91">
        <v>4370</v>
      </c>
      <c r="O83" s="66">
        <v>4050</v>
      </c>
      <c r="P83" s="66">
        <v>3450</v>
      </c>
      <c r="Q83" s="55"/>
      <c r="R83" s="55"/>
      <c r="S83" s="74"/>
      <c r="T83" s="63"/>
      <c r="U83" s="59"/>
      <c r="V83" s="76" t="s">
        <v>416</v>
      </c>
      <c r="W83" s="76">
        <v>320500005</v>
      </c>
      <c r="X83" s="77" t="s">
        <v>417</v>
      </c>
      <c r="Y83" s="77" t="s">
        <v>418</v>
      </c>
      <c r="Z83" s="77"/>
      <c r="AA83" s="77" t="s">
        <v>54</v>
      </c>
      <c r="AB83" s="77" t="s">
        <v>419</v>
      </c>
      <c r="AC83" s="88">
        <v>4300</v>
      </c>
      <c r="AD83" s="88">
        <v>4100</v>
      </c>
      <c r="AE83" s="88">
        <v>3700</v>
      </c>
      <c r="AF83" s="44">
        <f t="shared" si="5"/>
        <v>0</v>
      </c>
      <c r="AG83" s="44" t="str">
        <f t="shared" si="6"/>
        <v>冠状动脉腔内减容费</v>
      </c>
      <c r="AH83" s="44">
        <f t="shared" si="7"/>
        <v>4370</v>
      </c>
      <c r="AI83" s="44">
        <f t="shared" si="8"/>
        <v>4050</v>
      </c>
      <c r="AJ83" s="44">
        <f t="shared" si="9"/>
        <v>3450</v>
      </c>
    </row>
    <row r="84" s="44" customFormat="1" ht="27" customHeight="1" spans="1:36">
      <c r="A84" s="55"/>
      <c r="B84" s="55"/>
      <c r="C84" s="56" t="s">
        <v>408</v>
      </c>
      <c r="D84" s="55"/>
      <c r="E84" s="59"/>
      <c r="F84" s="59"/>
      <c r="G84" s="55"/>
      <c r="H84" s="59"/>
      <c r="I84" s="37"/>
      <c r="J84" s="37"/>
      <c r="K84" s="63"/>
      <c r="L84" s="63"/>
      <c r="M84" s="63"/>
      <c r="N84" s="91">
        <v>4370</v>
      </c>
      <c r="O84" s="66">
        <v>4050</v>
      </c>
      <c r="P84" s="66">
        <v>3450</v>
      </c>
      <c r="Q84" s="55"/>
      <c r="R84" s="55"/>
      <c r="S84" s="74"/>
      <c r="T84" s="63"/>
      <c r="U84" s="59"/>
      <c r="V84" s="76" t="s">
        <v>420</v>
      </c>
      <c r="W84" s="76">
        <v>32050000501</v>
      </c>
      <c r="X84" s="77" t="s">
        <v>421</v>
      </c>
      <c r="Y84" s="77"/>
      <c r="Z84" s="77"/>
      <c r="AA84" s="77" t="s">
        <v>54</v>
      </c>
      <c r="AB84" s="77" t="s">
        <v>422</v>
      </c>
      <c r="AC84" s="88">
        <v>4945</v>
      </c>
      <c r="AD84" s="88">
        <v>4715</v>
      </c>
      <c r="AE84" s="88">
        <v>4255</v>
      </c>
      <c r="AF84" s="44">
        <f t="shared" si="5"/>
        <v>0</v>
      </c>
      <c r="AG84" s="44" t="str">
        <f t="shared" si="6"/>
        <v>冠状动脉腔内减容费</v>
      </c>
      <c r="AH84" s="44">
        <f t="shared" si="7"/>
        <v>4370</v>
      </c>
      <c r="AI84" s="44">
        <f t="shared" si="8"/>
        <v>4050</v>
      </c>
      <c r="AJ84" s="44">
        <f t="shared" si="9"/>
        <v>3450</v>
      </c>
    </row>
    <row r="85" s="44" customFormat="1" ht="27" customHeight="1" spans="1:36">
      <c r="A85" s="55"/>
      <c r="B85" s="55"/>
      <c r="C85" s="56" t="s">
        <v>408</v>
      </c>
      <c r="D85" s="55"/>
      <c r="E85" s="59"/>
      <c r="F85" s="59"/>
      <c r="G85" s="55"/>
      <c r="H85" s="59"/>
      <c r="I85" s="37"/>
      <c r="J85" s="37"/>
      <c r="K85" s="63"/>
      <c r="L85" s="63"/>
      <c r="M85" s="63"/>
      <c r="N85" s="91">
        <v>4370</v>
      </c>
      <c r="O85" s="66">
        <v>4050</v>
      </c>
      <c r="P85" s="66">
        <v>3450</v>
      </c>
      <c r="Q85" s="55"/>
      <c r="R85" s="55"/>
      <c r="S85" s="74"/>
      <c r="T85" s="63"/>
      <c r="U85" s="59"/>
      <c r="V85" s="92" t="s">
        <v>423</v>
      </c>
      <c r="W85" s="92">
        <v>330802008</v>
      </c>
      <c r="X85" s="93" t="s">
        <v>424</v>
      </c>
      <c r="Y85" s="92"/>
      <c r="Z85" s="92"/>
      <c r="AA85" s="92" t="s">
        <v>54</v>
      </c>
      <c r="AB85" s="77" t="s">
        <v>40</v>
      </c>
      <c r="AC85" s="88">
        <v>3380</v>
      </c>
      <c r="AD85" s="88">
        <v>3040</v>
      </c>
      <c r="AE85" s="88">
        <v>2580</v>
      </c>
      <c r="AF85" s="44">
        <f t="shared" si="5"/>
        <v>0</v>
      </c>
      <c r="AG85" s="44" t="str">
        <f t="shared" si="6"/>
        <v>冠状动脉腔内减容费</v>
      </c>
      <c r="AH85" s="44">
        <f t="shared" si="7"/>
        <v>4370</v>
      </c>
      <c r="AI85" s="44">
        <f t="shared" si="8"/>
        <v>4050</v>
      </c>
      <c r="AJ85" s="44">
        <f t="shared" si="9"/>
        <v>3450</v>
      </c>
    </row>
    <row r="86" s="44" customFormat="1" ht="27" customHeight="1" spans="1:36">
      <c r="A86" s="55"/>
      <c r="B86" s="55"/>
      <c r="C86" s="56" t="s">
        <v>408</v>
      </c>
      <c r="D86" s="55"/>
      <c r="E86" s="59"/>
      <c r="F86" s="59"/>
      <c r="G86" s="55"/>
      <c r="H86" s="59"/>
      <c r="I86" s="37"/>
      <c r="J86" s="37"/>
      <c r="K86" s="63"/>
      <c r="L86" s="63"/>
      <c r="M86" s="63"/>
      <c r="N86" s="91">
        <v>4370</v>
      </c>
      <c r="O86" s="66">
        <v>4050</v>
      </c>
      <c r="P86" s="66">
        <v>3450</v>
      </c>
      <c r="Q86" s="55"/>
      <c r="R86" s="55"/>
      <c r="S86" s="74"/>
      <c r="T86" s="63"/>
      <c r="U86" s="59"/>
      <c r="V86" s="76" t="s">
        <v>425</v>
      </c>
      <c r="W86" s="76">
        <v>320500006</v>
      </c>
      <c r="X86" s="77" t="s">
        <v>426</v>
      </c>
      <c r="Y86" s="77" t="s">
        <v>325</v>
      </c>
      <c r="Z86" s="77"/>
      <c r="AA86" s="77" t="s">
        <v>54</v>
      </c>
      <c r="AB86" s="77" t="s">
        <v>427</v>
      </c>
      <c r="AC86" s="88">
        <v>4860</v>
      </c>
      <c r="AD86" s="88">
        <v>4370</v>
      </c>
      <c r="AE86" s="88">
        <v>3710</v>
      </c>
      <c r="AF86" s="44">
        <f t="shared" si="5"/>
        <v>0</v>
      </c>
      <c r="AG86" s="44" t="str">
        <f t="shared" si="6"/>
        <v>冠状动脉腔内减容费</v>
      </c>
      <c r="AH86" s="44">
        <f t="shared" si="7"/>
        <v>4370</v>
      </c>
      <c r="AI86" s="44">
        <f t="shared" si="8"/>
        <v>4050</v>
      </c>
      <c r="AJ86" s="44">
        <f t="shared" si="9"/>
        <v>3450</v>
      </c>
    </row>
    <row r="87" s="44" customFormat="1" ht="27" customHeight="1" spans="1:36">
      <c r="A87" s="55"/>
      <c r="B87" s="55"/>
      <c r="C87" s="56" t="s">
        <v>408</v>
      </c>
      <c r="D87" s="55"/>
      <c r="E87" s="59"/>
      <c r="F87" s="59"/>
      <c r="G87" s="55"/>
      <c r="H87" s="59"/>
      <c r="I87" s="37"/>
      <c r="J87" s="37"/>
      <c r="K87" s="63"/>
      <c r="L87" s="63"/>
      <c r="M87" s="63"/>
      <c r="N87" s="91">
        <v>4370</v>
      </c>
      <c r="O87" s="66">
        <v>4050</v>
      </c>
      <c r="P87" s="66">
        <v>3450</v>
      </c>
      <c r="Q87" s="55"/>
      <c r="R87" s="55"/>
      <c r="S87" s="74"/>
      <c r="T87" s="63"/>
      <c r="U87" s="59"/>
      <c r="V87" s="76" t="s">
        <v>428</v>
      </c>
      <c r="W87" s="76">
        <v>32050000601</v>
      </c>
      <c r="X87" s="77" t="s">
        <v>429</v>
      </c>
      <c r="Y87" s="77"/>
      <c r="Z87" s="77"/>
      <c r="AA87" s="77" t="s">
        <v>54</v>
      </c>
      <c r="AB87" s="77" t="s">
        <v>430</v>
      </c>
      <c r="AC87" s="88">
        <v>5465</v>
      </c>
      <c r="AD87" s="88">
        <v>4915</v>
      </c>
      <c r="AE87" s="88">
        <v>4175</v>
      </c>
      <c r="AF87" s="44">
        <f t="shared" si="5"/>
        <v>0</v>
      </c>
      <c r="AG87" s="44" t="str">
        <f t="shared" si="6"/>
        <v>冠状动脉腔内减容费</v>
      </c>
      <c r="AH87" s="44">
        <f t="shared" si="7"/>
        <v>4370</v>
      </c>
      <c r="AI87" s="44">
        <f t="shared" si="8"/>
        <v>4050</v>
      </c>
      <c r="AJ87" s="44">
        <f t="shared" si="9"/>
        <v>3450</v>
      </c>
    </row>
    <row r="88" s="44" customFormat="1" ht="27" customHeight="1" spans="1:36">
      <c r="A88" s="55" t="s">
        <v>55</v>
      </c>
      <c r="B88" s="55" t="s">
        <v>431</v>
      </c>
      <c r="C88" s="56" t="s">
        <v>432</v>
      </c>
      <c r="D88" s="55" t="s">
        <v>350</v>
      </c>
      <c r="E88" s="59" t="s">
        <v>40</v>
      </c>
      <c r="F88" s="59" t="s">
        <v>40</v>
      </c>
      <c r="G88" s="55" t="s">
        <v>353</v>
      </c>
      <c r="H88" s="59" t="s">
        <v>40</v>
      </c>
      <c r="I88" s="30">
        <v>1350</v>
      </c>
      <c r="J88" s="30">
        <v>1215</v>
      </c>
      <c r="K88" s="64"/>
      <c r="L88" s="64"/>
      <c r="M88" s="64"/>
      <c r="N88" s="66">
        <v>1310</v>
      </c>
      <c r="O88" s="66">
        <v>1215</v>
      </c>
      <c r="P88" s="66">
        <v>1035</v>
      </c>
      <c r="Q88" s="55" t="s">
        <v>41</v>
      </c>
      <c r="R88" s="55" t="s">
        <v>40</v>
      </c>
      <c r="S88" s="74">
        <v>0.2</v>
      </c>
      <c r="T88" s="64"/>
      <c r="U88" s="59"/>
      <c r="V88" s="76" t="s">
        <v>433</v>
      </c>
      <c r="W88" s="76">
        <v>32050000502</v>
      </c>
      <c r="X88" s="77" t="s">
        <v>434</v>
      </c>
      <c r="Y88" s="77"/>
      <c r="Z88" s="77"/>
      <c r="AA88" s="77" t="s">
        <v>54</v>
      </c>
      <c r="AB88" s="77" t="s">
        <v>40</v>
      </c>
      <c r="AC88" s="88">
        <v>5590</v>
      </c>
      <c r="AD88" s="88">
        <v>5330</v>
      </c>
      <c r="AE88" s="88">
        <v>4810</v>
      </c>
      <c r="AF88" s="44">
        <f t="shared" si="5"/>
        <v>10</v>
      </c>
      <c r="AG88" s="44" t="str">
        <f t="shared" si="6"/>
        <v>冠状动脉腔内减容费</v>
      </c>
      <c r="AH88" s="44">
        <f t="shared" si="7"/>
        <v>5680</v>
      </c>
      <c r="AI88" s="44">
        <f t="shared" si="8"/>
        <v>5265</v>
      </c>
      <c r="AJ88" s="44">
        <f t="shared" si="9"/>
        <v>4485</v>
      </c>
    </row>
    <row r="89" s="44" customFormat="1" ht="27" customHeight="1" spans="1:36">
      <c r="A89" s="55"/>
      <c r="B89" s="55"/>
      <c r="C89" s="56" t="s">
        <v>432</v>
      </c>
      <c r="D89" s="55"/>
      <c r="E89" s="59"/>
      <c r="F89" s="59"/>
      <c r="G89" s="55"/>
      <c r="H89" s="59"/>
      <c r="I89" s="37"/>
      <c r="J89" s="37"/>
      <c r="K89" s="64"/>
      <c r="L89" s="64"/>
      <c r="M89" s="64"/>
      <c r="N89" s="66">
        <v>1310</v>
      </c>
      <c r="O89" s="66">
        <v>1215</v>
      </c>
      <c r="P89" s="66">
        <v>1035</v>
      </c>
      <c r="Q89" s="55"/>
      <c r="R89" s="55"/>
      <c r="S89" s="74"/>
      <c r="T89" s="64"/>
      <c r="U89" s="59"/>
      <c r="V89" s="76" t="s">
        <v>435</v>
      </c>
      <c r="W89" s="76">
        <v>32050000503</v>
      </c>
      <c r="X89" s="77" t="s">
        <v>436</v>
      </c>
      <c r="Y89" s="77"/>
      <c r="Z89" s="77"/>
      <c r="AA89" s="77" t="s">
        <v>54</v>
      </c>
      <c r="AB89" s="77" t="s">
        <v>437</v>
      </c>
      <c r="AC89" s="88">
        <v>6425</v>
      </c>
      <c r="AD89" s="88">
        <v>6125</v>
      </c>
      <c r="AE89" s="88">
        <v>5530</v>
      </c>
      <c r="AF89" s="44">
        <f t="shared" si="5"/>
        <v>10</v>
      </c>
      <c r="AG89" s="44" t="str">
        <f t="shared" si="6"/>
        <v>冠状动脉腔内减容费</v>
      </c>
      <c r="AH89" s="44">
        <f t="shared" si="7"/>
        <v>5680</v>
      </c>
      <c r="AI89" s="44">
        <f t="shared" si="8"/>
        <v>5265</v>
      </c>
      <c r="AJ89" s="44">
        <f t="shared" si="9"/>
        <v>4485</v>
      </c>
    </row>
    <row r="90" s="44" customFormat="1" ht="27" customHeight="1" spans="1:36">
      <c r="A90" s="55"/>
      <c r="B90" s="55"/>
      <c r="C90" s="56" t="s">
        <v>432</v>
      </c>
      <c r="D90" s="55"/>
      <c r="E90" s="59"/>
      <c r="F90" s="59"/>
      <c r="G90" s="55"/>
      <c r="H90" s="59"/>
      <c r="I90" s="37"/>
      <c r="J90" s="37"/>
      <c r="K90" s="64"/>
      <c r="L90" s="64"/>
      <c r="M90" s="64"/>
      <c r="N90" s="66">
        <v>1310</v>
      </c>
      <c r="O90" s="66">
        <v>1215</v>
      </c>
      <c r="P90" s="66">
        <v>1035</v>
      </c>
      <c r="Q90" s="55"/>
      <c r="R90" s="55"/>
      <c r="S90" s="74"/>
      <c r="T90" s="64"/>
      <c r="U90" s="59"/>
      <c r="V90" s="76" t="s">
        <v>438</v>
      </c>
      <c r="W90" s="76">
        <v>32050000602</v>
      </c>
      <c r="X90" s="77" t="s">
        <v>439</v>
      </c>
      <c r="Y90" s="77"/>
      <c r="Z90" s="77"/>
      <c r="AA90" s="77" t="s">
        <v>54</v>
      </c>
      <c r="AB90" s="77" t="s">
        <v>40</v>
      </c>
      <c r="AC90" s="88">
        <v>6320</v>
      </c>
      <c r="AD90" s="88">
        <v>5680</v>
      </c>
      <c r="AE90" s="88">
        <v>4830</v>
      </c>
      <c r="AF90" s="44">
        <f t="shared" si="5"/>
        <v>10</v>
      </c>
      <c r="AG90" s="44" t="str">
        <f t="shared" si="6"/>
        <v>冠状动脉腔内减容费</v>
      </c>
      <c r="AH90" s="44">
        <f t="shared" si="7"/>
        <v>5680</v>
      </c>
      <c r="AI90" s="44">
        <f t="shared" si="8"/>
        <v>5265</v>
      </c>
      <c r="AJ90" s="44">
        <f t="shared" si="9"/>
        <v>4485</v>
      </c>
    </row>
    <row r="91" s="44" customFormat="1" ht="27" customHeight="1" spans="1:36">
      <c r="A91" s="55"/>
      <c r="B91" s="55"/>
      <c r="C91" s="56" t="s">
        <v>432</v>
      </c>
      <c r="D91" s="55"/>
      <c r="E91" s="59"/>
      <c r="F91" s="59"/>
      <c r="G91" s="55"/>
      <c r="H91" s="59"/>
      <c r="I91" s="37"/>
      <c r="J91" s="37"/>
      <c r="K91" s="64"/>
      <c r="L91" s="64"/>
      <c r="M91" s="64"/>
      <c r="N91" s="66">
        <v>1310</v>
      </c>
      <c r="O91" s="66">
        <v>1215</v>
      </c>
      <c r="P91" s="66">
        <v>1035</v>
      </c>
      <c r="Q91" s="55"/>
      <c r="R91" s="55"/>
      <c r="S91" s="74"/>
      <c r="T91" s="64"/>
      <c r="U91" s="59"/>
      <c r="V91" s="76" t="s">
        <v>440</v>
      </c>
      <c r="W91" s="76">
        <v>32050000603</v>
      </c>
      <c r="X91" s="77" t="s">
        <v>441</v>
      </c>
      <c r="Y91" s="77"/>
      <c r="Z91" s="77"/>
      <c r="AA91" s="77" t="s">
        <v>54</v>
      </c>
      <c r="AB91" s="77" t="s">
        <v>442</v>
      </c>
      <c r="AC91" s="88">
        <v>7105</v>
      </c>
      <c r="AD91" s="88">
        <v>6390</v>
      </c>
      <c r="AE91" s="88">
        <v>5430</v>
      </c>
      <c r="AF91" s="44">
        <f t="shared" si="5"/>
        <v>10</v>
      </c>
      <c r="AG91" s="44" t="str">
        <f t="shared" si="6"/>
        <v>冠状动脉腔内减容费</v>
      </c>
      <c r="AH91" s="44">
        <f t="shared" si="7"/>
        <v>5680</v>
      </c>
      <c r="AI91" s="44">
        <f t="shared" si="8"/>
        <v>5265</v>
      </c>
      <c r="AJ91" s="44">
        <f t="shared" si="9"/>
        <v>4485</v>
      </c>
    </row>
    <row r="92" s="44" customFormat="1" ht="27" customHeight="1" spans="1:36">
      <c r="A92" s="55"/>
      <c r="B92" s="55"/>
      <c r="C92" s="56" t="s">
        <v>432</v>
      </c>
      <c r="D92" s="55"/>
      <c r="E92" s="59"/>
      <c r="F92" s="59"/>
      <c r="G92" s="55"/>
      <c r="H92" s="59"/>
      <c r="I92" s="37"/>
      <c r="J92" s="37"/>
      <c r="K92" s="64"/>
      <c r="L92" s="64"/>
      <c r="M92" s="64"/>
      <c r="N92" s="66">
        <v>1310</v>
      </c>
      <c r="O92" s="66">
        <v>1215</v>
      </c>
      <c r="P92" s="66">
        <v>1035</v>
      </c>
      <c r="Q92" s="55"/>
      <c r="R92" s="55"/>
      <c r="S92" s="74"/>
      <c r="T92" s="64"/>
      <c r="U92" s="59"/>
      <c r="V92" s="92" t="s">
        <v>443</v>
      </c>
      <c r="W92" s="92">
        <v>33080200801</v>
      </c>
      <c r="X92" s="93" t="s">
        <v>444</v>
      </c>
      <c r="Y92" s="92"/>
      <c r="Z92" s="92"/>
      <c r="AA92" s="92" t="s">
        <v>54</v>
      </c>
      <c r="AB92" s="77" t="s">
        <v>40</v>
      </c>
      <c r="AC92" s="88">
        <v>4395</v>
      </c>
      <c r="AD92" s="88">
        <v>3950</v>
      </c>
      <c r="AE92" s="88">
        <v>3360</v>
      </c>
      <c r="AF92" s="44">
        <f t="shared" si="5"/>
        <v>10</v>
      </c>
      <c r="AG92" s="44" t="str">
        <f t="shared" si="6"/>
        <v>冠状动脉腔内减容费</v>
      </c>
      <c r="AH92" s="44">
        <f t="shared" si="7"/>
        <v>5680</v>
      </c>
      <c r="AI92" s="44">
        <f t="shared" si="8"/>
        <v>5265</v>
      </c>
      <c r="AJ92" s="44">
        <f t="shared" si="9"/>
        <v>4485</v>
      </c>
    </row>
    <row r="93" s="44" customFormat="1" ht="38" customHeight="1" spans="1:36">
      <c r="A93" s="55">
        <v>25</v>
      </c>
      <c r="B93" s="55" t="s">
        <v>445</v>
      </c>
      <c r="C93" s="56" t="s">
        <v>446</v>
      </c>
      <c r="D93" s="55" t="s">
        <v>350</v>
      </c>
      <c r="E93" s="59" t="s">
        <v>447</v>
      </c>
      <c r="F93" s="59" t="s">
        <v>448</v>
      </c>
      <c r="G93" s="55" t="s">
        <v>54</v>
      </c>
      <c r="H93" s="59"/>
      <c r="I93" s="30">
        <v>1100</v>
      </c>
      <c r="J93" s="30">
        <v>990</v>
      </c>
      <c r="K93" s="64"/>
      <c r="L93" s="64"/>
      <c r="M93" s="64"/>
      <c r="N93" s="71">
        <v>1000</v>
      </c>
      <c r="O93" s="71">
        <v>900</v>
      </c>
      <c r="P93" s="71">
        <v>770</v>
      </c>
      <c r="Q93" s="55" t="s">
        <v>41</v>
      </c>
      <c r="R93" s="55" t="s">
        <v>40</v>
      </c>
      <c r="S93" s="74">
        <v>0.2</v>
      </c>
      <c r="T93" s="64" t="s">
        <v>355</v>
      </c>
      <c r="U93" s="59" t="s">
        <v>449</v>
      </c>
      <c r="V93" s="76" t="s">
        <v>450</v>
      </c>
      <c r="W93" s="76">
        <v>320500011</v>
      </c>
      <c r="X93" s="77" t="s">
        <v>451</v>
      </c>
      <c r="Y93" s="77" t="s">
        <v>372</v>
      </c>
      <c r="Z93" s="77"/>
      <c r="AA93" s="77" t="s">
        <v>54</v>
      </c>
      <c r="AB93" s="77"/>
      <c r="AC93" s="88">
        <v>2530</v>
      </c>
      <c r="AD93" s="88">
        <v>2280</v>
      </c>
      <c r="AE93" s="88">
        <v>1940</v>
      </c>
      <c r="AF93" s="44">
        <f t="shared" si="5"/>
        <v>0</v>
      </c>
      <c r="AG93" s="44" t="str">
        <f t="shared" si="6"/>
        <v>冠状动脉溶栓费</v>
      </c>
      <c r="AH93" s="44">
        <f t="shared" si="7"/>
        <v>1000</v>
      </c>
      <c r="AI93" s="44">
        <f t="shared" si="8"/>
        <v>900</v>
      </c>
      <c r="AJ93" s="44">
        <f t="shared" si="9"/>
        <v>770</v>
      </c>
    </row>
    <row r="94" s="44" customFormat="1" ht="38" customHeight="1" spans="1:36">
      <c r="A94" s="55"/>
      <c r="B94" s="55"/>
      <c r="C94" s="56" t="s">
        <v>446</v>
      </c>
      <c r="D94" s="55"/>
      <c r="E94" s="59"/>
      <c r="F94" s="59"/>
      <c r="G94" s="55"/>
      <c r="H94" s="59"/>
      <c r="I94" s="37"/>
      <c r="J94" s="37"/>
      <c r="K94" s="64"/>
      <c r="L94" s="64"/>
      <c r="M94" s="64"/>
      <c r="N94" s="71">
        <v>1000</v>
      </c>
      <c r="O94" s="71">
        <v>900</v>
      </c>
      <c r="P94" s="71">
        <v>770</v>
      </c>
      <c r="Q94" s="55"/>
      <c r="R94" s="55"/>
      <c r="S94" s="74"/>
      <c r="T94" s="64"/>
      <c r="U94" s="59"/>
      <c r="V94" s="76" t="s">
        <v>452</v>
      </c>
      <c r="W94" s="76">
        <v>320500013</v>
      </c>
      <c r="X94" s="77" t="s">
        <v>453</v>
      </c>
      <c r="Y94" s="77" t="s">
        <v>372</v>
      </c>
      <c r="Z94" s="77"/>
      <c r="AA94" s="77" t="s">
        <v>54</v>
      </c>
      <c r="AB94" s="77" t="s">
        <v>40</v>
      </c>
      <c r="AC94" s="88"/>
      <c r="AD94" s="88"/>
      <c r="AE94" s="88"/>
      <c r="AF94" s="44">
        <f t="shared" si="5"/>
        <v>0</v>
      </c>
      <c r="AG94" s="44" t="str">
        <f t="shared" si="6"/>
        <v>冠状动脉溶栓费</v>
      </c>
      <c r="AH94" s="44">
        <f t="shared" si="7"/>
        <v>1000</v>
      </c>
      <c r="AI94" s="44">
        <f t="shared" si="8"/>
        <v>900</v>
      </c>
      <c r="AJ94" s="44">
        <f t="shared" si="9"/>
        <v>770</v>
      </c>
    </row>
    <row r="95" s="44" customFormat="1" ht="38" customHeight="1" spans="1:36">
      <c r="A95" s="55" t="s">
        <v>55</v>
      </c>
      <c r="B95" s="55" t="s">
        <v>454</v>
      </c>
      <c r="C95" s="55" t="s">
        <v>455</v>
      </c>
      <c r="D95" s="55" t="s">
        <v>350</v>
      </c>
      <c r="E95" s="59" t="s">
        <v>40</v>
      </c>
      <c r="F95" s="59" t="s">
        <v>40</v>
      </c>
      <c r="G95" s="55" t="s">
        <v>54</v>
      </c>
      <c r="H95" s="59" t="s">
        <v>40</v>
      </c>
      <c r="I95" s="30">
        <v>330</v>
      </c>
      <c r="J95" s="30">
        <v>297</v>
      </c>
      <c r="K95" s="64"/>
      <c r="L95" s="64"/>
      <c r="M95" s="64"/>
      <c r="N95" s="35">
        <v>300</v>
      </c>
      <c r="O95" s="35">
        <v>270</v>
      </c>
      <c r="P95" s="35">
        <v>230</v>
      </c>
      <c r="Q95" s="35" t="e">
        <f t="shared" ref="Q95:S95" si="10">Q93*0.3</f>
        <v>#VALUE!</v>
      </c>
      <c r="R95" s="35" t="e">
        <f t="shared" si="10"/>
        <v>#VALUE!</v>
      </c>
      <c r="S95" s="35">
        <f t="shared" si="10"/>
        <v>0.06</v>
      </c>
      <c r="T95" s="64"/>
      <c r="U95" s="59" t="s">
        <v>305</v>
      </c>
      <c r="V95" s="76" t="s">
        <v>456</v>
      </c>
      <c r="W95" s="76">
        <v>32050001101</v>
      </c>
      <c r="X95" s="77" t="s">
        <v>457</v>
      </c>
      <c r="Y95" s="77"/>
      <c r="Z95" s="77"/>
      <c r="AA95" s="77" t="s">
        <v>54</v>
      </c>
      <c r="AB95" s="77" t="s">
        <v>40</v>
      </c>
      <c r="AC95" s="88">
        <v>3290</v>
      </c>
      <c r="AD95" s="88">
        <v>2965</v>
      </c>
      <c r="AE95" s="88">
        <v>2520</v>
      </c>
      <c r="AF95" s="44">
        <f t="shared" si="5"/>
        <v>8</v>
      </c>
      <c r="AG95" s="44" t="str">
        <f t="shared" si="6"/>
        <v>冠状动脉溶栓费</v>
      </c>
      <c r="AH95" s="44">
        <f t="shared" si="7"/>
        <v>1300</v>
      </c>
      <c r="AI95" s="44">
        <f t="shared" si="8"/>
        <v>1170</v>
      </c>
      <c r="AJ95" s="44">
        <f t="shared" si="9"/>
        <v>1000</v>
      </c>
    </row>
    <row r="96" s="44" customFormat="1" ht="28" customHeight="1" spans="1:36">
      <c r="A96" s="55">
        <v>26</v>
      </c>
      <c r="B96" s="55" t="s">
        <v>458</v>
      </c>
      <c r="C96" s="56" t="s">
        <v>459</v>
      </c>
      <c r="D96" s="55" t="s">
        <v>151</v>
      </c>
      <c r="E96" s="59" t="s">
        <v>460</v>
      </c>
      <c r="F96" s="59" t="s">
        <v>461</v>
      </c>
      <c r="G96" s="55" t="s">
        <v>54</v>
      </c>
      <c r="H96" s="59" t="s">
        <v>40</v>
      </c>
      <c r="I96" s="30">
        <v>1365</v>
      </c>
      <c r="J96" s="30">
        <v>1229</v>
      </c>
      <c r="K96" s="64">
        <v>1265</v>
      </c>
      <c r="L96" s="64">
        <v>1215</v>
      </c>
      <c r="M96" s="64">
        <v>1035</v>
      </c>
      <c r="N96" s="66">
        <v>1265</v>
      </c>
      <c r="O96" s="66">
        <v>1215</v>
      </c>
      <c r="P96" s="66">
        <v>1035</v>
      </c>
      <c r="Q96" s="55" t="s">
        <v>41</v>
      </c>
      <c r="R96" s="55" t="s">
        <v>40</v>
      </c>
      <c r="S96" s="74" t="s">
        <v>40</v>
      </c>
      <c r="T96" s="64" t="s">
        <v>183</v>
      </c>
      <c r="U96" s="94" t="s">
        <v>462</v>
      </c>
      <c r="V96" s="76" t="s">
        <v>463</v>
      </c>
      <c r="W96" s="76">
        <v>330803023</v>
      </c>
      <c r="X96" s="77" t="s">
        <v>464</v>
      </c>
      <c r="Y96" s="77" t="s">
        <v>465</v>
      </c>
      <c r="Z96" s="77" t="s">
        <v>466</v>
      </c>
      <c r="AA96" s="77" t="s">
        <v>54</v>
      </c>
      <c r="AB96" s="77" t="s">
        <v>40</v>
      </c>
      <c r="AC96" s="88">
        <v>1500</v>
      </c>
      <c r="AD96" s="88">
        <v>1440</v>
      </c>
      <c r="AE96" s="88">
        <v>1224</v>
      </c>
      <c r="AF96" s="44">
        <f t="shared" si="5"/>
        <v>0</v>
      </c>
      <c r="AG96" s="44" t="str">
        <f t="shared" si="6"/>
        <v>主动脉内球囊反搏安装费</v>
      </c>
      <c r="AH96" s="44">
        <f t="shared" si="7"/>
        <v>1265</v>
      </c>
      <c r="AI96" s="44">
        <f t="shared" si="8"/>
        <v>1215</v>
      </c>
      <c r="AJ96" s="44">
        <f t="shared" si="9"/>
        <v>1035</v>
      </c>
    </row>
    <row r="97" s="44" customFormat="1" ht="28" customHeight="1" spans="1:36">
      <c r="A97" s="55"/>
      <c r="B97" s="55"/>
      <c r="C97" s="56" t="s">
        <v>459</v>
      </c>
      <c r="D97" s="55"/>
      <c r="E97" s="59"/>
      <c r="F97" s="59"/>
      <c r="G97" s="55"/>
      <c r="H97" s="59"/>
      <c r="I97" s="30"/>
      <c r="J97" s="30"/>
      <c r="K97" s="64"/>
      <c r="L97" s="64"/>
      <c r="M97" s="64"/>
      <c r="N97" s="66">
        <v>1265</v>
      </c>
      <c r="O97" s="66">
        <v>1215</v>
      </c>
      <c r="P97" s="66">
        <v>1035</v>
      </c>
      <c r="Q97" s="55"/>
      <c r="R97" s="55"/>
      <c r="S97" s="74"/>
      <c r="T97" s="64"/>
      <c r="U97" s="95"/>
      <c r="V97" s="76" t="s">
        <v>467</v>
      </c>
      <c r="W97" s="83">
        <v>33080302301</v>
      </c>
      <c r="X97" s="77" t="s">
        <v>468</v>
      </c>
      <c r="Y97" s="77"/>
      <c r="Z97" s="77"/>
      <c r="AA97" s="77" t="s">
        <v>54</v>
      </c>
      <c r="AB97" s="77" t="s">
        <v>40</v>
      </c>
      <c r="AC97" s="88">
        <v>1950</v>
      </c>
      <c r="AD97" s="88">
        <v>1870</v>
      </c>
      <c r="AE97" s="88">
        <v>1590</v>
      </c>
      <c r="AF97" s="44">
        <f t="shared" si="5"/>
        <v>0</v>
      </c>
      <c r="AG97" s="44" t="str">
        <f t="shared" si="6"/>
        <v>主动脉内球囊反搏安装费</v>
      </c>
      <c r="AH97" s="44">
        <f t="shared" si="7"/>
        <v>1265</v>
      </c>
      <c r="AI97" s="44">
        <f t="shared" si="8"/>
        <v>1215</v>
      </c>
      <c r="AJ97" s="44">
        <f t="shared" si="9"/>
        <v>1035</v>
      </c>
    </row>
    <row r="98" s="44" customFormat="1" ht="28" customHeight="1" spans="1:36">
      <c r="A98" s="55"/>
      <c r="B98" s="55"/>
      <c r="C98" s="56" t="s">
        <v>459</v>
      </c>
      <c r="D98" s="55"/>
      <c r="E98" s="59"/>
      <c r="F98" s="59"/>
      <c r="G98" s="55"/>
      <c r="H98" s="59"/>
      <c r="I98" s="37"/>
      <c r="J98" s="37"/>
      <c r="K98" s="64"/>
      <c r="L98" s="64"/>
      <c r="M98" s="64"/>
      <c r="N98" s="66">
        <v>1265</v>
      </c>
      <c r="O98" s="66">
        <v>1215</v>
      </c>
      <c r="P98" s="66">
        <v>1035</v>
      </c>
      <c r="Q98" s="55"/>
      <c r="R98" s="55"/>
      <c r="S98" s="74"/>
      <c r="T98" s="64"/>
      <c r="U98" s="95"/>
      <c r="V98" s="55" t="s">
        <v>469</v>
      </c>
      <c r="W98" s="96" t="s">
        <v>470</v>
      </c>
      <c r="X98" s="97" t="s">
        <v>471</v>
      </c>
      <c r="Y98" s="97" t="s">
        <v>472</v>
      </c>
      <c r="Z98" s="97" t="s">
        <v>473</v>
      </c>
      <c r="AA98" s="97" t="s">
        <v>54</v>
      </c>
      <c r="AB98" s="77" t="s">
        <v>40</v>
      </c>
      <c r="AC98" s="88" t="s">
        <v>474</v>
      </c>
      <c r="AD98" s="88" t="s">
        <v>474</v>
      </c>
      <c r="AE98" s="88" t="s">
        <v>474</v>
      </c>
      <c r="AF98" s="44">
        <f t="shared" si="5"/>
        <v>0</v>
      </c>
      <c r="AG98" s="44" t="str">
        <f t="shared" si="6"/>
        <v>主动脉内球囊反搏安装费</v>
      </c>
      <c r="AH98" s="44">
        <f t="shared" si="7"/>
        <v>1265</v>
      </c>
      <c r="AI98" s="44">
        <f t="shared" si="8"/>
        <v>1215</v>
      </c>
      <c r="AJ98" s="44">
        <f t="shared" si="9"/>
        <v>1035</v>
      </c>
    </row>
    <row r="99" s="44" customFormat="1" ht="36" customHeight="1" spans="1:36">
      <c r="A99" s="55">
        <v>28</v>
      </c>
      <c r="B99" s="55" t="s">
        <v>479</v>
      </c>
      <c r="C99" s="56" t="s">
        <v>480</v>
      </c>
      <c r="D99" s="55" t="s">
        <v>36</v>
      </c>
      <c r="E99" s="59" t="s">
        <v>481</v>
      </c>
      <c r="F99" s="59" t="s">
        <v>482</v>
      </c>
      <c r="G99" s="55" t="s">
        <v>39</v>
      </c>
      <c r="H99" s="59" t="s">
        <v>40</v>
      </c>
      <c r="I99" s="30">
        <v>90</v>
      </c>
      <c r="J99" s="30">
        <v>81</v>
      </c>
      <c r="K99" s="64">
        <v>85</v>
      </c>
      <c r="L99" s="64">
        <v>80</v>
      </c>
      <c r="M99" s="64">
        <v>72</v>
      </c>
      <c r="N99" s="91">
        <v>85</v>
      </c>
      <c r="O99" s="91">
        <v>80</v>
      </c>
      <c r="P99" s="91">
        <v>72</v>
      </c>
      <c r="Q99" s="55" t="s">
        <v>41</v>
      </c>
      <c r="R99" s="55" t="s">
        <v>40</v>
      </c>
      <c r="S99" s="74">
        <v>0.2</v>
      </c>
      <c r="T99" s="64" t="s">
        <v>183</v>
      </c>
      <c r="U99" s="59" t="s">
        <v>183</v>
      </c>
      <c r="V99" s="76" t="s">
        <v>483</v>
      </c>
      <c r="W99" s="76">
        <v>320500009</v>
      </c>
      <c r="X99" s="55" t="s">
        <v>484</v>
      </c>
      <c r="Y99" s="55" t="s">
        <v>485</v>
      </c>
      <c r="Z99" s="55"/>
      <c r="AA99" s="55" t="s">
        <v>39</v>
      </c>
      <c r="AB99" s="77" t="s">
        <v>40</v>
      </c>
      <c r="AC99" s="88">
        <v>85</v>
      </c>
      <c r="AD99" s="88">
        <v>80</v>
      </c>
      <c r="AE99" s="88">
        <v>72</v>
      </c>
      <c r="AF99" s="44">
        <f t="shared" si="5"/>
        <v>0</v>
      </c>
      <c r="AG99" s="44" t="str">
        <f t="shared" si="6"/>
        <v>主动脉内球囊反搏运行监测费</v>
      </c>
      <c r="AH99" s="44">
        <f t="shared" si="7"/>
        <v>85</v>
      </c>
      <c r="AI99" s="44">
        <f t="shared" si="8"/>
        <v>80</v>
      </c>
      <c r="AJ99" s="44">
        <f t="shared" si="9"/>
        <v>72</v>
      </c>
    </row>
    <row r="100" s="44" customFormat="1" ht="36" customHeight="1" spans="1:36">
      <c r="A100" s="55"/>
      <c r="B100" s="55"/>
      <c r="C100" s="56" t="s">
        <v>480</v>
      </c>
      <c r="D100" s="55"/>
      <c r="E100" s="59"/>
      <c r="F100" s="59"/>
      <c r="G100" s="55"/>
      <c r="H100" s="59"/>
      <c r="I100" s="37"/>
      <c r="J100" s="37"/>
      <c r="K100" s="64"/>
      <c r="L100" s="64"/>
      <c r="M100" s="64"/>
      <c r="N100" s="91">
        <v>85</v>
      </c>
      <c r="O100" s="91">
        <v>80</v>
      </c>
      <c r="P100" s="91">
        <v>72</v>
      </c>
      <c r="Q100" s="55"/>
      <c r="R100" s="55"/>
      <c r="S100" s="74"/>
      <c r="T100" s="64"/>
      <c r="U100" s="59"/>
      <c r="V100" s="92" t="s">
        <v>486</v>
      </c>
      <c r="W100" s="92">
        <v>32050000901</v>
      </c>
      <c r="X100" s="93" t="s">
        <v>487</v>
      </c>
      <c r="Y100" s="92"/>
      <c r="Z100" s="92"/>
      <c r="AA100" s="92" t="s">
        <v>39</v>
      </c>
      <c r="AB100" s="77" t="s">
        <v>40</v>
      </c>
      <c r="AC100" s="88">
        <v>110</v>
      </c>
      <c r="AD100" s="88">
        <v>100</v>
      </c>
      <c r="AE100" s="88">
        <v>94</v>
      </c>
      <c r="AF100" s="44">
        <f t="shared" si="5"/>
        <v>0</v>
      </c>
      <c r="AG100" s="44" t="str">
        <f t="shared" si="6"/>
        <v>主动脉内球囊反搏运行监测费</v>
      </c>
      <c r="AH100" s="44">
        <f t="shared" si="7"/>
        <v>85</v>
      </c>
      <c r="AI100" s="44">
        <f t="shared" si="8"/>
        <v>80</v>
      </c>
      <c r="AJ100" s="44">
        <f t="shared" si="9"/>
        <v>72</v>
      </c>
    </row>
    <row r="101" s="44" customFormat="1" ht="27" customHeight="1" spans="1:36">
      <c r="A101" s="55">
        <v>29</v>
      </c>
      <c r="B101" s="55" t="s">
        <v>488</v>
      </c>
      <c r="C101" s="56" t="s">
        <v>489</v>
      </c>
      <c r="D101" s="55" t="s">
        <v>36</v>
      </c>
      <c r="E101" s="59" t="s">
        <v>490</v>
      </c>
      <c r="F101" s="59" t="s">
        <v>491</v>
      </c>
      <c r="G101" s="55" t="s">
        <v>54</v>
      </c>
      <c r="H101" s="59" t="s">
        <v>40</v>
      </c>
      <c r="I101" s="30">
        <v>1000</v>
      </c>
      <c r="J101" s="30">
        <v>900</v>
      </c>
      <c r="K101" s="63">
        <v>1049.91086956522</v>
      </c>
      <c r="L101" s="63">
        <v>900</v>
      </c>
      <c r="M101" s="63" t="e">
        <v>#DIV/0!</v>
      </c>
      <c r="N101" s="67">
        <v>950</v>
      </c>
      <c r="O101" s="67">
        <v>880</v>
      </c>
      <c r="P101" s="67">
        <v>750</v>
      </c>
      <c r="Q101" s="55" t="s">
        <v>41</v>
      </c>
      <c r="R101" s="55" t="s">
        <v>40</v>
      </c>
      <c r="S101" s="74" t="s">
        <v>40</v>
      </c>
      <c r="T101" s="63" t="s">
        <v>115</v>
      </c>
      <c r="U101" s="59" t="s">
        <v>275</v>
      </c>
      <c r="V101" s="76" t="s">
        <v>492</v>
      </c>
      <c r="W101" s="76">
        <v>310702020</v>
      </c>
      <c r="X101" s="77" t="s">
        <v>493</v>
      </c>
      <c r="Y101" s="77"/>
      <c r="Z101" s="77" t="s">
        <v>494</v>
      </c>
      <c r="AA101" s="77" t="s">
        <v>54</v>
      </c>
      <c r="AB101" s="77" t="s">
        <v>495</v>
      </c>
      <c r="AC101" s="88">
        <v>1035</v>
      </c>
      <c r="AD101" s="88">
        <v>900</v>
      </c>
      <c r="AE101" s="88">
        <v>765</v>
      </c>
      <c r="AF101" s="44">
        <f t="shared" si="5"/>
        <v>0</v>
      </c>
      <c r="AG101" s="44" t="str">
        <f t="shared" si="6"/>
        <v>右心导管检查费</v>
      </c>
      <c r="AH101" s="44">
        <f t="shared" si="7"/>
        <v>950</v>
      </c>
      <c r="AI101" s="44">
        <f t="shared" si="8"/>
        <v>880</v>
      </c>
      <c r="AJ101" s="44">
        <f t="shared" si="9"/>
        <v>750</v>
      </c>
    </row>
    <row r="102" s="44" customFormat="1" ht="27" customHeight="1" spans="1:36">
      <c r="A102" s="55"/>
      <c r="B102" s="55"/>
      <c r="C102" s="56" t="s">
        <v>489</v>
      </c>
      <c r="D102" s="55"/>
      <c r="E102" s="59"/>
      <c r="F102" s="59"/>
      <c r="G102" s="55"/>
      <c r="H102" s="59"/>
      <c r="I102" s="37"/>
      <c r="J102" s="37"/>
      <c r="K102" s="63"/>
      <c r="L102" s="63"/>
      <c r="M102" s="63"/>
      <c r="N102" s="67">
        <v>950</v>
      </c>
      <c r="O102" s="67">
        <v>880</v>
      </c>
      <c r="P102" s="67">
        <v>750</v>
      </c>
      <c r="Q102" s="55"/>
      <c r="R102" s="55"/>
      <c r="S102" s="74"/>
      <c r="T102" s="63"/>
      <c r="U102" s="59"/>
      <c r="V102" s="76" t="s">
        <v>496</v>
      </c>
      <c r="W102" s="76">
        <v>31070202002</v>
      </c>
      <c r="X102" s="77" t="s">
        <v>497</v>
      </c>
      <c r="Y102" s="77"/>
      <c r="Z102" s="77"/>
      <c r="AA102" s="77" t="s">
        <v>54</v>
      </c>
      <c r="AB102" s="77" t="s">
        <v>498</v>
      </c>
      <c r="AC102" s="88">
        <v>1092.5</v>
      </c>
      <c r="AD102" s="88">
        <v>950</v>
      </c>
      <c r="AE102" s="88">
        <v>807.5</v>
      </c>
      <c r="AF102" s="44">
        <f t="shared" si="5"/>
        <v>0</v>
      </c>
      <c r="AG102" s="44" t="str">
        <f t="shared" si="6"/>
        <v>右心导管检查费</v>
      </c>
      <c r="AH102" s="44">
        <f t="shared" si="7"/>
        <v>950</v>
      </c>
      <c r="AI102" s="44">
        <f t="shared" si="8"/>
        <v>880</v>
      </c>
      <c r="AJ102" s="44">
        <f t="shared" si="9"/>
        <v>750</v>
      </c>
    </row>
    <row r="103" s="44" customFormat="1" ht="27" customHeight="1" spans="1:36">
      <c r="A103" s="55"/>
      <c r="B103" s="55"/>
      <c r="C103" s="56" t="s">
        <v>489</v>
      </c>
      <c r="D103" s="55"/>
      <c r="E103" s="59"/>
      <c r="F103" s="59"/>
      <c r="G103" s="55"/>
      <c r="H103" s="59"/>
      <c r="I103" s="37"/>
      <c r="J103" s="37"/>
      <c r="K103" s="63"/>
      <c r="L103" s="63"/>
      <c r="M103" s="63"/>
      <c r="N103" s="67">
        <v>950</v>
      </c>
      <c r="O103" s="67">
        <v>880</v>
      </c>
      <c r="P103" s="67">
        <v>750</v>
      </c>
      <c r="Q103" s="55"/>
      <c r="R103" s="55"/>
      <c r="S103" s="74"/>
      <c r="T103" s="63"/>
      <c r="U103" s="59"/>
      <c r="V103" s="78" t="s">
        <v>499</v>
      </c>
      <c r="W103" s="78">
        <v>310701024</v>
      </c>
      <c r="X103" s="79" t="s">
        <v>500</v>
      </c>
      <c r="Y103" s="79"/>
      <c r="Z103" s="79" t="s">
        <v>501</v>
      </c>
      <c r="AA103" s="79" t="s">
        <v>39</v>
      </c>
      <c r="AB103" s="79" t="s">
        <v>40</v>
      </c>
      <c r="AC103" s="89">
        <v>17.3</v>
      </c>
      <c r="AD103" s="89">
        <v>15</v>
      </c>
      <c r="AE103" s="89">
        <v>12.8</v>
      </c>
      <c r="AF103" s="44">
        <f t="shared" si="5"/>
        <v>0</v>
      </c>
      <c r="AG103" s="44" t="str">
        <f t="shared" si="6"/>
        <v>右心导管检查费</v>
      </c>
      <c r="AH103" s="44">
        <f t="shared" si="7"/>
        <v>950</v>
      </c>
      <c r="AI103" s="44">
        <f t="shared" si="8"/>
        <v>880</v>
      </c>
      <c r="AJ103" s="44">
        <f t="shared" si="9"/>
        <v>750</v>
      </c>
    </row>
    <row r="104" s="44" customFormat="1" ht="27" customHeight="1" spans="1:36">
      <c r="A104" s="55"/>
      <c r="B104" s="55"/>
      <c r="C104" s="56" t="s">
        <v>489</v>
      </c>
      <c r="D104" s="55"/>
      <c r="E104" s="59"/>
      <c r="F104" s="59"/>
      <c r="G104" s="55"/>
      <c r="H104" s="59"/>
      <c r="I104" s="37"/>
      <c r="J104" s="37"/>
      <c r="K104" s="63"/>
      <c r="L104" s="63"/>
      <c r="M104" s="63"/>
      <c r="N104" s="67">
        <v>950</v>
      </c>
      <c r="O104" s="67">
        <v>880</v>
      </c>
      <c r="P104" s="67">
        <v>750</v>
      </c>
      <c r="Q104" s="55"/>
      <c r="R104" s="55"/>
      <c r="S104" s="74"/>
      <c r="T104" s="63"/>
      <c r="U104" s="59"/>
      <c r="V104" s="78" t="s">
        <v>243</v>
      </c>
      <c r="W104" s="78">
        <v>310701023</v>
      </c>
      <c r="X104" s="79" t="s">
        <v>244</v>
      </c>
      <c r="Y104" s="79"/>
      <c r="Z104" s="79" t="s">
        <v>245</v>
      </c>
      <c r="AA104" s="79" t="s">
        <v>54</v>
      </c>
      <c r="AB104" s="79" t="s">
        <v>40</v>
      </c>
      <c r="AC104" s="89">
        <v>115</v>
      </c>
      <c r="AD104" s="89">
        <v>100</v>
      </c>
      <c r="AE104" s="89">
        <v>85</v>
      </c>
      <c r="AF104" s="44">
        <f t="shared" si="5"/>
        <v>0</v>
      </c>
      <c r="AG104" s="44" t="str">
        <f t="shared" si="6"/>
        <v>右心导管检查费</v>
      </c>
      <c r="AH104" s="44">
        <f t="shared" si="7"/>
        <v>950</v>
      </c>
      <c r="AI104" s="44">
        <f t="shared" si="8"/>
        <v>880</v>
      </c>
      <c r="AJ104" s="44">
        <f t="shared" si="9"/>
        <v>750</v>
      </c>
    </row>
    <row r="105" s="44" customFormat="1" ht="38" customHeight="1" spans="1:36">
      <c r="A105" s="55">
        <v>30</v>
      </c>
      <c r="B105" s="55" t="s">
        <v>506</v>
      </c>
      <c r="C105" s="55" t="s">
        <v>507</v>
      </c>
      <c r="D105" s="55" t="s">
        <v>36</v>
      </c>
      <c r="E105" s="59" t="s">
        <v>508</v>
      </c>
      <c r="F105" s="59" t="s">
        <v>491</v>
      </c>
      <c r="G105" s="55" t="s">
        <v>54</v>
      </c>
      <c r="H105" s="59" t="s">
        <v>40</v>
      </c>
      <c r="I105" s="30">
        <v>1100</v>
      </c>
      <c r="J105" s="30">
        <v>990</v>
      </c>
      <c r="K105" s="64">
        <v>1150</v>
      </c>
      <c r="L105" s="64">
        <v>1000</v>
      </c>
      <c r="M105" s="64">
        <v>850</v>
      </c>
      <c r="N105" s="35">
        <v>1050</v>
      </c>
      <c r="O105" s="35">
        <v>950</v>
      </c>
      <c r="P105" s="35">
        <v>810</v>
      </c>
      <c r="Q105" s="55" t="s">
        <v>41</v>
      </c>
      <c r="R105" s="55" t="s">
        <v>40</v>
      </c>
      <c r="S105" s="74" t="s">
        <v>40</v>
      </c>
      <c r="T105" s="64" t="s">
        <v>115</v>
      </c>
      <c r="U105" s="59" t="s">
        <v>275</v>
      </c>
      <c r="V105" s="76" t="s">
        <v>509</v>
      </c>
      <c r="W105" s="76">
        <v>310702021</v>
      </c>
      <c r="X105" s="77" t="s">
        <v>510</v>
      </c>
      <c r="Y105" s="77" t="s">
        <v>511</v>
      </c>
      <c r="Z105" s="77" t="s">
        <v>494</v>
      </c>
      <c r="AA105" s="77" t="s">
        <v>54</v>
      </c>
      <c r="AB105" s="77" t="s">
        <v>157</v>
      </c>
      <c r="AC105" s="88">
        <v>1150</v>
      </c>
      <c r="AD105" s="88">
        <v>1000</v>
      </c>
      <c r="AE105" s="88">
        <v>850</v>
      </c>
      <c r="AF105" s="44">
        <f t="shared" si="5"/>
        <v>0</v>
      </c>
      <c r="AG105" s="44" t="str">
        <f t="shared" si="6"/>
        <v>左心导管检查费</v>
      </c>
      <c r="AH105" s="44">
        <f t="shared" si="7"/>
        <v>1050</v>
      </c>
      <c r="AI105" s="44">
        <f t="shared" si="8"/>
        <v>950</v>
      </c>
      <c r="AJ105" s="44">
        <f t="shared" si="9"/>
        <v>810</v>
      </c>
    </row>
    <row r="106" s="44" customFormat="1" ht="66" customHeight="1" spans="1:36">
      <c r="A106" s="55">
        <v>31</v>
      </c>
      <c r="B106" s="55" t="s">
        <v>514</v>
      </c>
      <c r="C106" s="55" t="s">
        <v>515</v>
      </c>
      <c r="D106" s="55" t="s">
        <v>350</v>
      </c>
      <c r="E106" s="59" t="s">
        <v>516</v>
      </c>
      <c r="F106" s="59" t="s">
        <v>517</v>
      </c>
      <c r="G106" s="55" t="s">
        <v>54</v>
      </c>
      <c r="H106" s="59" t="s">
        <v>40</v>
      </c>
      <c r="I106" s="30">
        <v>3960</v>
      </c>
      <c r="J106" s="30">
        <v>3564</v>
      </c>
      <c r="K106" s="64">
        <v>3560</v>
      </c>
      <c r="L106" s="64">
        <v>3200</v>
      </c>
      <c r="M106" s="64">
        <v>2720</v>
      </c>
      <c r="N106" s="35">
        <v>3560</v>
      </c>
      <c r="O106" s="35">
        <v>3200</v>
      </c>
      <c r="P106" s="35">
        <v>2720</v>
      </c>
      <c r="Q106" s="55" t="s">
        <v>41</v>
      </c>
      <c r="R106" s="55" t="s">
        <v>40</v>
      </c>
      <c r="S106" s="74">
        <v>0.2</v>
      </c>
      <c r="T106" s="64" t="s">
        <v>183</v>
      </c>
      <c r="U106" s="59" t="s">
        <v>183</v>
      </c>
      <c r="V106" s="76" t="s">
        <v>518</v>
      </c>
      <c r="W106" s="76">
        <v>320400001</v>
      </c>
      <c r="X106" s="77" t="s">
        <v>519</v>
      </c>
      <c r="Y106" s="77" t="s">
        <v>520</v>
      </c>
      <c r="Z106" s="77"/>
      <c r="AA106" s="77" t="s">
        <v>521</v>
      </c>
      <c r="AB106" s="77" t="s">
        <v>40</v>
      </c>
      <c r="AC106" s="88">
        <v>3560</v>
      </c>
      <c r="AD106" s="88">
        <v>3200</v>
      </c>
      <c r="AE106" s="88">
        <v>2720</v>
      </c>
      <c r="AF106" s="44">
        <f t="shared" si="5"/>
        <v>0</v>
      </c>
      <c r="AG106" s="44" t="str">
        <f t="shared" si="6"/>
        <v>主动脉瓣成形费（介入）</v>
      </c>
      <c r="AH106" s="44">
        <f t="shared" si="7"/>
        <v>3560</v>
      </c>
      <c r="AI106" s="44">
        <f t="shared" si="8"/>
        <v>3200</v>
      </c>
      <c r="AJ106" s="44">
        <f t="shared" si="9"/>
        <v>2720</v>
      </c>
    </row>
    <row r="107" s="44" customFormat="1" ht="38" customHeight="1" spans="1:36">
      <c r="A107" s="55" t="s">
        <v>55</v>
      </c>
      <c r="B107" s="55" t="s">
        <v>522</v>
      </c>
      <c r="C107" s="55" t="s">
        <v>523</v>
      </c>
      <c r="D107" s="55" t="s">
        <v>350</v>
      </c>
      <c r="E107" s="59" t="s">
        <v>40</v>
      </c>
      <c r="F107" s="59" t="s">
        <v>40</v>
      </c>
      <c r="G107" s="55" t="s">
        <v>54</v>
      </c>
      <c r="H107" s="59" t="s">
        <v>40</v>
      </c>
      <c r="I107" s="30">
        <v>1188</v>
      </c>
      <c r="J107" s="30">
        <v>1069</v>
      </c>
      <c r="K107" s="64"/>
      <c r="L107" s="64"/>
      <c r="M107" s="64"/>
      <c r="N107" s="35">
        <v>1070</v>
      </c>
      <c r="O107" s="35">
        <v>960</v>
      </c>
      <c r="P107" s="35">
        <v>815</v>
      </c>
      <c r="Q107" s="35" t="e">
        <f t="shared" ref="Q107:S107" si="11">Q106*0.3</f>
        <v>#VALUE!</v>
      </c>
      <c r="R107" s="35" t="e">
        <f t="shared" si="11"/>
        <v>#VALUE!</v>
      </c>
      <c r="S107" s="35">
        <f t="shared" si="11"/>
        <v>0.06</v>
      </c>
      <c r="T107" s="64"/>
      <c r="U107" s="59" t="s">
        <v>305</v>
      </c>
      <c r="V107" s="76" t="s">
        <v>524</v>
      </c>
      <c r="W107" s="76">
        <v>32040000101</v>
      </c>
      <c r="X107" s="77" t="s">
        <v>525</v>
      </c>
      <c r="Y107" s="77"/>
      <c r="Z107" s="77"/>
      <c r="AA107" s="77" t="s">
        <v>521</v>
      </c>
      <c r="AB107" s="77" t="s">
        <v>40</v>
      </c>
      <c r="AC107" s="88">
        <v>4630</v>
      </c>
      <c r="AD107" s="88">
        <v>4160</v>
      </c>
      <c r="AE107" s="88">
        <v>3535</v>
      </c>
      <c r="AF107" s="44">
        <f t="shared" si="5"/>
        <v>12</v>
      </c>
      <c r="AG107" s="44" t="str">
        <f t="shared" si="6"/>
        <v>主动脉瓣成形费（介入）</v>
      </c>
      <c r="AH107" s="44">
        <f t="shared" si="7"/>
        <v>4630</v>
      </c>
      <c r="AI107" s="44">
        <f t="shared" si="8"/>
        <v>4160</v>
      </c>
      <c r="AJ107" s="44">
        <f t="shared" si="9"/>
        <v>3535</v>
      </c>
    </row>
    <row r="108" s="44" customFormat="1" ht="38" customHeight="1" spans="1:36">
      <c r="A108" s="55">
        <v>32</v>
      </c>
      <c r="B108" s="55" t="s">
        <v>528</v>
      </c>
      <c r="C108" s="56" t="s">
        <v>529</v>
      </c>
      <c r="D108" s="55" t="s">
        <v>350</v>
      </c>
      <c r="E108" s="59" t="s">
        <v>530</v>
      </c>
      <c r="F108" s="59" t="s">
        <v>517</v>
      </c>
      <c r="G108" s="55" t="s">
        <v>54</v>
      </c>
      <c r="H108" s="59" t="s">
        <v>40</v>
      </c>
      <c r="I108" s="30">
        <v>4000</v>
      </c>
      <c r="J108" s="30">
        <v>3600</v>
      </c>
      <c r="K108" s="63">
        <v>3701.24457308249</v>
      </c>
      <c r="L108" s="64">
        <v>3200</v>
      </c>
      <c r="M108" s="64" t="e">
        <v>#DIV/0!</v>
      </c>
      <c r="N108" s="66">
        <v>3700</v>
      </c>
      <c r="O108" s="66">
        <v>3350</v>
      </c>
      <c r="P108" s="66">
        <v>2850</v>
      </c>
      <c r="Q108" s="55" t="s">
        <v>41</v>
      </c>
      <c r="R108" s="55" t="s">
        <v>40</v>
      </c>
      <c r="S108" s="74">
        <v>0.2</v>
      </c>
      <c r="T108" s="64" t="s">
        <v>355</v>
      </c>
      <c r="U108" s="59" t="s">
        <v>531</v>
      </c>
      <c r="V108" s="76" t="s">
        <v>518</v>
      </c>
      <c r="W108" s="76">
        <v>320400001</v>
      </c>
      <c r="X108" s="77" t="s">
        <v>519</v>
      </c>
      <c r="Y108" s="77" t="s">
        <v>520</v>
      </c>
      <c r="Z108" s="77"/>
      <c r="AA108" s="77" t="s">
        <v>521</v>
      </c>
      <c r="AB108" s="77" t="s">
        <v>40</v>
      </c>
      <c r="AC108" s="88">
        <v>3560</v>
      </c>
      <c r="AD108" s="88">
        <v>3200</v>
      </c>
      <c r="AE108" s="88">
        <v>2720</v>
      </c>
      <c r="AF108" s="44">
        <f t="shared" si="5"/>
        <v>0</v>
      </c>
      <c r="AG108" s="44" t="str">
        <f t="shared" si="6"/>
        <v>二尖瓣成形费（介入）</v>
      </c>
      <c r="AH108" s="44">
        <f t="shared" si="7"/>
        <v>3700</v>
      </c>
      <c r="AI108" s="44">
        <f t="shared" si="8"/>
        <v>3350</v>
      </c>
      <c r="AJ108" s="44">
        <f t="shared" si="9"/>
        <v>2850</v>
      </c>
    </row>
    <row r="109" s="44" customFormat="1" ht="38" customHeight="1" spans="1:36">
      <c r="A109" s="55"/>
      <c r="B109" s="55"/>
      <c r="C109" s="56" t="s">
        <v>529</v>
      </c>
      <c r="D109" s="55"/>
      <c r="E109" s="59"/>
      <c r="F109" s="59"/>
      <c r="G109" s="55"/>
      <c r="H109" s="59"/>
      <c r="I109" s="37"/>
      <c r="J109" s="37"/>
      <c r="K109" s="63"/>
      <c r="L109" s="64"/>
      <c r="M109" s="64"/>
      <c r="N109" s="66">
        <v>3700</v>
      </c>
      <c r="O109" s="66">
        <v>3350</v>
      </c>
      <c r="P109" s="66">
        <v>2850</v>
      </c>
      <c r="Q109" s="55"/>
      <c r="R109" s="55"/>
      <c r="S109" s="74"/>
      <c r="T109" s="64"/>
      <c r="U109" s="59"/>
      <c r="V109" s="76" t="s">
        <v>532</v>
      </c>
      <c r="W109" s="76">
        <v>33080100202</v>
      </c>
      <c r="X109" s="77" t="s">
        <v>533</v>
      </c>
      <c r="Y109" s="77" t="s">
        <v>534</v>
      </c>
      <c r="Z109" s="77"/>
      <c r="AA109" s="77" t="s">
        <v>54</v>
      </c>
      <c r="AB109" s="77" t="s">
        <v>40</v>
      </c>
      <c r="AC109" s="88">
        <v>6000</v>
      </c>
      <c r="AD109" s="88">
        <v>5400</v>
      </c>
      <c r="AE109" s="88">
        <v>4600</v>
      </c>
      <c r="AF109" s="44">
        <f t="shared" si="5"/>
        <v>0</v>
      </c>
      <c r="AG109" s="44" t="str">
        <f t="shared" si="6"/>
        <v>二尖瓣成形费（介入）</v>
      </c>
      <c r="AH109" s="44">
        <f t="shared" si="7"/>
        <v>3700</v>
      </c>
      <c r="AI109" s="44">
        <f t="shared" si="8"/>
        <v>3350</v>
      </c>
      <c r="AJ109" s="44">
        <f t="shared" si="9"/>
        <v>2850</v>
      </c>
    </row>
    <row r="110" s="44" customFormat="1" ht="38" customHeight="1" spans="1:36">
      <c r="A110" s="55" t="s">
        <v>55</v>
      </c>
      <c r="B110" s="55" t="s">
        <v>535</v>
      </c>
      <c r="C110" s="56" t="s">
        <v>536</v>
      </c>
      <c r="D110" s="55" t="s">
        <v>350</v>
      </c>
      <c r="E110" s="59" t="s">
        <v>40</v>
      </c>
      <c r="F110" s="59" t="s">
        <v>40</v>
      </c>
      <c r="G110" s="55" t="s">
        <v>54</v>
      </c>
      <c r="H110" s="59" t="s">
        <v>40</v>
      </c>
      <c r="I110" s="30">
        <v>1200</v>
      </c>
      <c r="J110" s="30">
        <v>1080</v>
      </c>
      <c r="K110" s="64"/>
      <c r="L110" s="64"/>
      <c r="M110" s="64"/>
      <c r="N110" s="66">
        <v>1110</v>
      </c>
      <c r="O110" s="66">
        <v>1005</v>
      </c>
      <c r="P110" s="66">
        <v>855</v>
      </c>
      <c r="Q110" s="55" t="s">
        <v>41</v>
      </c>
      <c r="R110" s="55" t="s">
        <v>40</v>
      </c>
      <c r="S110" s="74">
        <v>0.2</v>
      </c>
      <c r="T110" s="64"/>
      <c r="U110" s="59" t="s">
        <v>305</v>
      </c>
      <c r="V110" s="76" t="s">
        <v>524</v>
      </c>
      <c r="W110" s="76">
        <v>32040000101</v>
      </c>
      <c r="X110" s="77" t="s">
        <v>525</v>
      </c>
      <c r="Y110" s="77"/>
      <c r="Z110" s="77"/>
      <c r="AA110" s="77" t="s">
        <v>521</v>
      </c>
      <c r="AB110" s="77" t="s">
        <v>40</v>
      </c>
      <c r="AC110" s="88">
        <v>4630</v>
      </c>
      <c r="AD110" s="88">
        <v>4160</v>
      </c>
      <c r="AE110" s="88">
        <v>3535</v>
      </c>
      <c r="AF110" s="44">
        <f t="shared" si="5"/>
        <v>11</v>
      </c>
      <c r="AG110" s="44" t="str">
        <f t="shared" si="6"/>
        <v>二尖瓣成形费（介入）</v>
      </c>
      <c r="AH110" s="44">
        <f t="shared" si="7"/>
        <v>4810</v>
      </c>
      <c r="AI110" s="44">
        <f t="shared" si="8"/>
        <v>4355</v>
      </c>
      <c r="AJ110" s="44">
        <f t="shared" si="9"/>
        <v>3705</v>
      </c>
    </row>
    <row r="111" s="44" customFormat="1" ht="38" customHeight="1" spans="1:36">
      <c r="A111" s="55"/>
      <c r="B111" s="55"/>
      <c r="C111" s="56" t="s">
        <v>536</v>
      </c>
      <c r="D111" s="55"/>
      <c r="E111" s="59"/>
      <c r="F111" s="59"/>
      <c r="G111" s="55"/>
      <c r="H111" s="59"/>
      <c r="I111" s="37"/>
      <c r="J111" s="37"/>
      <c r="K111" s="64"/>
      <c r="L111" s="64"/>
      <c r="M111" s="64"/>
      <c r="N111" s="66">
        <v>1110</v>
      </c>
      <c r="O111" s="66">
        <v>1005</v>
      </c>
      <c r="P111" s="66">
        <v>855</v>
      </c>
      <c r="Q111" s="55"/>
      <c r="R111" s="55"/>
      <c r="S111" s="74"/>
      <c r="T111" s="64"/>
      <c r="U111" s="59"/>
      <c r="V111" s="76" t="s">
        <v>537</v>
      </c>
      <c r="W111" s="76">
        <v>33080100203</v>
      </c>
      <c r="X111" s="77" t="s">
        <v>538</v>
      </c>
      <c r="Y111" s="77"/>
      <c r="Z111" s="77"/>
      <c r="AA111" s="77" t="s">
        <v>54</v>
      </c>
      <c r="AB111" s="77" t="s">
        <v>40</v>
      </c>
      <c r="AC111" s="88">
        <v>7800</v>
      </c>
      <c r="AD111" s="88">
        <v>7020</v>
      </c>
      <c r="AE111" s="88">
        <v>5980</v>
      </c>
      <c r="AF111" s="44">
        <f t="shared" si="5"/>
        <v>11</v>
      </c>
      <c r="AG111" s="44" t="str">
        <f t="shared" si="6"/>
        <v>二尖瓣成形费（介入）</v>
      </c>
      <c r="AH111" s="44">
        <f t="shared" si="7"/>
        <v>4810</v>
      </c>
      <c r="AI111" s="44">
        <f t="shared" si="8"/>
        <v>4355</v>
      </c>
      <c r="AJ111" s="44">
        <f t="shared" si="9"/>
        <v>3705</v>
      </c>
    </row>
    <row r="112" s="44" customFormat="1" ht="88" customHeight="1" spans="1:36">
      <c r="A112" s="55">
        <v>33</v>
      </c>
      <c r="B112" s="55" t="s">
        <v>543</v>
      </c>
      <c r="C112" s="55" t="s">
        <v>544</v>
      </c>
      <c r="D112" s="55" t="s">
        <v>350</v>
      </c>
      <c r="E112" s="59" t="s">
        <v>545</v>
      </c>
      <c r="F112" s="59" t="s">
        <v>546</v>
      </c>
      <c r="G112" s="55" t="s">
        <v>54</v>
      </c>
      <c r="H112" s="59" t="s">
        <v>40</v>
      </c>
      <c r="I112" s="30">
        <v>6336</v>
      </c>
      <c r="J112" s="30">
        <v>5702</v>
      </c>
      <c r="K112" s="64">
        <v>6000</v>
      </c>
      <c r="L112" s="64">
        <v>5400</v>
      </c>
      <c r="M112" s="64">
        <v>4600</v>
      </c>
      <c r="N112" s="35">
        <v>6000</v>
      </c>
      <c r="O112" s="35">
        <v>5400</v>
      </c>
      <c r="P112" s="35">
        <v>4600</v>
      </c>
      <c r="Q112" s="55" t="s">
        <v>41</v>
      </c>
      <c r="R112" s="55" t="s">
        <v>40</v>
      </c>
      <c r="S112" s="74" t="s">
        <v>40</v>
      </c>
      <c r="T112" s="64" t="s">
        <v>183</v>
      </c>
      <c r="U112" s="59" t="s">
        <v>183</v>
      </c>
      <c r="V112" s="76" t="s">
        <v>547</v>
      </c>
      <c r="W112" s="76">
        <v>33080100904</v>
      </c>
      <c r="X112" s="77" t="s">
        <v>548</v>
      </c>
      <c r="Y112" s="77" t="s">
        <v>534</v>
      </c>
      <c r="Z112" s="77"/>
      <c r="AA112" s="77" t="s">
        <v>54</v>
      </c>
      <c r="AB112" s="77" t="s">
        <v>40</v>
      </c>
      <c r="AC112" s="88">
        <v>6000</v>
      </c>
      <c r="AD112" s="88">
        <v>5400</v>
      </c>
      <c r="AE112" s="88">
        <v>4600</v>
      </c>
      <c r="AF112" s="44">
        <f t="shared" si="5"/>
        <v>0</v>
      </c>
      <c r="AG112" s="44" t="str">
        <f t="shared" si="6"/>
        <v>主动脉瓣置换费（介入）</v>
      </c>
      <c r="AH112" s="44">
        <f t="shared" si="7"/>
        <v>6000</v>
      </c>
      <c r="AI112" s="44">
        <f t="shared" si="8"/>
        <v>5400</v>
      </c>
      <c r="AJ112" s="44">
        <f t="shared" si="9"/>
        <v>4600</v>
      </c>
    </row>
    <row r="113" s="44" customFormat="1" ht="38" customHeight="1" spans="1:36">
      <c r="A113" s="55" t="s">
        <v>55</v>
      </c>
      <c r="B113" s="55" t="s">
        <v>549</v>
      </c>
      <c r="C113" s="55" t="s">
        <v>550</v>
      </c>
      <c r="D113" s="55" t="s">
        <v>350</v>
      </c>
      <c r="E113" s="59" t="s">
        <v>40</v>
      </c>
      <c r="F113" s="59" t="s">
        <v>40</v>
      </c>
      <c r="G113" s="55" t="s">
        <v>54</v>
      </c>
      <c r="H113" s="59" t="s">
        <v>40</v>
      </c>
      <c r="I113" s="30">
        <v>1900</v>
      </c>
      <c r="J113" s="30">
        <v>1710</v>
      </c>
      <c r="K113" s="64"/>
      <c r="L113" s="64"/>
      <c r="M113" s="64"/>
      <c r="N113" s="35">
        <v>1800</v>
      </c>
      <c r="O113" s="35">
        <v>1620</v>
      </c>
      <c r="P113" s="35">
        <v>1380</v>
      </c>
      <c r="Q113" s="35" t="e">
        <f t="shared" ref="Q113:S113" si="12">Q112*0.3</f>
        <v>#VALUE!</v>
      </c>
      <c r="R113" s="35" t="e">
        <f t="shared" si="12"/>
        <v>#VALUE!</v>
      </c>
      <c r="S113" s="35" t="e">
        <f t="shared" si="12"/>
        <v>#VALUE!</v>
      </c>
      <c r="T113" s="64"/>
      <c r="U113" s="59" t="s">
        <v>305</v>
      </c>
      <c r="V113" s="76" t="s">
        <v>551</v>
      </c>
      <c r="W113" s="76">
        <v>33080100905</v>
      </c>
      <c r="X113" s="77" t="s">
        <v>552</v>
      </c>
      <c r="Y113" s="77" t="s">
        <v>534</v>
      </c>
      <c r="Z113" s="77"/>
      <c r="AA113" s="77" t="s">
        <v>54</v>
      </c>
      <c r="AB113" s="77" t="s">
        <v>40</v>
      </c>
      <c r="AC113" s="88">
        <v>7800</v>
      </c>
      <c r="AD113" s="88">
        <v>7020</v>
      </c>
      <c r="AE113" s="88">
        <v>5980</v>
      </c>
      <c r="AF113" s="44">
        <f t="shared" si="5"/>
        <v>12</v>
      </c>
      <c r="AG113" s="44" t="str">
        <f t="shared" si="6"/>
        <v>主动脉瓣置换费（介入）</v>
      </c>
      <c r="AH113" s="44">
        <f t="shared" si="7"/>
        <v>7800</v>
      </c>
      <c r="AI113" s="44">
        <f t="shared" si="8"/>
        <v>7020</v>
      </c>
      <c r="AJ113" s="44">
        <f t="shared" si="9"/>
        <v>5980</v>
      </c>
    </row>
    <row r="114" s="44" customFormat="1" ht="38" customHeight="1" spans="1:36">
      <c r="A114" s="55" t="s">
        <v>55</v>
      </c>
      <c r="B114" s="55" t="s">
        <v>553</v>
      </c>
      <c r="C114" s="56" t="s">
        <v>554</v>
      </c>
      <c r="D114" s="55" t="s">
        <v>350</v>
      </c>
      <c r="E114" s="59" t="s">
        <v>40</v>
      </c>
      <c r="F114" s="59" t="s">
        <v>40</v>
      </c>
      <c r="G114" s="55" t="s">
        <v>54</v>
      </c>
      <c r="H114" s="59" t="s">
        <v>40</v>
      </c>
      <c r="I114" s="30">
        <v>6336</v>
      </c>
      <c r="J114" s="30">
        <v>5702</v>
      </c>
      <c r="K114" s="64"/>
      <c r="L114" s="64"/>
      <c r="M114" s="64"/>
      <c r="N114" s="66">
        <v>6000</v>
      </c>
      <c r="O114" s="66">
        <v>5400</v>
      </c>
      <c r="P114" s="66">
        <v>4600</v>
      </c>
      <c r="Q114" s="55" t="s">
        <v>41</v>
      </c>
      <c r="R114" s="55" t="s">
        <v>40</v>
      </c>
      <c r="S114" s="74" t="s">
        <v>40</v>
      </c>
      <c r="T114" s="64"/>
      <c r="U114" s="59" t="s">
        <v>555</v>
      </c>
      <c r="V114" s="76" t="s">
        <v>556</v>
      </c>
      <c r="W114" s="76">
        <v>33080101102</v>
      </c>
      <c r="X114" s="77" t="s">
        <v>557</v>
      </c>
      <c r="Y114" s="77" t="s">
        <v>534</v>
      </c>
      <c r="Z114" s="77"/>
      <c r="AA114" s="77" t="s">
        <v>54</v>
      </c>
      <c r="AB114" s="77" t="s">
        <v>40</v>
      </c>
      <c r="AC114" s="88">
        <v>4220</v>
      </c>
      <c r="AD114" s="88">
        <v>3800</v>
      </c>
      <c r="AE114" s="88">
        <v>3230</v>
      </c>
      <c r="AF114" s="44">
        <f t="shared" si="5"/>
        <v>0</v>
      </c>
      <c r="AG114" s="44" t="str">
        <f t="shared" si="6"/>
        <v>主动脉瓣置换费（介入）-肺动脉瓣置换（介入）（扩展）</v>
      </c>
      <c r="AH114" s="44">
        <f t="shared" si="7"/>
        <v>6000</v>
      </c>
      <c r="AI114" s="44">
        <f t="shared" si="8"/>
        <v>5400</v>
      </c>
      <c r="AJ114" s="44">
        <f t="shared" si="9"/>
        <v>4600</v>
      </c>
    </row>
    <row r="115" s="44" customFormat="1" ht="38" customHeight="1" spans="1:36">
      <c r="A115" s="55"/>
      <c r="B115" s="55"/>
      <c r="C115" s="56" t="s">
        <v>554</v>
      </c>
      <c r="D115" s="55"/>
      <c r="E115" s="59"/>
      <c r="F115" s="59"/>
      <c r="G115" s="55"/>
      <c r="H115" s="59"/>
      <c r="I115" s="37"/>
      <c r="J115" s="37"/>
      <c r="K115" s="64"/>
      <c r="L115" s="64"/>
      <c r="M115" s="64"/>
      <c r="N115" s="66">
        <v>6000</v>
      </c>
      <c r="O115" s="66">
        <v>5400</v>
      </c>
      <c r="P115" s="66">
        <v>4600</v>
      </c>
      <c r="Q115" s="55"/>
      <c r="R115" s="55"/>
      <c r="S115" s="74"/>
      <c r="T115" s="64"/>
      <c r="U115" s="59"/>
      <c r="V115" s="76" t="s">
        <v>558</v>
      </c>
      <c r="W115" s="76">
        <v>33080101103</v>
      </c>
      <c r="X115" s="77" t="s">
        <v>559</v>
      </c>
      <c r="Y115" s="77" t="s">
        <v>534</v>
      </c>
      <c r="Z115" s="77"/>
      <c r="AA115" s="77" t="s">
        <v>54</v>
      </c>
      <c r="AB115" s="77" t="s">
        <v>40</v>
      </c>
      <c r="AC115" s="88">
        <v>5485</v>
      </c>
      <c r="AD115" s="88">
        <v>4940</v>
      </c>
      <c r="AE115" s="88">
        <v>4200</v>
      </c>
      <c r="AF115" s="44">
        <f t="shared" si="5"/>
        <v>0</v>
      </c>
      <c r="AG115" s="44" t="str">
        <f t="shared" si="6"/>
        <v>主动脉瓣置换费（介入）-肺动脉瓣置换（介入）（扩展）</v>
      </c>
      <c r="AH115" s="44">
        <f t="shared" si="7"/>
        <v>6000</v>
      </c>
      <c r="AI115" s="44">
        <f t="shared" si="8"/>
        <v>5400</v>
      </c>
      <c r="AJ115" s="44">
        <f t="shared" si="9"/>
        <v>4600</v>
      </c>
    </row>
    <row r="116" s="44" customFormat="1" ht="69" customHeight="1" spans="1:36">
      <c r="A116" s="55">
        <v>34</v>
      </c>
      <c r="B116" s="55" t="s">
        <v>560</v>
      </c>
      <c r="C116" s="55" t="s">
        <v>561</v>
      </c>
      <c r="D116" s="55" t="s">
        <v>350</v>
      </c>
      <c r="E116" s="59" t="s">
        <v>545</v>
      </c>
      <c r="F116" s="59" t="s">
        <v>546</v>
      </c>
      <c r="G116" s="55" t="s">
        <v>54</v>
      </c>
      <c r="H116" s="59" t="s">
        <v>40</v>
      </c>
      <c r="I116" s="30">
        <v>6130</v>
      </c>
      <c r="J116" s="30">
        <v>5517</v>
      </c>
      <c r="K116" s="64">
        <v>5800</v>
      </c>
      <c r="L116" s="64">
        <v>5300</v>
      </c>
      <c r="M116" s="64">
        <v>4500</v>
      </c>
      <c r="N116" s="35">
        <v>5800</v>
      </c>
      <c r="O116" s="35">
        <v>5300</v>
      </c>
      <c r="P116" s="35">
        <v>4500</v>
      </c>
      <c r="Q116" s="55" t="s">
        <v>41</v>
      </c>
      <c r="R116" s="55" t="s">
        <v>40</v>
      </c>
      <c r="S116" s="74" t="s">
        <v>40</v>
      </c>
      <c r="T116" s="64" t="s">
        <v>183</v>
      </c>
      <c r="U116" s="59" t="s">
        <v>183</v>
      </c>
      <c r="V116" s="76" t="s">
        <v>562</v>
      </c>
      <c r="W116" s="76">
        <v>33080100304</v>
      </c>
      <c r="X116" s="77" t="s">
        <v>563</v>
      </c>
      <c r="Y116" s="77"/>
      <c r="Z116" s="77"/>
      <c r="AA116" s="77" t="s">
        <v>54</v>
      </c>
      <c r="AB116" s="77" t="s">
        <v>40</v>
      </c>
      <c r="AC116" s="88">
        <v>5800</v>
      </c>
      <c r="AD116" s="88">
        <v>5300</v>
      </c>
      <c r="AE116" s="88">
        <v>4500</v>
      </c>
      <c r="AF116" s="44">
        <f t="shared" si="5"/>
        <v>0</v>
      </c>
      <c r="AG116" s="44" t="str">
        <f t="shared" si="6"/>
        <v>二尖瓣置换费（介入）</v>
      </c>
      <c r="AH116" s="44">
        <f t="shared" si="7"/>
        <v>5800</v>
      </c>
      <c r="AI116" s="44">
        <f t="shared" si="8"/>
        <v>5300</v>
      </c>
      <c r="AJ116" s="44">
        <f t="shared" si="9"/>
        <v>4500</v>
      </c>
    </row>
    <row r="117" s="44" customFormat="1" ht="38" customHeight="1" spans="1:36">
      <c r="A117" s="55" t="s">
        <v>55</v>
      </c>
      <c r="B117" s="55" t="s">
        <v>564</v>
      </c>
      <c r="C117" s="55" t="s">
        <v>565</v>
      </c>
      <c r="D117" s="55" t="s">
        <v>350</v>
      </c>
      <c r="E117" s="59" t="s">
        <v>40</v>
      </c>
      <c r="F117" s="59" t="s">
        <v>40</v>
      </c>
      <c r="G117" s="55" t="s">
        <v>54</v>
      </c>
      <c r="H117" s="59" t="s">
        <v>40</v>
      </c>
      <c r="I117" s="30">
        <v>1839</v>
      </c>
      <c r="J117" s="30">
        <v>1655</v>
      </c>
      <c r="K117" s="64"/>
      <c r="L117" s="64"/>
      <c r="M117" s="64"/>
      <c r="N117" s="35">
        <v>1740</v>
      </c>
      <c r="O117" s="35">
        <v>1590</v>
      </c>
      <c r="P117" s="35">
        <v>1350</v>
      </c>
      <c r="Q117" s="35" t="e">
        <f t="shared" ref="Q117:S117" si="13">Q116*0.3</f>
        <v>#VALUE!</v>
      </c>
      <c r="R117" s="35" t="e">
        <f t="shared" si="13"/>
        <v>#VALUE!</v>
      </c>
      <c r="S117" s="35" t="e">
        <f t="shared" si="13"/>
        <v>#VALUE!</v>
      </c>
      <c r="T117" s="64"/>
      <c r="U117" s="59" t="s">
        <v>305</v>
      </c>
      <c r="V117" s="76" t="s">
        <v>566</v>
      </c>
      <c r="W117" s="76">
        <v>33080100305</v>
      </c>
      <c r="X117" s="77" t="s">
        <v>567</v>
      </c>
      <c r="Y117" s="77"/>
      <c r="Z117" s="77"/>
      <c r="AA117" s="77" t="s">
        <v>54</v>
      </c>
      <c r="AB117" s="77" t="s">
        <v>40</v>
      </c>
      <c r="AC117" s="88">
        <v>7540</v>
      </c>
      <c r="AD117" s="88">
        <v>6890</v>
      </c>
      <c r="AE117" s="88">
        <v>5850</v>
      </c>
      <c r="AF117" s="44">
        <f t="shared" si="5"/>
        <v>11</v>
      </c>
      <c r="AG117" s="44" t="str">
        <f t="shared" si="6"/>
        <v>二尖瓣置换费（介入）</v>
      </c>
      <c r="AH117" s="44">
        <f t="shared" si="7"/>
        <v>7540</v>
      </c>
      <c r="AI117" s="44">
        <f t="shared" si="8"/>
        <v>6890</v>
      </c>
      <c r="AJ117" s="44">
        <f t="shared" si="9"/>
        <v>5850</v>
      </c>
    </row>
    <row r="118" s="44" customFormat="1" ht="38" customHeight="1" spans="1:36">
      <c r="A118" s="55" t="s">
        <v>55</v>
      </c>
      <c r="B118" s="55" t="s">
        <v>568</v>
      </c>
      <c r="C118" s="56" t="s">
        <v>569</v>
      </c>
      <c r="D118" s="55" t="s">
        <v>350</v>
      </c>
      <c r="E118" s="59" t="s">
        <v>40</v>
      </c>
      <c r="F118" s="59" t="s">
        <v>40</v>
      </c>
      <c r="G118" s="55" t="s">
        <v>54</v>
      </c>
      <c r="H118" s="59" t="s">
        <v>40</v>
      </c>
      <c r="I118" s="30">
        <v>6130</v>
      </c>
      <c r="J118" s="30">
        <v>5517</v>
      </c>
      <c r="K118" s="64"/>
      <c r="L118" s="64"/>
      <c r="M118" s="64"/>
      <c r="N118" s="66">
        <v>5800</v>
      </c>
      <c r="O118" s="66">
        <v>5300</v>
      </c>
      <c r="P118" s="66">
        <v>4500</v>
      </c>
      <c r="Q118" s="55" t="s">
        <v>41</v>
      </c>
      <c r="R118" s="55" t="s">
        <v>40</v>
      </c>
      <c r="S118" s="74" t="s">
        <v>40</v>
      </c>
      <c r="T118" s="64"/>
      <c r="U118" s="59" t="s">
        <v>555</v>
      </c>
      <c r="V118" s="76" t="s">
        <v>570</v>
      </c>
      <c r="W118" s="76">
        <v>33080100504</v>
      </c>
      <c r="X118" s="77" t="s">
        <v>571</v>
      </c>
      <c r="Y118" s="77" t="s">
        <v>534</v>
      </c>
      <c r="Z118" s="77"/>
      <c r="AA118" s="77" t="s">
        <v>54</v>
      </c>
      <c r="AB118" s="77" t="s">
        <v>40</v>
      </c>
      <c r="AC118" s="88">
        <v>6000</v>
      </c>
      <c r="AD118" s="88">
        <v>5400</v>
      </c>
      <c r="AE118" s="88">
        <v>4600</v>
      </c>
      <c r="AF118" s="44">
        <f t="shared" si="5"/>
        <v>0</v>
      </c>
      <c r="AG118" s="44" t="str">
        <f t="shared" si="6"/>
        <v>二尖瓣置换费（介入）-三尖瓣置换（介入）（扩展）</v>
      </c>
      <c r="AH118" s="44">
        <f t="shared" si="7"/>
        <v>5800</v>
      </c>
      <c r="AI118" s="44">
        <f t="shared" si="8"/>
        <v>5300</v>
      </c>
      <c r="AJ118" s="44">
        <f t="shared" si="9"/>
        <v>4500</v>
      </c>
    </row>
    <row r="119" s="44" customFormat="1" ht="38" customHeight="1" spans="1:36">
      <c r="A119" s="55"/>
      <c r="B119" s="55"/>
      <c r="C119" s="56" t="s">
        <v>569</v>
      </c>
      <c r="D119" s="55"/>
      <c r="E119" s="59"/>
      <c r="F119" s="59"/>
      <c r="G119" s="55"/>
      <c r="H119" s="59"/>
      <c r="I119" s="37"/>
      <c r="J119" s="37"/>
      <c r="K119" s="64"/>
      <c r="L119" s="64"/>
      <c r="M119" s="64"/>
      <c r="N119" s="66">
        <v>5800</v>
      </c>
      <c r="O119" s="66">
        <v>5300</v>
      </c>
      <c r="P119" s="66">
        <v>4500</v>
      </c>
      <c r="Q119" s="55"/>
      <c r="R119" s="55"/>
      <c r="S119" s="74"/>
      <c r="T119" s="64"/>
      <c r="U119" s="59"/>
      <c r="V119" s="76" t="s">
        <v>572</v>
      </c>
      <c r="W119" s="76">
        <v>33080100505</v>
      </c>
      <c r="X119" s="77" t="s">
        <v>573</v>
      </c>
      <c r="Y119" s="77"/>
      <c r="Z119" s="77"/>
      <c r="AA119" s="77" t="s">
        <v>54</v>
      </c>
      <c r="AB119" s="77" t="s">
        <v>40</v>
      </c>
      <c r="AC119" s="88">
        <v>7800</v>
      </c>
      <c r="AD119" s="88">
        <v>7020</v>
      </c>
      <c r="AE119" s="88">
        <v>5980</v>
      </c>
      <c r="AF119" s="44">
        <f t="shared" si="5"/>
        <v>0</v>
      </c>
      <c r="AG119" s="44" t="str">
        <f t="shared" si="6"/>
        <v>二尖瓣置换费（介入）-三尖瓣置换（介入）（扩展）</v>
      </c>
      <c r="AH119" s="44">
        <f t="shared" si="7"/>
        <v>5800</v>
      </c>
      <c r="AI119" s="44">
        <f t="shared" si="8"/>
        <v>5300</v>
      </c>
      <c r="AJ119" s="44">
        <f t="shared" si="9"/>
        <v>4500</v>
      </c>
    </row>
    <row r="120" s="44" customFormat="1" ht="38" customHeight="1" spans="1:36">
      <c r="A120" s="55">
        <v>35</v>
      </c>
      <c r="B120" s="55" t="s">
        <v>574</v>
      </c>
      <c r="C120" s="56" t="s">
        <v>575</v>
      </c>
      <c r="D120" s="55" t="s">
        <v>350</v>
      </c>
      <c r="E120" s="59" t="s">
        <v>576</v>
      </c>
      <c r="F120" s="59" t="s">
        <v>577</v>
      </c>
      <c r="G120" s="55" t="s">
        <v>54</v>
      </c>
      <c r="H120" s="59" t="s">
        <v>578</v>
      </c>
      <c r="I120" s="30">
        <v>3200</v>
      </c>
      <c r="J120" s="30">
        <v>2880</v>
      </c>
      <c r="K120" s="64">
        <v>3315.19337016575</v>
      </c>
      <c r="L120" s="64">
        <v>3162.5</v>
      </c>
      <c r="M120" s="64"/>
      <c r="N120" s="66">
        <v>3150</v>
      </c>
      <c r="O120" s="66">
        <v>2850</v>
      </c>
      <c r="P120" s="66">
        <v>2450</v>
      </c>
      <c r="Q120" s="55" t="s">
        <v>41</v>
      </c>
      <c r="R120" s="55" t="s">
        <v>40</v>
      </c>
      <c r="S120" s="74">
        <v>0.2</v>
      </c>
      <c r="T120" s="64" t="s">
        <v>115</v>
      </c>
      <c r="U120" s="59" t="s">
        <v>579</v>
      </c>
      <c r="V120" s="76" t="s">
        <v>580</v>
      </c>
      <c r="W120" s="76">
        <v>320400003</v>
      </c>
      <c r="X120" s="77" t="s">
        <v>581</v>
      </c>
      <c r="Y120" s="77" t="s">
        <v>582</v>
      </c>
      <c r="Z120" s="77" t="s">
        <v>583</v>
      </c>
      <c r="AA120" s="77" t="s">
        <v>54</v>
      </c>
      <c r="AB120" s="77" t="s">
        <v>40</v>
      </c>
      <c r="AC120" s="88">
        <v>3450</v>
      </c>
      <c r="AD120" s="88">
        <v>3250</v>
      </c>
      <c r="AE120" s="88">
        <v>2600</v>
      </c>
      <c r="AF120" s="44">
        <f t="shared" si="5"/>
        <v>0</v>
      </c>
      <c r="AG120" s="44" t="str">
        <f t="shared" si="6"/>
        <v>结构性心脏病封堵费（常规）</v>
      </c>
      <c r="AH120" s="44">
        <f t="shared" si="7"/>
        <v>3150</v>
      </c>
      <c r="AI120" s="44">
        <f t="shared" si="8"/>
        <v>2850</v>
      </c>
      <c r="AJ120" s="44">
        <f t="shared" si="9"/>
        <v>2450</v>
      </c>
    </row>
    <row r="121" s="44" customFormat="1" ht="38" customHeight="1" spans="1:36">
      <c r="A121" s="55"/>
      <c r="B121" s="55"/>
      <c r="C121" s="56" t="s">
        <v>575</v>
      </c>
      <c r="D121" s="55"/>
      <c r="E121" s="59"/>
      <c r="F121" s="59"/>
      <c r="G121" s="55"/>
      <c r="H121" s="59"/>
      <c r="I121" s="37"/>
      <c r="J121" s="37"/>
      <c r="K121" s="64"/>
      <c r="L121" s="64"/>
      <c r="M121" s="64"/>
      <c r="N121" s="66">
        <v>3150</v>
      </c>
      <c r="O121" s="66">
        <v>2850</v>
      </c>
      <c r="P121" s="66">
        <v>2450</v>
      </c>
      <c r="Q121" s="55"/>
      <c r="R121" s="55"/>
      <c r="S121" s="74"/>
      <c r="T121" s="64"/>
      <c r="U121" s="59"/>
      <c r="V121" s="76" t="s">
        <v>584</v>
      </c>
      <c r="W121" s="76">
        <v>320400004</v>
      </c>
      <c r="X121" s="77" t="s">
        <v>585</v>
      </c>
      <c r="Y121" s="80" t="s">
        <v>586</v>
      </c>
      <c r="Z121" s="77" t="s">
        <v>587</v>
      </c>
      <c r="AA121" s="77" t="s">
        <v>54</v>
      </c>
      <c r="AB121" s="77" t="s">
        <v>40</v>
      </c>
      <c r="AC121" s="88">
        <v>3050</v>
      </c>
      <c r="AD121" s="88">
        <v>2900</v>
      </c>
      <c r="AE121" s="88">
        <v>2320</v>
      </c>
      <c r="AF121" s="44">
        <f t="shared" si="5"/>
        <v>0</v>
      </c>
      <c r="AG121" s="44" t="str">
        <f t="shared" si="6"/>
        <v>结构性心脏病封堵费（常规）</v>
      </c>
      <c r="AH121" s="44">
        <f t="shared" si="7"/>
        <v>3150</v>
      </c>
      <c r="AI121" s="44">
        <f t="shared" si="8"/>
        <v>2850</v>
      </c>
      <c r="AJ121" s="44">
        <f t="shared" si="9"/>
        <v>2450</v>
      </c>
    </row>
    <row r="122" s="44" customFormat="1" ht="38" customHeight="1" spans="1:36">
      <c r="A122" s="55" t="s">
        <v>55</v>
      </c>
      <c r="B122" s="55" t="s">
        <v>588</v>
      </c>
      <c r="C122" s="56" t="s">
        <v>589</v>
      </c>
      <c r="D122" s="55" t="s">
        <v>350</v>
      </c>
      <c r="E122" s="59" t="s">
        <v>40</v>
      </c>
      <c r="F122" s="59" t="s">
        <v>40</v>
      </c>
      <c r="G122" s="55" t="s">
        <v>54</v>
      </c>
      <c r="H122" s="59" t="s">
        <v>40</v>
      </c>
      <c r="I122" s="30">
        <v>960</v>
      </c>
      <c r="J122" s="30">
        <v>864</v>
      </c>
      <c r="K122" s="64">
        <v>1335</v>
      </c>
      <c r="L122" s="64"/>
      <c r="M122" s="64"/>
      <c r="N122" s="66">
        <v>945</v>
      </c>
      <c r="O122" s="66">
        <v>855</v>
      </c>
      <c r="P122" s="66">
        <v>735</v>
      </c>
      <c r="Q122" s="55" t="s">
        <v>41</v>
      </c>
      <c r="R122" s="55" t="s">
        <v>40</v>
      </c>
      <c r="S122" s="74">
        <v>0.2</v>
      </c>
      <c r="T122" s="64"/>
      <c r="U122" s="59"/>
      <c r="V122" s="76" t="s">
        <v>590</v>
      </c>
      <c r="W122" s="76">
        <v>32040000301</v>
      </c>
      <c r="X122" s="77" t="s">
        <v>591</v>
      </c>
      <c r="Y122" s="77"/>
      <c r="Z122" s="77"/>
      <c r="AA122" s="77" t="s">
        <v>54</v>
      </c>
      <c r="AB122" s="77" t="s">
        <v>40</v>
      </c>
      <c r="AC122" s="88">
        <v>4485</v>
      </c>
      <c r="AD122" s="88">
        <v>4225</v>
      </c>
      <c r="AE122" s="88">
        <v>3380</v>
      </c>
      <c r="AF122" s="44">
        <f t="shared" si="5"/>
        <v>14</v>
      </c>
      <c r="AG122" s="44" t="str">
        <f t="shared" si="6"/>
        <v>结构性心脏病封堵费（常规）</v>
      </c>
      <c r="AH122" s="44">
        <f t="shared" si="7"/>
        <v>4095</v>
      </c>
      <c r="AI122" s="44">
        <f t="shared" si="8"/>
        <v>3705</v>
      </c>
      <c r="AJ122" s="44">
        <f t="shared" si="9"/>
        <v>3185</v>
      </c>
    </row>
    <row r="123" s="44" customFormat="1" ht="38" customHeight="1" spans="1:36">
      <c r="A123" s="55"/>
      <c r="B123" s="55"/>
      <c r="C123" s="56" t="s">
        <v>589</v>
      </c>
      <c r="D123" s="55"/>
      <c r="E123" s="59"/>
      <c r="F123" s="59"/>
      <c r="G123" s="55"/>
      <c r="H123" s="59"/>
      <c r="I123" s="37"/>
      <c r="J123" s="37"/>
      <c r="K123" s="64"/>
      <c r="L123" s="64"/>
      <c r="M123" s="64"/>
      <c r="N123" s="66">
        <v>945</v>
      </c>
      <c r="O123" s="66">
        <v>855</v>
      </c>
      <c r="P123" s="66">
        <v>735</v>
      </c>
      <c r="Q123" s="55"/>
      <c r="R123" s="55"/>
      <c r="S123" s="74"/>
      <c r="T123" s="64"/>
      <c r="U123" s="59"/>
      <c r="V123" s="76" t="s">
        <v>592</v>
      </c>
      <c r="W123" s="76">
        <v>32040000401</v>
      </c>
      <c r="X123" s="77" t="s">
        <v>593</v>
      </c>
      <c r="Y123" s="80"/>
      <c r="Z123" s="77"/>
      <c r="AA123" s="77" t="s">
        <v>54</v>
      </c>
      <c r="AB123" s="77" t="s">
        <v>40</v>
      </c>
      <c r="AC123" s="88">
        <v>3965</v>
      </c>
      <c r="AD123" s="88">
        <v>3770</v>
      </c>
      <c r="AE123" s="88">
        <v>3015</v>
      </c>
      <c r="AF123" s="44">
        <f t="shared" si="5"/>
        <v>14</v>
      </c>
      <c r="AG123" s="44" t="str">
        <f t="shared" si="6"/>
        <v>结构性心脏病封堵费（常规）</v>
      </c>
      <c r="AH123" s="44">
        <f t="shared" si="7"/>
        <v>4095</v>
      </c>
      <c r="AI123" s="44">
        <f t="shared" si="8"/>
        <v>3705</v>
      </c>
      <c r="AJ123" s="44">
        <f t="shared" si="9"/>
        <v>3185</v>
      </c>
    </row>
    <row r="124" s="44" customFormat="1" ht="38" customHeight="1" spans="1:36">
      <c r="A124" s="55">
        <v>38</v>
      </c>
      <c r="B124" s="55" t="s">
        <v>607</v>
      </c>
      <c r="C124" s="56" t="s">
        <v>608</v>
      </c>
      <c r="D124" s="55" t="s">
        <v>350</v>
      </c>
      <c r="E124" s="59" t="s">
        <v>609</v>
      </c>
      <c r="F124" s="59" t="s">
        <v>610</v>
      </c>
      <c r="G124" s="55" t="s">
        <v>54</v>
      </c>
      <c r="H124" s="59" t="s">
        <v>611</v>
      </c>
      <c r="I124" s="30">
        <v>2380</v>
      </c>
      <c r="J124" s="30">
        <v>2142</v>
      </c>
      <c r="K124" s="64">
        <v>5050</v>
      </c>
      <c r="L124" s="64">
        <v>4550</v>
      </c>
      <c r="M124" s="64">
        <v>3870</v>
      </c>
      <c r="N124" s="67">
        <v>2350</v>
      </c>
      <c r="O124" s="67">
        <v>2140</v>
      </c>
      <c r="P124" s="67">
        <v>1850</v>
      </c>
      <c r="Q124" s="55" t="s">
        <v>41</v>
      </c>
      <c r="R124" s="55" t="s">
        <v>40</v>
      </c>
      <c r="S124" s="74">
        <v>0.2</v>
      </c>
      <c r="T124" s="64" t="s">
        <v>115</v>
      </c>
      <c r="U124" s="59" t="s">
        <v>612</v>
      </c>
      <c r="V124" s="76" t="s">
        <v>613</v>
      </c>
      <c r="W124" s="76">
        <v>320500016</v>
      </c>
      <c r="X124" s="77" t="s">
        <v>614</v>
      </c>
      <c r="Y124" s="77"/>
      <c r="Z124" s="77"/>
      <c r="AA124" s="77" t="s">
        <v>54</v>
      </c>
      <c r="AB124" s="77"/>
      <c r="AC124" s="88">
        <v>5050</v>
      </c>
      <c r="AD124" s="88">
        <v>4550</v>
      </c>
      <c r="AE124" s="88">
        <v>3870</v>
      </c>
      <c r="AF124" s="44">
        <f t="shared" si="5"/>
        <v>0</v>
      </c>
      <c r="AG124" s="44" t="str">
        <f t="shared" si="6"/>
        <v>肥厚型心肌病消融费</v>
      </c>
      <c r="AH124" s="44">
        <f t="shared" si="7"/>
        <v>2350</v>
      </c>
      <c r="AI124" s="44">
        <f t="shared" si="8"/>
        <v>2140</v>
      </c>
      <c r="AJ124" s="44">
        <f t="shared" si="9"/>
        <v>1850</v>
      </c>
    </row>
    <row r="125" s="44" customFormat="1" ht="38" customHeight="1" spans="1:36">
      <c r="A125" s="55"/>
      <c r="B125" s="55"/>
      <c r="C125" s="56" t="s">
        <v>608</v>
      </c>
      <c r="D125" s="55"/>
      <c r="E125" s="59"/>
      <c r="F125" s="59"/>
      <c r="G125" s="55"/>
      <c r="H125" s="59"/>
      <c r="I125" s="37"/>
      <c r="J125" s="37"/>
      <c r="K125" s="64"/>
      <c r="L125" s="64"/>
      <c r="M125" s="64"/>
      <c r="N125" s="67">
        <v>2350</v>
      </c>
      <c r="O125" s="67">
        <v>2140</v>
      </c>
      <c r="P125" s="67">
        <v>1850</v>
      </c>
      <c r="Q125" s="55"/>
      <c r="R125" s="55"/>
      <c r="S125" s="74"/>
      <c r="T125" s="64"/>
      <c r="U125" s="59"/>
      <c r="V125" s="76" t="s">
        <v>615</v>
      </c>
      <c r="W125" s="76">
        <v>320500012</v>
      </c>
      <c r="X125" s="77" t="s">
        <v>616</v>
      </c>
      <c r="Y125" s="77" t="s">
        <v>372</v>
      </c>
      <c r="Z125" s="77"/>
      <c r="AA125" s="77" t="s">
        <v>54</v>
      </c>
      <c r="AB125" s="77" t="s">
        <v>40</v>
      </c>
      <c r="AC125" s="88"/>
      <c r="AD125" s="88"/>
      <c r="AE125" s="88"/>
      <c r="AF125" s="44">
        <f t="shared" si="5"/>
        <v>0</v>
      </c>
      <c r="AG125" s="44" t="str">
        <f t="shared" si="6"/>
        <v>肥厚型心肌病消融费</v>
      </c>
      <c r="AH125" s="44">
        <f t="shared" si="7"/>
        <v>2350</v>
      </c>
      <c r="AI125" s="44">
        <f t="shared" si="8"/>
        <v>2140</v>
      </c>
      <c r="AJ125" s="44">
        <f t="shared" si="9"/>
        <v>1850</v>
      </c>
    </row>
    <row r="126" s="44" customFormat="1" ht="38" customHeight="1" spans="1:36">
      <c r="A126" s="55" t="s">
        <v>55</v>
      </c>
      <c r="B126" s="55" t="s">
        <v>617</v>
      </c>
      <c r="C126" s="55" t="s">
        <v>618</v>
      </c>
      <c r="D126" s="55" t="s">
        <v>350</v>
      </c>
      <c r="E126" s="59" t="s">
        <v>40</v>
      </c>
      <c r="F126" s="59" t="s">
        <v>40</v>
      </c>
      <c r="G126" s="55" t="s">
        <v>54</v>
      </c>
      <c r="H126" s="59" t="s">
        <v>40</v>
      </c>
      <c r="I126" s="30">
        <v>714</v>
      </c>
      <c r="J126" s="30">
        <v>643</v>
      </c>
      <c r="K126" s="64"/>
      <c r="L126" s="64"/>
      <c r="M126" s="64"/>
      <c r="N126" s="35">
        <v>705</v>
      </c>
      <c r="O126" s="35">
        <v>640</v>
      </c>
      <c r="P126" s="35">
        <v>555</v>
      </c>
      <c r="Q126" s="55" t="s">
        <v>41</v>
      </c>
      <c r="R126" s="55" t="s">
        <v>40</v>
      </c>
      <c r="S126" s="74">
        <v>0.2</v>
      </c>
      <c r="T126" s="64"/>
      <c r="U126" s="59" t="s">
        <v>305</v>
      </c>
      <c r="V126" s="76" t="s">
        <v>619</v>
      </c>
      <c r="W126" s="76">
        <v>32050001601</v>
      </c>
      <c r="X126" s="77" t="s">
        <v>620</v>
      </c>
      <c r="Y126" s="77"/>
      <c r="Z126" s="77"/>
      <c r="AA126" s="77" t="s">
        <v>54</v>
      </c>
      <c r="AB126" s="77" t="s">
        <v>40</v>
      </c>
      <c r="AC126" s="88">
        <v>6565</v>
      </c>
      <c r="AD126" s="88">
        <v>5915</v>
      </c>
      <c r="AE126" s="88">
        <v>5030</v>
      </c>
      <c r="AF126" s="44">
        <f t="shared" si="5"/>
        <v>10</v>
      </c>
      <c r="AG126" s="44" t="str">
        <f t="shared" si="6"/>
        <v>肥厚型心肌病消融费</v>
      </c>
      <c r="AH126" s="44">
        <f t="shared" si="7"/>
        <v>3055</v>
      </c>
      <c r="AI126" s="44">
        <f t="shared" si="8"/>
        <v>2780</v>
      </c>
      <c r="AJ126" s="44">
        <f t="shared" si="9"/>
        <v>2405</v>
      </c>
    </row>
    <row r="127" s="44" customFormat="1" ht="38" customHeight="1" spans="1:36">
      <c r="A127" s="55">
        <v>39</v>
      </c>
      <c r="B127" s="55" t="s">
        <v>621</v>
      </c>
      <c r="C127" s="56" t="s">
        <v>622</v>
      </c>
      <c r="D127" s="55" t="s">
        <v>350</v>
      </c>
      <c r="E127" s="59" t="s">
        <v>623</v>
      </c>
      <c r="F127" s="59" t="s">
        <v>624</v>
      </c>
      <c r="G127" s="55" t="s">
        <v>54</v>
      </c>
      <c r="H127" s="59" t="s">
        <v>625</v>
      </c>
      <c r="I127" s="30">
        <v>2500</v>
      </c>
      <c r="J127" s="30">
        <v>2250</v>
      </c>
      <c r="K127" s="64">
        <v>2300</v>
      </c>
      <c r="L127" s="64">
        <v>2000</v>
      </c>
      <c r="M127" s="64">
        <v>1700</v>
      </c>
      <c r="N127" s="66">
        <v>2300</v>
      </c>
      <c r="O127" s="66">
        <v>2000</v>
      </c>
      <c r="P127" s="66">
        <v>1700</v>
      </c>
      <c r="Q127" s="55" t="s">
        <v>41</v>
      </c>
      <c r="R127" s="55" t="s">
        <v>40</v>
      </c>
      <c r="S127" s="74">
        <v>0.2</v>
      </c>
      <c r="T127" s="64" t="s">
        <v>183</v>
      </c>
      <c r="U127" s="59" t="s">
        <v>183</v>
      </c>
      <c r="V127" s="76" t="s">
        <v>626</v>
      </c>
      <c r="W127" s="76">
        <v>310702004</v>
      </c>
      <c r="X127" s="77" t="s">
        <v>627</v>
      </c>
      <c r="Y127" s="77" t="s">
        <v>628</v>
      </c>
      <c r="Z127" s="77" t="s">
        <v>629</v>
      </c>
      <c r="AA127" s="77" t="s">
        <v>54</v>
      </c>
      <c r="AB127" s="77" t="s">
        <v>157</v>
      </c>
      <c r="AC127" s="88">
        <v>2300</v>
      </c>
      <c r="AD127" s="88">
        <v>2000</v>
      </c>
      <c r="AE127" s="88">
        <v>1700</v>
      </c>
      <c r="AF127" s="44">
        <f t="shared" si="5"/>
        <v>0</v>
      </c>
      <c r="AG127" s="44" t="str">
        <f t="shared" si="6"/>
        <v>心律失常消融费（常规）</v>
      </c>
      <c r="AH127" s="44">
        <f t="shared" si="7"/>
        <v>2300</v>
      </c>
      <c r="AI127" s="44">
        <f t="shared" si="8"/>
        <v>2000</v>
      </c>
      <c r="AJ127" s="44">
        <f t="shared" si="9"/>
        <v>1700</v>
      </c>
    </row>
    <row r="128" s="44" customFormat="1" ht="38" customHeight="1" spans="1:36">
      <c r="A128" s="55"/>
      <c r="B128" s="55"/>
      <c r="C128" s="56" t="s">
        <v>622</v>
      </c>
      <c r="D128" s="55"/>
      <c r="E128" s="59"/>
      <c r="F128" s="59"/>
      <c r="G128" s="55"/>
      <c r="H128" s="59"/>
      <c r="I128" s="37"/>
      <c r="J128" s="37"/>
      <c r="K128" s="64"/>
      <c r="L128" s="64"/>
      <c r="M128" s="64"/>
      <c r="N128" s="66">
        <v>2300</v>
      </c>
      <c r="O128" s="66">
        <v>2000</v>
      </c>
      <c r="P128" s="66">
        <v>1700</v>
      </c>
      <c r="Q128" s="55"/>
      <c r="R128" s="55"/>
      <c r="S128" s="74"/>
      <c r="T128" s="64"/>
      <c r="U128" s="59"/>
      <c r="V128" s="76" t="s">
        <v>630</v>
      </c>
      <c r="W128" s="76">
        <v>330803015</v>
      </c>
      <c r="X128" s="77" t="s">
        <v>631</v>
      </c>
      <c r="Y128" s="77" t="s">
        <v>632</v>
      </c>
      <c r="Z128" s="77"/>
      <c r="AA128" s="77" t="s">
        <v>54</v>
      </c>
      <c r="AB128" s="77" t="s">
        <v>633</v>
      </c>
      <c r="AC128" s="88">
        <v>3500</v>
      </c>
      <c r="AD128" s="88">
        <v>3360</v>
      </c>
      <c r="AE128" s="88">
        <v>2856</v>
      </c>
      <c r="AF128" s="44">
        <f t="shared" si="5"/>
        <v>0</v>
      </c>
      <c r="AG128" s="44" t="str">
        <f t="shared" si="6"/>
        <v>心律失常消融费（常规）</v>
      </c>
      <c r="AH128" s="44">
        <f t="shared" si="7"/>
        <v>2300</v>
      </c>
      <c r="AI128" s="44">
        <f t="shared" si="8"/>
        <v>2000</v>
      </c>
      <c r="AJ128" s="44">
        <f t="shared" si="9"/>
        <v>1700</v>
      </c>
    </row>
    <row r="129" s="44" customFormat="1" ht="38" customHeight="1" spans="1:36">
      <c r="A129" s="55"/>
      <c r="B129" s="55"/>
      <c r="C129" s="56" t="s">
        <v>622</v>
      </c>
      <c r="D129" s="55"/>
      <c r="E129" s="59"/>
      <c r="F129" s="59"/>
      <c r="G129" s="55"/>
      <c r="H129" s="59"/>
      <c r="I129" s="37"/>
      <c r="J129" s="37"/>
      <c r="K129" s="64"/>
      <c r="L129" s="64"/>
      <c r="M129" s="64"/>
      <c r="N129" s="66">
        <v>2300</v>
      </c>
      <c r="O129" s="66">
        <v>2000</v>
      </c>
      <c r="P129" s="66">
        <v>1700</v>
      </c>
      <c r="Q129" s="55"/>
      <c r="R129" s="55"/>
      <c r="S129" s="74"/>
      <c r="T129" s="64"/>
      <c r="U129" s="59"/>
      <c r="V129" s="76" t="s">
        <v>634</v>
      </c>
      <c r="W129" s="76">
        <v>33080301501</v>
      </c>
      <c r="X129" s="77" t="s">
        <v>635</v>
      </c>
      <c r="Y129" s="77"/>
      <c r="Z129" s="77"/>
      <c r="AA129" s="77" t="s">
        <v>54</v>
      </c>
      <c r="AB129" s="77" t="s">
        <v>636</v>
      </c>
      <c r="AC129" s="88">
        <v>3750</v>
      </c>
      <c r="AD129" s="88">
        <v>3600</v>
      </c>
      <c r="AE129" s="88">
        <v>3060</v>
      </c>
      <c r="AF129" s="44">
        <f t="shared" si="5"/>
        <v>0</v>
      </c>
      <c r="AG129" s="44" t="str">
        <f t="shared" si="6"/>
        <v>心律失常消融费（常规）</v>
      </c>
      <c r="AH129" s="44">
        <f t="shared" si="7"/>
        <v>2300</v>
      </c>
      <c r="AI129" s="44">
        <f t="shared" si="8"/>
        <v>2000</v>
      </c>
      <c r="AJ129" s="44">
        <f t="shared" si="9"/>
        <v>1700</v>
      </c>
    </row>
    <row r="130" s="44" customFormat="1" ht="38" customHeight="1" spans="1:36">
      <c r="A130" s="55" t="s">
        <v>55</v>
      </c>
      <c r="B130" s="55" t="s">
        <v>637</v>
      </c>
      <c r="C130" s="56" t="s">
        <v>638</v>
      </c>
      <c r="D130" s="55" t="s">
        <v>350</v>
      </c>
      <c r="E130" s="59" t="s">
        <v>40</v>
      </c>
      <c r="F130" s="59" t="s">
        <v>40</v>
      </c>
      <c r="G130" s="55" t="s">
        <v>54</v>
      </c>
      <c r="H130" s="59" t="s">
        <v>40</v>
      </c>
      <c r="I130" s="30">
        <v>750</v>
      </c>
      <c r="J130" s="30">
        <v>675</v>
      </c>
      <c r="K130" s="64"/>
      <c r="L130" s="64"/>
      <c r="M130" s="64"/>
      <c r="N130" s="66">
        <v>690</v>
      </c>
      <c r="O130" s="66">
        <v>600</v>
      </c>
      <c r="P130" s="66">
        <v>510</v>
      </c>
      <c r="Q130" s="55" t="s">
        <v>41</v>
      </c>
      <c r="R130" s="55" t="s">
        <v>40</v>
      </c>
      <c r="S130" s="74">
        <v>0.2</v>
      </c>
      <c r="T130" s="64"/>
      <c r="U130" s="59" t="s">
        <v>305</v>
      </c>
      <c r="V130" s="76" t="s">
        <v>639</v>
      </c>
      <c r="W130" s="76">
        <v>33080301502</v>
      </c>
      <c r="X130" s="77" t="s">
        <v>640</v>
      </c>
      <c r="Y130" s="77"/>
      <c r="Z130" s="77"/>
      <c r="AA130" s="77" t="s">
        <v>54</v>
      </c>
      <c r="AB130" s="77" t="s">
        <v>40</v>
      </c>
      <c r="AC130" s="88">
        <v>4550</v>
      </c>
      <c r="AD130" s="88">
        <v>4370</v>
      </c>
      <c r="AE130" s="88">
        <v>3715</v>
      </c>
      <c r="AF130" s="44">
        <f t="shared" si="5"/>
        <v>12</v>
      </c>
      <c r="AG130" s="44" t="str">
        <f t="shared" si="6"/>
        <v>心律失常消融费（常规）</v>
      </c>
      <c r="AH130" s="44">
        <f t="shared" si="7"/>
        <v>2990</v>
      </c>
      <c r="AI130" s="44">
        <f t="shared" si="8"/>
        <v>2600</v>
      </c>
      <c r="AJ130" s="44">
        <f t="shared" si="9"/>
        <v>2210</v>
      </c>
    </row>
    <row r="131" s="44" customFormat="1" ht="38" customHeight="1" spans="1:36">
      <c r="A131" s="55"/>
      <c r="B131" s="55"/>
      <c r="C131" s="56" t="s">
        <v>638</v>
      </c>
      <c r="D131" s="55"/>
      <c r="E131" s="59"/>
      <c r="F131" s="59"/>
      <c r="G131" s="55"/>
      <c r="H131" s="59"/>
      <c r="I131" s="37"/>
      <c r="J131" s="37"/>
      <c r="K131" s="64"/>
      <c r="L131" s="64"/>
      <c r="M131" s="64"/>
      <c r="N131" s="66">
        <v>690</v>
      </c>
      <c r="O131" s="66">
        <v>600</v>
      </c>
      <c r="P131" s="66">
        <v>510</v>
      </c>
      <c r="Q131" s="55"/>
      <c r="R131" s="55"/>
      <c r="S131" s="74"/>
      <c r="T131" s="64"/>
      <c r="U131" s="59"/>
      <c r="V131" s="76" t="s">
        <v>641</v>
      </c>
      <c r="W131" s="76">
        <v>33080301503</v>
      </c>
      <c r="X131" s="77" t="s">
        <v>642</v>
      </c>
      <c r="Y131" s="77"/>
      <c r="Z131" s="77"/>
      <c r="AA131" s="77" t="s">
        <v>54</v>
      </c>
      <c r="AB131" s="77" t="s">
        <v>636</v>
      </c>
      <c r="AC131" s="88">
        <v>4875</v>
      </c>
      <c r="AD131" s="88">
        <v>4680</v>
      </c>
      <c r="AE131" s="88">
        <v>3980</v>
      </c>
      <c r="AF131" s="44">
        <f t="shared" si="5"/>
        <v>12</v>
      </c>
      <c r="AG131" s="44" t="str">
        <f t="shared" si="6"/>
        <v>心律失常消融费（常规）</v>
      </c>
      <c r="AH131" s="44">
        <f t="shared" si="7"/>
        <v>2990</v>
      </c>
      <c r="AI131" s="44">
        <f t="shared" si="8"/>
        <v>2600</v>
      </c>
      <c r="AJ131" s="44">
        <f t="shared" si="9"/>
        <v>2210</v>
      </c>
    </row>
    <row r="132" s="44" customFormat="1" ht="38" customHeight="1" spans="1:36">
      <c r="A132" s="55">
        <v>43</v>
      </c>
      <c r="B132" s="55" t="s">
        <v>662</v>
      </c>
      <c r="C132" s="56" t="s">
        <v>663</v>
      </c>
      <c r="D132" s="55" t="s">
        <v>36</v>
      </c>
      <c r="E132" s="59" t="s">
        <v>664</v>
      </c>
      <c r="F132" s="59" t="s">
        <v>665</v>
      </c>
      <c r="G132" s="55" t="s">
        <v>54</v>
      </c>
      <c r="H132" s="59" t="s">
        <v>40</v>
      </c>
      <c r="I132" s="30">
        <v>1170</v>
      </c>
      <c r="J132" s="30">
        <v>1053</v>
      </c>
      <c r="K132" s="64">
        <v>1035</v>
      </c>
      <c r="L132" s="64">
        <v>900</v>
      </c>
      <c r="M132" s="64">
        <v>765</v>
      </c>
      <c r="N132" s="66">
        <v>1035</v>
      </c>
      <c r="O132" s="66">
        <v>900</v>
      </c>
      <c r="P132" s="66">
        <v>765</v>
      </c>
      <c r="Q132" s="55" t="s">
        <v>41</v>
      </c>
      <c r="R132" s="55" t="s">
        <v>40</v>
      </c>
      <c r="S132" s="74" t="s">
        <v>40</v>
      </c>
      <c r="T132" s="64" t="s">
        <v>183</v>
      </c>
      <c r="U132" s="59" t="s">
        <v>183</v>
      </c>
      <c r="V132" s="76" t="s">
        <v>666</v>
      </c>
      <c r="W132" s="76">
        <v>310702003</v>
      </c>
      <c r="X132" s="77" t="s">
        <v>667</v>
      </c>
      <c r="Y132" s="77" t="s">
        <v>668</v>
      </c>
      <c r="Z132" s="77" t="s">
        <v>669</v>
      </c>
      <c r="AA132" s="77" t="s">
        <v>54</v>
      </c>
      <c r="AB132" s="77" t="s">
        <v>157</v>
      </c>
      <c r="AC132" s="88">
        <v>1035</v>
      </c>
      <c r="AD132" s="88">
        <v>900</v>
      </c>
      <c r="AE132" s="88">
        <v>765</v>
      </c>
      <c r="AF132" s="44">
        <f t="shared" si="5"/>
        <v>0</v>
      </c>
      <c r="AG132" s="44" t="str">
        <f t="shared" si="6"/>
        <v>有创心内电生理检查费</v>
      </c>
      <c r="AH132" s="44">
        <f t="shared" si="7"/>
        <v>1035</v>
      </c>
      <c r="AI132" s="44">
        <f t="shared" si="8"/>
        <v>900</v>
      </c>
      <c r="AJ132" s="44">
        <f t="shared" si="9"/>
        <v>765</v>
      </c>
    </row>
    <row r="133" s="44" customFormat="1" ht="38" customHeight="1" spans="1:36">
      <c r="A133" s="55"/>
      <c r="B133" s="55"/>
      <c r="C133" s="56" t="s">
        <v>663</v>
      </c>
      <c r="D133" s="55"/>
      <c r="E133" s="59"/>
      <c r="F133" s="59"/>
      <c r="G133" s="55"/>
      <c r="H133" s="59"/>
      <c r="I133" s="37"/>
      <c r="J133" s="37"/>
      <c r="K133" s="64"/>
      <c r="L133" s="64"/>
      <c r="M133" s="64"/>
      <c r="N133" s="66">
        <v>1035</v>
      </c>
      <c r="O133" s="66">
        <v>900</v>
      </c>
      <c r="P133" s="66">
        <v>765</v>
      </c>
      <c r="Q133" s="55"/>
      <c r="R133" s="55"/>
      <c r="S133" s="74"/>
      <c r="T133" s="64"/>
      <c r="U133" s="59"/>
      <c r="V133" s="76" t="s">
        <v>670</v>
      </c>
      <c r="W133" s="76">
        <v>31070200302</v>
      </c>
      <c r="X133" s="77" t="s">
        <v>671</v>
      </c>
      <c r="Y133" s="77"/>
      <c r="Z133" s="77"/>
      <c r="AA133" s="77" t="s">
        <v>54</v>
      </c>
      <c r="AB133" s="77" t="s">
        <v>672</v>
      </c>
      <c r="AC133" s="88">
        <v>1035</v>
      </c>
      <c r="AD133" s="88">
        <v>900</v>
      </c>
      <c r="AE133" s="88">
        <v>765</v>
      </c>
      <c r="AF133" s="44">
        <f t="shared" ref="AF133:AF196" si="14">IFERROR(FIND("-儿童（加收）",C133,1),0)</f>
        <v>0</v>
      </c>
      <c r="AG133" s="44" t="str">
        <f t="shared" ref="AG133:AG196" si="15">SUBSTITUTE(C133,"-儿童（加收）","")</f>
        <v>有创心内电生理检查费</v>
      </c>
      <c r="AH133" s="44">
        <f t="shared" ref="AH133:AH196" si="16">IF(AF133&gt;0,_xlfn.MAXIFS(N:N,C:C,SUBSTITUTE(C133,"-儿童（加收）","")),0)+N133</f>
        <v>1035</v>
      </c>
      <c r="AI133" s="44">
        <f t="shared" ref="AI133:AI196" si="17">IF(AF133&gt;0,_xlfn.MAXIFS(O:O,C:C,SUBSTITUTE(C133,"-儿童（加收）","")),0)+O133</f>
        <v>900</v>
      </c>
      <c r="AJ133" s="44">
        <f t="shared" ref="AJ133:AJ196" si="18">IF(AF133&gt;0,_xlfn.MAXIFS(P:P,C:C,SUBSTITUTE(C133,"-儿童（加收）","")),0)+P133</f>
        <v>765</v>
      </c>
    </row>
    <row r="134" s="44" customFormat="1" ht="38" customHeight="1" spans="1:36">
      <c r="A134" s="97">
        <v>44</v>
      </c>
      <c r="B134" s="55" t="s">
        <v>675</v>
      </c>
      <c r="C134" s="55" t="s">
        <v>676</v>
      </c>
      <c r="D134" s="55" t="s">
        <v>350</v>
      </c>
      <c r="E134" s="59" t="s">
        <v>677</v>
      </c>
      <c r="F134" s="59" t="s">
        <v>678</v>
      </c>
      <c r="G134" s="55" t="s">
        <v>54</v>
      </c>
      <c r="H134" s="59" t="s">
        <v>40</v>
      </c>
      <c r="I134" s="30">
        <v>800</v>
      </c>
      <c r="J134" s="30">
        <v>720</v>
      </c>
      <c r="K134" s="64">
        <v>720</v>
      </c>
      <c r="L134" s="64">
        <v>650</v>
      </c>
      <c r="M134" s="64">
        <v>550</v>
      </c>
      <c r="N134" s="35">
        <v>720</v>
      </c>
      <c r="O134" s="35">
        <v>650</v>
      </c>
      <c r="P134" s="35">
        <v>550</v>
      </c>
      <c r="Q134" s="55" t="s">
        <v>41</v>
      </c>
      <c r="R134" s="55" t="s">
        <v>40</v>
      </c>
      <c r="S134" s="74" t="s">
        <v>40</v>
      </c>
      <c r="T134" s="64" t="s">
        <v>183</v>
      </c>
      <c r="U134" s="59" t="s">
        <v>183</v>
      </c>
      <c r="V134" s="76" t="s">
        <v>679</v>
      </c>
      <c r="W134" s="76">
        <v>310701031</v>
      </c>
      <c r="X134" s="77" t="s">
        <v>680</v>
      </c>
      <c r="Y134" s="105" t="s">
        <v>681</v>
      </c>
      <c r="Z134" s="77" t="s">
        <v>682</v>
      </c>
      <c r="AA134" s="77" t="s">
        <v>54</v>
      </c>
      <c r="AB134" s="77" t="s">
        <v>40</v>
      </c>
      <c r="AC134" s="88">
        <v>720</v>
      </c>
      <c r="AD134" s="88">
        <v>650</v>
      </c>
      <c r="AE134" s="88">
        <v>550</v>
      </c>
      <c r="AF134" s="44">
        <f t="shared" si="14"/>
        <v>0</v>
      </c>
      <c r="AG134" s="44" t="str">
        <f t="shared" si="15"/>
        <v>植入式心电监测器安装费</v>
      </c>
      <c r="AH134" s="44">
        <f t="shared" si="16"/>
        <v>720</v>
      </c>
      <c r="AI134" s="44">
        <f t="shared" si="17"/>
        <v>650</v>
      </c>
      <c r="AJ134" s="44">
        <f t="shared" si="18"/>
        <v>550</v>
      </c>
    </row>
    <row r="135" s="44" customFormat="1" ht="38" customHeight="1" spans="1:36">
      <c r="A135" s="97">
        <v>45</v>
      </c>
      <c r="B135" s="55" t="s">
        <v>685</v>
      </c>
      <c r="C135" s="55" t="s">
        <v>686</v>
      </c>
      <c r="D135" s="55" t="s">
        <v>350</v>
      </c>
      <c r="E135" s="59" t="s">
        <v>687</v>
      </c>
      <c r="F135" s="59" t="s">
        <v>688</v>
      </c>
      <c r="G135" s="55" t="s">
        <v>54</v>
      </c>
      <c r="H135" s="59" t="s">
        <v>40</v>
      </c>
      <c r="I135" s="30">
        <v>300</v>
      </c>
      <c r="J135" s="30">
        <v>270</v>
      </c>
      <c r="K135" s="64">
        <v>270</v>
      </c>
      <c r="L135" s="64">
        <v>245</v>
      </c>
      <c r="M135" s="64">
        <v>210</v>
      </c>
      <c r="N135" s="35">
        <v>270</v>
      </c>
      <c r="O135" s="35">
        <v>245</v>
      </c>
      <c r="P135" s="35">
        <v>210</v>
      </c>
      <c r="Q135" s="55" t="s">
        <v>41</v>
      </c>
      <c r="R135" s="55" t="s">
        <v>40</v>
      </c>
      <c r="S135" s="74" t="s">
        <v>40</v>
      </c>
      <c r="T135" s="64" t="s">
        <v>183</v>
      </c>
      <c r="U135" s="59" t="s">
        <v>183</v>
      </c>
      <c r="V135" s="76" t="s">
        <v>689</v>
      </c>
      <c r="W135" s="76">
        <v>310701032</v>
      </c>
      <c r="X135" s="97" t="s">
        <v>690</v>
      </c>
      <c r="Y135" s="105" t="s">
        <v>691</v>
      </c>
      <c r="Z135" s="77"/>
      <c r="AA135" s="77" t="s">
        <v>54</v>
      </c>
      <c r="AB135" s="77" t="s">
        <v>40</v>
      </c>
      <c r="AC135" s="88">
        <v>270</v>
      </c>
      <c r="AD135" s="88">
        <v>245</v>
      </c>
      <c r="AE135" s="88">
        <v>210</v>
      </c>
      <c r="AF135" s="44">
        <f t="shared" si="14"/>
        <v>0</v>
      </c>
      <c r="AG135" s="44" t="str">
        <f t="shared" si="15"/>
        <v>植入式心电监测器取出费</v>
      </c>
      <c r="AH135" s="44">
        <f t="shared" si="16"/>
        <v>270</v>
      </c>
      <c r="AI135" s="44">
        <f t="shared" si="17"/>
        <v>245</v>
      </c>
      <c r="AJ135" s="44">
        <f t="shared" si="18"/>
        <v>210</v>
      </c>
    </row>
    <row r="136" s="44" customFormat="1" ht="63" customHeight="1" spans="1:36">
      <c r="A136" s="55">
        <v>46</v>
      </c>
      <c r="B136" s="55" t="s">
        <v>694</v>
      </c>
      <c r="C136" s="55" t="s">
        <v>695</v>
      </c>
      <c r="D136" s="55" t="s">
        <v>350</v>
      </c>
      <c r="E136" s="59" t="s">
        <v>696</v>
      </c>
      <c r="F136" s="59" t="s">
        <v>697</v>
      </c>
      <c r="G136" s="55" t="s">
        <v>54</v>
      </c>
      <c r="H136" s="59">
        <f>I138/I136</f>
        <v>0.96</v>
      </c>
      <c r="I136" s="30">
        <v>1500</v>
      </c>
      <c r="J136" s="30">
        <v>1350</v>
      </c>
      <c r="K136" s="64">
        <v>1150</v>
      </c>
      <c r="L136" s="64">
        <v>1000</v>
      </c>
      <c r="M136" s="64">
        <v>850</v>
      </c>
      <c r="N136" s="35">
        <v>1435</v>
      </c>
      <c r="O136" s="35">
        <v>1250</v>
      </c>
      <c r="P136" s="35">
        <v>1065</v>
      </c>
      <c r="Q136" s="55" t="s">
        <v>41</v>
      </c>
      <c r="R136" s="55" t="s">
        <v>40</v>
      </c>
      <c r="S136" s="74" t="s">
        <v>40</v>
      </c>
      <c r="T136" s="64" t="s">
        <v>698</v>
      </c>
      <c r="U136" s="59" t="s">
        <v>699</v>
      </c>
      <c r="V136" s="76" t="s">
        <v>700</v>
      </c>
      <c r="W136" s="76">
        <v>310702007</v>
      </c>
      <c r="X136" s="77" t="s">
        <v>701</v>
      </c>
      <c r="Y136" s="77" t="s">
        <v>702</v>
      </c>
      <c r="Z136" s="77" t="s">
        <v>703</v>
      </c>
      <c r="AA136" s="77" t="s">
        <v>54</v>
      </c>
      <c r="AB136" s="77" t="s">
        <v>704</v>
      </c>
      <c r="AC136" s="88">
        <v>1150</v>
      </c>
      <c r="AD136" s="88">
        <v>1000</v>
      </c>
      <c r="AE136" s="88">
        <v>850</v>
      </c>
      <c r="AF136" s="44">
        <f t="shared" si="14"/>
        <v>0</v>
      </c>
      <c r="AG136" s="44" t="str">
        <f t="shared" si="15"/>
        <v>永久起搏器安装费</v>
      </c>
      <c r="AH136" s="44">
        <f t="shared" si="16"/>
        <v>1435</v>
      </c>
      <c r="AI136" s="44">
        <f t="shared" si="17"/>
        <v>1250</v>
      </c>
      <c r="AJ136" s="44">
        <f t="shared" si="18"/>
        <v>1065</v>
      </c>
    </row>
    <row r="137" s="44" customFormat="1" ht="38" customHeight="1" spans="1:36">
      <c r="A137" s="55" t="s">
        <v>55</v>
      </c>
      <c r="B137" s="55" t="s">
        <v>707</v>
      </c>
      <c r="C137" s="55" t="s">
        <v>708</v>
      </c>
      <c r="D137" s="55" t="s">
        <v>350</v>
      </c>
      <c r="E137" s="59" t="s">
        <v>40</v>
      </c>
      <c r="F137" s="59" t="s">
        <v>40</v>
      </c>
      <c r="G137" s="55" t="s">
        <v>54</v>
      </c>
      <c r="H137" s="59" t="s">
        <v>40</v>
      </c>
      <c r="I137" s="30">
        <v>1500</v>
      </c>
      <c r="J137" s="30">
        <v>1350</v>
      </c>
      <c r="K137" s="64">
        <v>2300</v>
      </c>
      <c r="L137" s="64">
        <v>2000</v>
      </c>
      <c r="M137" s="64">
        <v>1700</v>
      </c>
      <c r="N137" s="35">
        <v>1435</v>
      </c>
      <c r="O137" s="35">
        <v>1250</v>
      </c>
      <c r="P137" s="35">
        <v>1065</v>
      </c>
      <c r="Q137" s="35" t="str">
        <f t="shared" ref="Q137:S137" si="19">Q136</f>
        <v>医保</v>
      </c>
      <c r="R137" s="35" t="str">
        <f t="shared" si="19"/>
        <v/>
      </c>
      <c r="S137" s="35" t="str">
        <f t="shared" si="19"/>
        <v/>
      </c>
      <c r="T137" s="64"/>
      <c r="U137" s="59" t="s">
        <v>105</v>
      </c>
      <c r="V137" s="76" t="s">
        <v>709</v>
      </c>
      <c r="W137" s="76">
        <v>310702009</v>
      </c>
      <c r="X137" s="77" t="s">
        <v>710</v>
      </c>
      <c r="Y137" s="77" t="s">
        <v>711</v>
      </c>
      <c r="Z137" s="77" t="s">
        <v>712</v>
      </c>
      <c r="AA137" s="77" t="s">
        <v>54</v>
      </c>
      <c r="AB137" s="77" t="s">
        <v>157</v>
      </c>
      <c r="AC137" s="88">
        <v>2300</v>
      </c>
      <c r="AD137" s="88">
        <v>2000</v>
      </c>
      <c r="AE137" s="88">
        <v>1700</v>
      </c>
      <c r="AF137" s="44">
        <f t="shared" si="14"/>
        <v>0</v>
      </c>
      <c r="AG137" s="44" t="str">
        <f t="shared" si="15"/>
        <v>永久起搏器安装费-植入式心脏复律除颤器安装（扩展）</v>
      </c>
      <c r="AH137" s="44">
        <f t="shared" si="16"/>
        <v>1435</v>
      </c>
      <c r="AI137" s="44">
        <f t="shared" si="17"/>
        <v>1250</v>
      </c>
      <c r="AJ137" s="44">
        <f t="shared" si="18"/>
        <v>1065</v>
      </c>
    </row>
    <row r="138" s="44" customFormat="1" ht="38" customHeight="1" spans="1:36">
      <c r="A138" s="55">
        <v>47</v>
      </c>
      <c r="B138" s="55" t="s">
        <v>715</v>
      </c>
      <c r="C138" s="55" t="s">
        <v>716</v>
      </c>
      <c r="D138" s="55" t="s">
        <v>350</v>
      </c>
      <c r="E138" s="59" t="s">
        <v>717</v>
      </c>
      <c r="F138" s="59" t="s">
        <v>718</v>
      </c>
      <c r="G138" s="55" t="s">
        <v>54</v>
      </c>
      <c r="H138" s="59" t="s">
        <v>40</v>
      </c>
      <c r="I138" s="30">
        <v>1440</v>
      </c>
      <c r="J138" s="30">
        <v>1296</v>
      </c>
      <c r="K138" s="64">
        <v>1380</v>
      </c>
      <c r="L138" s="64">
        <v>1200</v>
      </c>
      <c r="M138" s="64">
        <v>1020</v>
      </c>
      <c r="N138" s="35">
        <v>1380</v>
      </c>
      <c r="O138" s="35">
        <v>1200</v>
      </c>
      <c r="P138" s="35">
        <v>1020</v>
      </c>
      <c r="Q138" s="55" t="s">
        <v>41</v>
      </c>
      <c r="R138" s="55" t="s">
        <v>40</v>
      </c>
      <c r="S138" s="74" t="s">
        <v>40</v>
      </c>
      <c r="T138" s="64" t="s">
        <v>183</v>
      </c>
      <c r="U138" s="59" t="s">
        <v>183</v>
      </c>
      <c r="V138" s="76" t="s">
        <v>719</v>
      </c>
      <c r="W138" s="76">
        <v>31070200802</v>
      </c>
      <c r="X138" s="55" t="s">
        <v>720</v>
      </c>
      <c r="Y138" s="55"/>
      <c r="Z138" s="55"/>
      <c r="AA138" s="55" t="s">
        <v>54</v>
      </c>
      <c r="AB138" s="77" t="s">
        <v>721</v>
      </c>
      <c r="AC138" s="88">
        <v>1380</v>
      </c>
      <c r="AD138" s="88">
        <v>1200</v>
      </c>
      <c r="AE138" s="88">
        <v>1020</v>
      </c>
      <c r="AF138" s="44">
        <f t="shared" si="14"/>
        <v>0</v>
      </c>
      <c r="AG138" s="44" t="str">
        <f t="shared" si="15"/>
        <v>永久起搏器电极取出费</v>
      </c>
      <c r="AH138" s="44">
        <f t="shared" si="16"/>
        <v>1380</v>
      </c>
      <c r="AI138" s="44">
        <f t="shared" si="17"/>
        <v>1200</v>
      </c>
      <c r="AJ138" s="44">
        <f t="shared" si="18"/>
        <v>1020</v>
      </c>
    </row>
    <row r="139" s="44" customFormat="1" ht="79" customHeight="1" spans="1:36">
      <c r="A139" s="55">
        <v>48</v>
      </c>
      <c r="B139" s="55" t="s">
        <v>728</v>
      </c>
      <c r="C139" s="55" t="s">
        <v>729</v>
      </c>
      <c r="D139" s="55" t="s">
        <v>350</v>
      </c>
      <c r="E139" s="59" t="s">
        <v>730</v>
      </c>
      <c r="F139" s="59" t="s">
        <v>731</v>
      </c>
      <c r="G139" s="55" t="s">
        <v>54</v>
      </c>
      <c r="H139" s="59" t="s">
        <v>732</v>
      </c>
      <c r="I139" s="30">
        <v>1080</v>
      </c>
      <c r="J139" s="30">
        <v>972</v>
      </c>
      <c r="K139" s="64">
        <v>1150</v>
      </c>
      <c r="L139" s="64">
        <v>1000</v>
      </c>
      <c r="M139" s="64">
        <v>850</v>
      </c>
      <c r="N139" s="68">
        <v>1035</v>
      </c>
      <c r="O139" s="68">
        <v>900</v>
      </c>
      <c r="P139" s="68">
        <v>765</v>
      </c>
      <c r="Q139" s="55" t="s">
        <v>41</v>
      </c>
      <c r="R139" s="55" t="s">
        <v>40</v>
      </c>
      <c r="S139" s="74" t="s">
        <v>40</v>
      </c>
      <c r="T139" s="64" t="s">
        <v>115</v>
      </c>
      <c r="U139" s="59" t="s">
        <v>733</v>
      </c>
      <c r="V139" s="76" t="s">
        <v>734</v>
      </c>
      <c r="W139" s="76">
        <v>310702008</v>
      </c>
      <c r="X139" s="77" t="s">
        <v>735</v>
      </c>
      <c r="Y139" s="77" t="s">
        <v>736</v>
      </c>
      <c r="Z139" s="77" t="s">
        <v>703</v>
      </c>
      <c r="AA139" s="77" t="s">
        <v>54</v>
      </c>
      <c r="AB139" s="77" t="s">
        <v>737</v>
      </c>
      <c r="AC139" s="88">
        <v>1150</v>
      </c>
      <c r="AD139" s="88">
        <v>1000</v>
      </c>
      <c r="AE139" s="88">
        <v>850</v>
      </c>
      <c r="AF139" s="44">
        <f t="shared" si="14"/>
        <v>0</v>
      </c>
      <c r="AG139" s="44" t="str">
        <f t="shared" si="15"/>
        <v>永久起搏器更换费</v>
      </c>
      <c r="AH139" s="44">
        <f t="shared" si="16"/>
        <v>1035</v>
      </c>
      <c r="AI139" s="44">
        <f t="shared" si="17"/>
        <v>900</v>
      </c>
      <c r="AJ139" s="44">
        <f t="shared" si="18"/>
        <v>765</v>
      </c>
    </row>
    <row r="140" s="44" customFormat="1" ht="38" customHeight="1" spans="1:36">
      <c r="A140" s="55" t="s">
        <v>55</v>
      </c>
      <c r="B140" s="55" t="s">
        <v>751</v>
      </c>
      <c r="C140" s="55" t="s">
        <v>752</v>
      </c>
      <c r="D140" s="55" t="s">
        <v>350</v>
      </c>
      <c r="E140" s="59" t="s">
        <v>40</v>
      </c>
      <c r="F140" s="59" t="s">
        <v>40</v>
      </c>
      <c r="G140" s="55" t="s">
        <v>54</v>
      </c>
      <c r="H140" s="59" t="s">
        <v>40</v>
      </c>
      <c r="I140" s="30">
        <v>600</v>
      </c>
      <c r="J140" s="30">
        <v>540</v>
      </c>
      <c r="K140" s="64">
        <v>575</v>
      </c>
      <c r="L140" s="64">
        <v>500</v>
      </c>
      <c r="M140" s="64">
        <v>425</v>
      </c>
      <c r="N140" s="35">
        <v>575</v>
      </c>
      <c r="O140" s="35">
        <v>500</v>
      </c>
      <c r="P140" s="35">
        <v>425</v>
      </c>
      <c r="Q140" s="55" t="s">
        <v>41</v>
      </c>
      <c r="R140" s="55" t="s">
        <v>40</v>
      </c>
      <c r="S140" s="74" t="s">
        <v>40</v>
      </c>
      <c r="T140" s="64" t="s">
        <v>183</v>
      </c>
      <c r="U140" s="59" t="s">
        <v>183</v>
      </c>
      <c r="V140" s="76" t="s">
        <v>753</v>
      </c>
      <c r="W140" s="76">
        <v>31070200702</v>
      </c>
      <c r="X140" s="77" t="s">
        <v>754</v>
      </c>
      <c r="Y140" s="77"/>
      <c r="Z140" s="77"/>
      <c r="AA140" s="77" t="s">
        <v>54</v>
      </c>
      <c r="AB140" s="77" t="s">
        <v>755</v>
      </c>
      <c r="AC140" s="88">
        <v>575</v>
      </c>
      <c r="AD140" s="88">
        <v>500</v>
      </c>
      <c r="AE140" s="88">
        <v>425</v>
      </c>
      <c r="AF140" s="44">
        <f t="shared" si="14"/>
        <v>0</v>
      </c>
      <c r="AG140" s="44" t="str">
        <f t="shared" si="15"/>
        <v>永久起搏器取出费-囊袋清创（加收）</v>
      </c>
      <c r="AH140" s="44">
        <f t="shared" si="16"/>
        <v>575</v>
      </c>
      <c r="AI140" s="44">
        <f t="shared" si="17"/>
        <v>500</v>
      </c>
      <c r="AJ140" s="44">
        <f t="shared" si="18"/>
        <v>425</v>
      </c>
    </row>
    <row r="141" s="44" customFormat="1" ht="38" customHeight="1" spans="1:36">
      <c r="A141" s="55">
        <v>50</v>
      </c>
      <c r="B141" s="55" t="s">
        <v>760</v>
      </c>
      <c r="C141" s="56" t="s">
        <v>761</v>
      </c>
      <c r="D141" s="55" t="s">
        <v>350</v>
      </c>
      <c r="E141" s="59" t="s">
        <v>762</v>
      </c>
      <c r="F141" s="59" t="s">
        <v>763</v>
      </c>
      <c r="G141" s="55" t="s">
        <v>54</v>
      </c>
      <c r="H141" s="59" t="s">
        <v>40</v>
      </c>
      <c r="I141" s="30">
        <v>480</v>
      </c>
      <c r="J141" s="30">
        <v>432</v>
      </c>
      <c r="K141" s="64">
        <v>472.139461172742</v>
      </c>
      <c r="L141" s="64">
        <v>450</v>
      </c>
      <c r="M141" s="64" t="e">
        <v>#DIV/0!</v>
      </c>
      <c r="N141" s="66">
        <v>470</v>
      </c>
      <c r="O141" s="66">
        <v>430</v>
      </c>
      <c r="P141" s="66">
        <v>370</v>
      </c>
      <c r="Q141" s="55" t="s">
        <v>41</v>
      </c>
      <c r="R141" s="55" t="s">
        <v>40</v>
      </c>
      <c r="S141" s="74" t="s">
        <v>40</v>
      </c>
      <c r="T141" s="64" t="s">
        <v>42</v>
      </c>
      <c r="U141" s="59" t="s">
        <v>579</v>
      </c>
      <c r="V141" s="76" t="s">
        <v>764</v>
      </c>
      <c r="W141" s="76" t="s">
        <v>765</v>
      </c>
      <c r="X141" s="77" t="s">
        <v>766</v>
      </c>
      <c r="Y141" s="77"/>
      <c r="Z141" s="77" t="s">
        <v>767</v>
      </c>
      <c r="AA141" s="77" t="s">
        <v>54</v>
      </c>
      <c r="AB141" s="77" t="s">
        <v>157</v>
      </c>
      <c r="AC141" s="88">
        <v>517.5</v>
      </c>
      <c r="AD141" s="88">
        <v>450</v>
      </c>
      <c r="AE141" s="88">
        <v>382.5</v>
      </c>
      <c r="AF141" s="44">
        <f t="shared" si="14"/>
        <v>0</v>
      </c>
      <c r="AG141" s="44" t="str">
        <f t="shared" si="15"/>
        <v>临时起搏器安装费</v>
      </c>
      <c r="AH141" s="44">
        <f t="shared" si="16"/>
        <v>470</v>
      </c>
      <c r="AI141" s="44">
        <f t="shared" si="17"/>
        <v>430</v>
      </c>
      <c r="AJ141" s="44">
        <f t="shared" si="18"/>
        <v>370</v>
      </c>
    </row>
    <row r="142" s="44" customFormat="1" ht="38" customHeight="1" spans="1:36">
      <c r="A142" s="55"/>
      <c r="B142" s="55"/>
      <c r="C142" s="56" t="s">
        <v>761</v>
      </c>
      <c r="D142" s="55"/>
      <c r="E142" s="59"/>
      <c r="F142" s="59"/>
      <c r="G142" s="55"/>
      <c r="H142" s="59"/>
      <c r="I142" s="37"/>
      <c r="J142" s="37"/>
      <c r="K142" s="64"/>
      <c r="L142" s="64"/>
      <c r="M142" s="64"/>
      <c r="N142" s="66">
        <v>470</v>
      </c>
      <c r="O142" s="66">
        <v>430</v>
      </c>
      <c r="P142" s="66">
        <v>370</v>
      </c>
      <c r="Q142" s="55"/>
      <c r="R142" s="55"/>
      <c r="S142" s="74"/>
      <c r="T142" s="64"/>
      <c r="U142" s="59"/>
      <c r="V142" s="77" t="s">
        <v>768</v>
      </c>
      <c r="W142" s="77">
        <v>330803017</v>
      </c>
      <c r="X142" s="77" t="s">
        <v>769</v>
      </c>
      <c r="Y142" s="77"/>
      <c r="Z142" s="77" t="s">
        <v>770</v>
      </c>
      <c r="AA142" s="77" t="s">
        <v>54</v>
      </c>
      <c r="AB142" s="77" t="s">
        <v>771</v>
      </c>
      <c r="AC142" s="88">
        <v>250</v>
      </c>
      <c r="AD142" s="88">
        <v>240</v>
      </c>
      <c r="AE142" s="88">
        <v>204</v>
      </c>
      <c r="AF142" s="44">
        <f t="shared" si="14"/>
        <v>0</v>
      </c>
      <c r="AG142" s="44" t="str">
        <f t="shared" si="15"/>
        <v>临时起搏器安装费</v>
      </c>
      <c r="AH142" s="44">
        <f t="shared" si="16"/>
        <v>470</v>
      </c>
      <c r="AI142" s="44">
        <f t="shared" si="17"/>
        <v>430</v>
      </c>
      <c r="AJ142" s="44">
        <f t="shared" si="18"/>
        <v>370</v>
      </c>
    </row>
    <row r="143" s="44" customFormat="1" ht="38" customHeight="1" spans="1:36">
      <c r="A143" s="55" t="s">
        <v>55</v>
      </c>
      <c r="B143" s="55" t="s">
        <v>772</v>
      </c>
      <c r="C143" s="55" t="s">
        <v>773</v>
      </c>
      <c r="D143" s="55" t="s">
        <v>350</v>
      </c>
      <c r="E143" s="59" t="s">
        <v>40</v>
      </c>
      <c r="F143" s="59" t="s">
        <v>40</v>
      </c>
      <c r="G143" s="55" t="s">
        <v>54</v>
      </c>
      <c r="H143" s="59" t="s">
        <v>40</v>
      </c>
      <c r="I143" s="30">
        <v>144</v>
      </c>
      <c r="J143" s="30">
        <v>130</v>
      </c>
      <c r="K143" s="64"/>
      <c r="L143" s="64"/>
      <c r="M143" s="64"/>
      <c r="N143" s="35">
        <v>140</v>
      </c>
      <c r="O143" s="35">
        <v>130</v>
      </c>
      <c r="P143" s="35">
        <v>110</v>
      </c>
      <c r="Q143" s="55" t="s">
        <v>41</v>
      </c>
      <c r="R143" s="55" t="s">
        <v>40</v>
      </c>
      <c r="S143" s="74" t="s">
        <v>40</v>
      </c>
      <c r="T143" s="64"/>
      <c r="U143" s="59" t="s">
        <v>305</v>
      </c>
      <c r="V143" s="76" t="s">
        <v>774</v>
      </c>
      <c r="W143" s="76">
        <v>33080301702</v>
      </c>
      <c r="X143" s="77" t="s">
        <v>775</v>
      </c>
      <c r="Y143" s="77"/>
      <c r="Z143" s="77"/>
      <c r="AA143" s="77" t="s">
        <v>54</v>
      </c>
      <c r="AB143" s="77" t="s">
        <v>40</v>
      </c>
      <c r="AC143" s="88">
        <v>325</v>
      </c>
      <c r="AD143" s="88">
        <v>310</v>
      </c>
      <c r="AE143" s="88">
        <v>265</v>
      </c>
      <c r="AF143" s="44">
        <f t="shared" si="14"/>
        <v>9</v>
      </c>
      <c r="AG143" s="44" t="str">
        <f t="shared" si="15"/>
        <v>临时起搏器安装费</v>
      </c>
      <c r="AH143" s="44">
        <f t="shared" si="16"/>
        <v>610</v>
      </c>
      <c r="AI143" s="44">
        <f t="shared" si="17"/>
        <v>560</v>
      </c>
      <c r="AJ143" s="44">
        <f t="shared" si="18"/>
        <v>480</v>
      </c>
    </row>
    <row r="144" s="44" customFormat="1" ht="38" customHeight="1" spans="1:36">
      <c r="A144" s="55">
        <v>52</v>
      </c>
      <c r="B144" s="55" t="s">
        <v>783</v>
      </c>
      <c r="C144" s="98" t="s">
        <v>784</v>
      </c>
      <c r="D144" s="55" t="s">
        <v>151</v>
      </c>
      <c r="E144" s="99" t="s">
        <v>785</v>
      </c>
      <c r="F144" s="59" t="s">
        <v>786</v>
      </c>
      <c r="G144" s="96" t="s">
        <v>39</v>
      </c>
      <c r="H144" s="99" t="s">
        <v>40</v>
      </c>
      <c r="I144" s="100">
        <v>5</v>
      </c>
      <c r="J144" s="100">
        <v>5</v>
      </c>
      <c r="K144" s="63">
        <v>9.03302916043819</v>
      </c>
      <c r="L144" s="64">
        <v>5</v>
      </c>
      <c r="M144" s="64" t="e">
        <v>#DIV/0!</v>
      </c>
      <c r="N144" s="102">
        <v>5</v>
      </c>
      <c r="O144" s="102">
        <v>4.5</v>
      </c>
      <c r="P144" s="102">
        <v>4.3</v>
      </c>
      <c r="Q144" s="96" t="s">
        <v>41</v>
      </c>
      <c r="R144" s="96" t="s">
        <v>40</v>
      </c>
      <c r="S144" s="103" t="s">
        <v>40</v>
      </c>
      <c r="T144" s="64" t="s">
        <v>355</v>
      </c>
      <c r="U144" s="59" t="s">
        <v>787</v>
      </c>
      <c r="V144" s="76" t="s">
        <v>788</v>
      </c>
      <c r="W144" s="76">
        <v>310702006</v>
      </c>
      <c r="X144" s="77" t="s">
        <v>789</v>
      </c>
      <c r="Y144" s="77"/>
      <c r="Z144" s="77"/>
      <c r="AA144" s="77" t="s">
        <v>39</v>
      </c>
      <c r="AB144" s="77" t="s">
        <v>157</v>
      </c>
      <c r="AC144" s="88">
        <v>5.8</v>
      </c>
      <c r="AD144" s="88">
        <v>5</v>
      </c>
      <c r="AE144" s="88">
        <v>4.3</v>
      </c>
      <c r="AF144" s="44">
        <f t="shared" si="14"/>
        <v>0</v>
      </c>
      <c r="AG144" s="44" t="str">
        <f t="shared" si="15"/>
        <v>临时起搏器运行监测费</v>
      </c>
      <c r="AH144" s="44">
        <f t="shared" si="16"/>
        <v>5</v>
      </c>
      <c r="AI144" s="44">
        <f t="shared" si="17"/>
        <v>4.5</v>
      </c>
      <c r="AJ144" s="44">
        <f t="shared" si="18"/>
        <v>4.3</v>
      </c>
    </row>
    <row r="145" s="44" customFormat="1" ht="38" customHeight="1" spans="1:36">
      <c r="A145" s="55"/>
      <c r="B145" s="55"/>
      <c r="C145" s="98" t="s">
        <v>784</v>
      </c>
      <c r="D145" s="55"/>
      <c r="E145" s="99"/>
      <c r="F145" s="59"/>
      <c r="G145" s="96"/>
      <c r="H145" s="99"/>
      <c r="I145" s="101"/>
      <c r="J145" s="101"/>
      <c r="K145" s="63"/>
      <c r="L145" s="64"/>
      <c r="M145" s="64"/>
      <c r="N145" s="102">
        <v>5</v>
      </c>
      <c r="O145" s="102">
        <v>4.5</v>
      </c>
      <c r="P145" s="102">
        <v>4.3</v>
      </c>
      <c r="Q145" s="96"/>
      <c r="R145" s="96"/>
      <c r="S145" s="103"/>
      <c r="T145" s="64"/>
      <c r="U145" s="59"/>
      <c r="V145" s="104" t="s">
        <v>790</v>
      </c>
      <c r="W145" s="104">
        <v>33080301701</v>
      </c>
      <c r="X145" s="77" t="s">
        <v>791</v>
      </c>
      <c r="Y145" s="77" t="s">
        <v>792</v>
      </c>
      <c r="Z145" s="106"/>
      <c r="AA145" s="77" t="s">
        <v>39</v>
      </c>
      <c r="AB145" s="77" t="s">
        <v>792</v>
      </c>
      <c r="AC145" s="88">
        <v>12.5</v>
      </c>
      <c r="AD145" s="88">
        <v>12</v>
      </c>
      <c r="AE145" s="88">
        <v>10.2</v>
      </c>
      <c r="AF145" s="44">
        <f t="shared" si="14"/>
        <v>0</v>
      </c>
      <c r="AG145" s="44" t="str">
        <f t="shared" si="15"/>
        <v>临时起搏器运行监测费</v>
      </c>
      <c r="AH145" s="44">
        <f t="shared" si="16"/>
        <v>5</v>
      </c>
      <c r="AI145" s="44">
        <f t="shared" si="17"/>
        <v>4.5</v>
      </c>
      <c r="AJ145" s="44">
        <f t="shared" si="18"/>
        <v>4.3</v>
      </c>
    </row>
    <row r="146" s="44" customFormat="1" ht="47" customHeight="1" spans="1:36">
      <c r="A146" s="55">
        <v>53</v>
      </c>
      <c r="B146" s="122" t="s">
        <v>793</v>
      </c>
      <c r="C146" s="56" t="s">
        <v>794</v>
      </c>
      <c r="D146" s="55" t="s">
        <v>350</v>
      </c>
      <c r="E146" s="59" t="s">
        <v>795</v>
      </c>
      <c r="F146" s="59" t="s">
        <v>796</v>
      </c>
      <c r="G146" s="55" t="s">
        <v>39</v>
      </c>
      <c r="H146" s="59" t="s">
        <v>797</v>
      </c>
      <c r="I146" s="30">
        <v>1000</v>
      </c>
      <c r="J146" s="30">
        <v>900</v>
      </c>
      <c r="K146" s="63">
        <v>998.268156424581</v>
      </c>
      <c r="L146" s="64"/>
      <c r="M146" s="64"/>
      <c r="N146" s="66">
        <v>990</v>
      </c>
      <c r="O146" s="66">
        <v>890</v>
      </c>
      <c r="P146" s="66">
        <v>760</v>
      </c>
      <c r="Q146" s="55" t="s">
        <v>41</v>
      </c>
      <c r="R146" s="55" t="s">
        <v>40</v>
      </c>
      <c r="S146" s="74" t="s">
        <v>40</v>
      </c>
      <c r="T146" s="64" t="s">
        <v>115</v>
      </c>
      <c r="U146" s="59" t="s">
        <v>579</v>
      </c>
      <c r="V146" s="76" t="s">
        <v>798</v>
      </c>
      <c r="W146" s="76">
        <v>330100017</v>
      </c>
      <c r="X146" s="77" t="s">
        <v>799</v>
      </c>
      <c r="Y146" s="77"/>
      <c r="Z146" s="77" t="s">
        <v>800</v>
      </c>
      <c r="AA146" s="77" t="s">
        <v>801</v>
      </c>
      <c r="AB146" s="85" t="s">
        <v>802</v>
      </c>
      <c r="AC146" s="88">
        <v>1000</v>
      </c>
      <c r="AD146" s="88">
        <v>960</v>
      </c>
      <c r="AE146" s="88">
        <v>816</v>
      </c>
      <c r="AF146" s="44">
        <f t="shared" si="14"/>
        <v>0</v>
      </c>
      <c r="AG146" s="44" t="str">
        <f t="shared" si="15"/>
        <v>体外循环转流费</v>
      </c>
      <c r="AH146" s="44">
        <f t="shared" si="16"/>
        <v>990</v>
      </c>
      <c r="AI146" s="44">
        <f t="shared" si="17"/>
        <v>890</v>
      </c>
      <c r="AJ146" s="44">
        <f t="shared" si="18"/>
        <v>760</v>
      </c>
    </row>
    <row r="147" s="44" customFormat="1" ht="47" customHeight="1" spans="1:36">
      <c r="A147" s="55"/>
      <c r="B147" s="55"/>
      <c r="C147" s="56" t="s">
        <v>794</v>
      </c>
      <c r="D147" s="55"/>
      <c r="E147" s="59"/>
      <c r="F147" s="59"/>
      <c r="G147" s="55"/>
      <c r="H147" s="59"/>
      <c r="I147" s="37"/>
      <c r="J147" s="37"/>
      <c r="K147" s="63"/>
      <c r="L147" s="64"/>
      <c r="M147" s="64"/>
      <c r="N147" s="66">
        <v>990</v>
      </c>
      <c r="O147" s="66">
        <v>890</v>
      </c>
      <c r="P147" s="66">
        <v>760</v>
      </c>
      <c r="Q147" s="55"/>
      <c r="R147" s="55"/>
      <c r="S147" s="74"/>
      <c r="T147" s="64"/>
      <c r="U147" s="59"/>
      <c r="V147" s="76" t="s">
        <v>803</v>
      </c>
      <c r="W147" s="76">
        <v>330803028</v>
      </c>
      <c r="X147" s="77" t="s">
        <v>804</v>
      </c>
      <c r="Y147" s="77" t="s">
        <v>805</v>
      </c>
      <c r="Z147" s="77"/>
      <c r="AA147" s="77" t="s">
        <v>54</v>
      </c>
      <c r="AB147" s="77" t="s">
        <v>40</v>
      </c>
      <c r="AC147" s="88">
        <v>845</v>
      </c>
      <c r="AD147" s="88">
        <v>760</v>
      </c>
      <c r="AE147" s="88">
        <v>645</v>
      </c>
      <c r="AF147" s="44">
        <f t="shared" si="14"/>
        <v>0</v>
      </c>
      <c r="AG147" s="44" t="str">
        <f t="shared" si="15"/>
        <v>体外循环转流费</v>
      </c>
      <c r="AH147" s="44">
        <f t="shared" si="16"/>
        <v>990</v>
      </c>
      <c r="AI147" s="44">
        <f t="shared" si="17"/>
        <v>890</v>
      </c>
      <c r="AJ147" s="44">
        <f t="shared" si="18"/>
        <v>760</v>
      </c>
    </row>
    <row r="148" s="44" customFormat="1" ht="60" customHeight="1" spans="1:36">
      <c r="A148" s="55" t="s">
        <v>55</v>
      </c>
      <c r="B148" s="122" t="s">
        <v>793</v>
      </c>
      <c r="C148" s="56" t="s">
        <v>806</v>
      </c>
      <c r="D148" s="55" t="s">
        <v>350</v>
      </c>
      <c r="E148" s="59" t="s">
        <v>40</v>
      </c>
      <c r="F148" s="59" t="s">
        <v>40</v>
      </c>
      <c r="G148" s="55" t="s">
        <v>39</v>
      </c>
      <c r="H148" s="59" t="s">
        <v>40</v>
      </c>
      <c r="I148" s="30">
        <v>250</v>
      </c>
      <c r="J148" s="30">
        <v>225</v>
      </c>
      <c r="K148" s="63">
        <v>125.092592592593</v>
      </c>
      <c r="L148" s="64"/>
      <c r="M148" s="64"/>
      <c r="N148" s="66">
        <v>230</v>
      </c>
      <c r="O148" s="66">
        <v>205</v>
      </c>
      <c r="P148" s="66">
        <v>175</v>
      </c>
      <c r="Q148" s="55" t="s">
        <v>41</v>
      </c>
      <c r="R148" s="55" t="s">
        <v>40</v>
      </c>
      <c r="S148" s="74" t="s">
        <v>40</v>
      </c>
      <c r="T148" s="64"/>
      <c r="U148" s="59" t="s">
        <v>807</v>
      </c>
      <c r="V148" s="76" t="s">
        <v>808</v>
      </c>
      <c r="W148" s="76">
        <v>33010001701</v>
      </c>
      <c r="X148" s="77" t="s">
        <v>809</v>
      </c>
      <c r="Y148" s="77"/>
      <c r="Z148" s="77"/>
      <c r="AA148" s="77" t="s">
        <v>810</v>
      </c>
      <c r="AB148" s="77" t="s">
        <v>811</v>
      </c>
      <c r="AC148" s="88">
        <v>125</v>
      </c>
      <c r="AD148" s="88">
        <v>120</v>
      </c>
      <c r="AE148" s="88">
        <v>102</v>
      </c>
      <c r="AF148" s="44">
        <f t="shared" si="14"/>
        <v>0</v>
      </c>
      <c r="AG148" s="44" t="str">
        <f t="shared" si="15"/>
        <v>体外循环转流费（2小时以后）</v>
      </c>
      <c r="AH148" s="44">
        <f t="shared" si="16"/>
        <v>230</v>
      </c>
      <c r="AI148" s="44">
        <f t="shared" si="17"/>
        <v>205</v>
      </c>
      <c r="AJ148" s="44">
        <f t="shared" si="18"/>
        <v>175</v>
      </c>
    </row>
    <row r="149" s="44" customFormat="1" ht="38" customHeight="1" spans="1:36">
      <c r="A149" s="55"/>
      <c r="B149" s="55"/>
      <c r="C149" s="56" t="s">
        <v>806</v>
      </c>
      <c r="D149" s="55"/>
      <c r="E149" s="59"/>
      <c r="F149" s="59"/>
      <c r="G149" s="55"/>
      <c r="H149" s="59"/>
      <c r="I149" s="37"/>
      <c r="J149" s="37"/>
      <c r="K149" s="63"/>
      <c r="L149" s="64"/>
      <c r="M149" s="64"/>
      <c r="N149" s="66">
        <v>230</v>
      </c>
      <c r="O149" s="66">
        <v>205</v>
      </c>
      <c r="P149" s="66">
        <v>175</v>
      </c>
      <c r="Q149" s="55"/>
      <c r="R149" s="55"/>
      <c r="S149" s="74"/>
      <c r="T149" s="64"/>
      <c r="U149" s="59"/>
      <c r="V149" s="76" t="s">
        <v>812</v>
      </c>
      <c r="W149" s="76">
        <v>33010001703</v>
      </c>
      <c r="X149" s="77" t="s">
        <v>813</v>
      </c>
      <c r="Y149" s="77"/>
      <c r="Z149" s="77"/>
      <c r="AA149" s="77" t="s">
        <v>810</v>
      </c>
      <c r="AB149" s="77" t="s">
        <v>811</v>
      </c>
      <c r="AC149" s="88">
        <v>165</v>
      </c>
      <c r="AD149" s="88">
        <v>155</v>
      </c>
      <c r="AE149" s="88">
        <v>130</v>
      </c>
      <c r="AF149" s="44">
        <f t="shared" si="14"/>
        <v>0</v>
      </c>
      <c r="AG149" s="44" t="str">
        <f t="shared" si="15"/>
        <v>体外循环转流费（2小时以后）</v>
      </c>
      <c r="AH149" s="44">
        <f t="shared" si="16"/>
        <v>230</v>
      </c>
      <c r="AI149" s="44">
        <f t="shared" si="17"/>
        <v>205</v>
      </c>
      <c r="AJ149" s="44">
        <f t="shared" si="18"/>
        <v>175</v>
      </c>
    </row>
    <row r="150" s="44" customFormat="1" ht="38" customHeight="1" spans="1:36">
      <c r="A150" s="55" t="s">
        <v>55</v>
      </c>
      <c r="B150" s="55" t="s">
        <v>818</v>
      </c>
      <c r="C150" s="56" t="s">
        <v>819</v>
      </c>
      <c r="D150" s="55" t="s">
        <v>350</v>
      </c>
      <c r="E150" s="59" t="s">
        <v>40</v>
      </c>
      <c r="F150" s="59" t="s">
        <v>40</v>
      </c>
      <c r="G150" s="55" t="s">
        <v>39</v>
      </c>
      <c r="H150" s="59" t="s">
        <v>40</v>
      </c>
      <c r="I150" s="30">
        <v>300</v>
      </c>
      <c r="J150" s="30">
        <v>270</v>
      </c>
      <c r="K150" s="64">
        <v>300</v>
      </c>
      <c r="L150" s="64"/>
      <c r="M150" s="64"/>
      <c r="N150" s="66">
        <v>295</v>
      </c>
      <c r="O150" s="66">
        <v>265</v>
      </c>
      <c r="P150" s="66">
        <v>230</v>
      </c>
      <c r="Q150" s="55" t="s">
        <v>41</v>
      </c>
      <c r="R150" s="55" t="s">
        <v>40</v>
      </c>
      <c r="S150" s="74" t="s">
        <v>40</v>
      </c>
      <c r="T150" s="64"/>
      <c r="U150" s="59" t="s">
        <v>305</v>
      </c>
      <c r="V150" s="76" t="s">
        <v>820</v>
      </c>
      <c r="W150" s="76">
        <v>33010001702</v>
      </c>
      <c r="X150" s="77" t="s">
        <v>821</v>
      </c>
      <c r="Y150" s="77"/>
      <c r="Z150" s="77"/>
      <c r="AA150" s="77" t="s">
        <v>801</v>
      </c>
      <c r="AB150" s="77" t="s">
        <v>40</v>
      </c>
      <c r="AC150" s="88">
        <v>1300</v>
      </c>
      <c r="AD150" s="88">
        <v>1250</v>
      </c>
      <c r="AE150" s="88">
        <v>1065</v>
      </c>
      <c r="AF150" s="44">
        <f t="shared" si="14"/>
        <v>8</v>
      </c>
      <c r="AG150" s="44" t="str">
        <f t="shared" si="15"/>
        <v>体外循环转流费</v>
      </c>
      <c r="AH150" s="44">
        <f t="shared" si="16"/>
        <v>1285</v>
      </c>
      <c r="AI150" s="44">
        <f t="shared" si="17"/>
        <v>1155</v>
      </c>
      <c r="AJ150" s="44">
        <f t="shared" si="18"/>
        <v>990</v>
      </c>
    </row>
    <row r="151" s="44" customFormat="1" ht="38" customHeight="1" spans="1:36">
      <c r="A151" s="55"/>
      <c r="B151" s="55"/>
      <c r="C151" s="56" t="s">
        <v>819</v>
      </c>
      <c r="D151" s="55"/>
      <c r="E151" s="59"/>
      <c r="F151" s="59"/>
      <c r="G151" s="55"/>
      <c r="H151" s="59"/>
      <c r="I151" s="37"/>
      <c r="J151" s="37"/>
      <c r="K151" s="64"/>
      <c r="L151" s="64"/>
      <c r="M151" s="64"/>
      <c r="N151" s="66">
        <v>295</v>
      </c>
      <c r="O151" s="66">
        <v>265</v>
      </c>
      <c r="P151" s="66">
        <v>230</v>
      </c>
      <c r="Q151" s="55"/>
      <c r="R151" s="55"/>
      <c r="S151" s="74"/>
      <c r="T151" s="64"/>
      <c r="U151" s="59"/>
      <c r="V151" s="76" t="s">
        <v>822</v>
      </c>
      <c r="W151" s="76">
        <v>33080302801</v>
      </c>
      <c r="X151" s="77" t="s">
        <v>823</v>
      </c>
      <c r="Y151" s="77"/>
      <c r="Z151" s="77"/>
      <c r="AA151" s="77" t="s">
        <v>54</v>
      </c>
      <c r="AB151" s="77" t="s">
        <v>40</v>
      </c>
      <c r="AC151" s="88">
        <v>1100</v>
      </c>
      <c r="AD151" s="88">
        <v>990</v>
      </c>
      <c r="AE151" s="88">
        <v>840</v>
      </c>
      <c r="AF151" s="44">
        <f t="shared" si="14"/>
        <v>8</v>
      </c>
      <c r="AG151" s="44" t="str">
        <f t="shared" si="15"/>
        <v>体外循环转流费</v>
      </c>
      <c r="AH151" s="44">
        <f t="shared" si="16"/>
        <v>1285</v>
      </c>
      <c r="AI151" s="44">
        <f t="shared" si="17"/>
        <v>1155</v>
      </c>
      <c r="AJ151" s="44">
        <f t="shared" si="18"/>
        <v>990</v>
      </c>
    </row>
    <row r="152" s="44" customFormat="1" ht="84" customHeight="1" spans="1:36">
      <c r="A152" s="55">
        <v>54</v>
      </c>
      <c r="B152" s="55" t="s">
        <v>824</v>
      </c>
      <c r="C152" s="55" t="s">
        <v>825</v>
      </c>
      <c r="D152" s="55" t="s">
        <v>151</v>
      </c>
      <c r="E152" s="59" t="s">
        <v>826</v>
      </c>
      <c r="F152" s="59" t="s">
        <v>827</v>
      </c>
      <c r="G152" s="55" t="s">
        <v>54</v>
      </c>
      <c r="H152" s="59" t="s">
        <v>828</v>
      </c>
      <c r="I152" s="30">
        <v>2400</v>
      </c>
      <c r="J152" s="30">
        <v>2160</v>
      </c>
      <c r="K152" s="64">
        <v>2280</v>
      </c>
      <c r="L152" s="64">
        <v>2055</v>
      </c>
      <c r="M152" s="64">
        <v>1745</v>
      </c>
      <c r="N152" s="35">
        <v>2280</v>
      </c>
      <c r="O152" s="35">
        <v>2055</v>
      </c>
      <c r="P152" s="35">
        <v>1745</v>
      </c>
      <c r="Q152" s="55" t="s">
        <v>41</v>
      </c>
      <c r="R152" s="55" t="s">
        <v>40</v>
      </c>
      <c r="S152" s="74">
        <v>0.2</v>
      </c>
      <c r="T152" s="64" t="s">
        <v>183</v>
      </c>
      <c r="U152" s="59" t="s">
        <v>829</v>
      </c>
      <c r="V152" s="76" t="s">
        <v>830</v>
      </c>
      <c r="W152" s="76">
        <v>33080302502</v>
      </c>
      <c r="X152" s="77" t="s">
        <v>831</v>
      </c>
      <c r="Y152" s="77" t="s">
        <v>832</v>
      </c>
      <c r="Z152" s="77" t="s">
        <v>833</v>
      </c>
      <c r="AA152" s="77" t="s">
        <v>54</v>
      </c>
      <c r="AB152" s="77" t="s">
        <v>40</v>
      </c>
      <c r="AC152" s="88">
        <v>3800</v>
      </c>
      <c r="AD152" s="88">
        <v>3420</v>
      </c>
      <c r="AE152" s="88">
        <v>2910</v>
      </c>
      <c r="AF152" s="44">
        <f t="shared" si="14"/>
        <v>0</v>
      </c>
      <c r="AG152" s="44" t="str">
        <f t="shared" si="15"/>
        <v>体外人工膜肺安装费</v>
      </c>
      <c r="AH152" s="44">
        <f t="shared" si="16"/>
        <v>2280</v>
      </c>
      <c r="AI152" s="44">
        <f t="shared" si="17"/>
        <v>2055</v>
      </c>
      <c r="AJ152" s="44">
        <f t="shared" si="18"/>
        <v>1745</v>
      </c>
    </row>
    <row r="153" s="44" customFormat="1" ht="42" customHeight="1" spans="1:36">
      <c r="A153" s="55" t="s">
        <v>55</v>
      </c>
      <c r="B153" s="55" t="s">
        <v>834</v>
      </c>
      <c r="C153" s="55" t="s">
        <v>835</v>
      </c>
      <c r="D153" s="55" t="s">
        <v>151</v>
      </c>
      <c r="E153" s="59" t="s">
        <v>40</v>
      </c>
      <c r="F153" s="59" t="s">
        <v>40</v>
      </c>
      <c r="G153" s="55" t="s">
        <v>54</v>
      </c>
      <c r="H153" s="59" t="s">
        <v>40</v>
      </c>
      <c r="I153" s="30">
        <v>720</v>
      </c>
      <c r="J153" s="30">
        <v>648</v>
      </c>
      <c r="K153" s="64"/>
      <c r="L153" s="64"/>
      <c r="M153" s="64"/>
      <c r="N153" s="35">
        <v>685</v>
      </c>
      <c r="O153" s="35">
        <v>615</v>
      </c>
      <c r="P153" s="35">
        <v>525</v>
      </c>
      <c r="Q153" s="55" t="s">
        <v>41</v>
      </c>
      <c r="R153" s="55" t="s">
        <v>40</v>
      </c>
      <c r="S153" s="74">
        <v>0.2</v>
      </c>
      <c r="T153" s="64"/>
      <c r="U153" s="59" t="s">
        <v>305</v>
      </c>
      <c r="V153" s="76" t="s">
        <v>836</v>
      </c>
      <c r="W153" s="76">
        <v>33080302503</v>
      </c>
      <c r="X153" s="77" t="s">
        <v>837</v>
      </c>
      <c r="Y153" s="77"/>
      <c r="Z153" s="77" t="s">
        <v>833</v>
      </c>
      <c r="AA153" s="77" t="s">
        <v>54</v>
      </c>
      <c r="AB153" s="77" t="s">
        <v>40</v>
      </c>
      <c r="AC153" s="88">
        <v>4940</v>
      </c>
      <c r="AD153" s="88">
        <v>4445</v>
      </c>
      <c r="AE153" s="88">
        <v>3785</v>
      </c>
      <c r="AF153" s="44">
        <f t="shared" si="14"/>
        <v>10</v>
      </c>
      <c r="AG153" s="44" t="str">
        <f t="shared" si="15"/>
        <v>体外人工膜肺安装费</v>
      </c>
      <c r="AH153" s="44">
        <f t="shared" si="16"/>
        <v>2965</v>
      </c>
      <c r="AI153" s="44">
        <f t="shared" si="17"/>
        <v>2670</v>
      </c>
      <c r="AJ153" s="44">
        <f t="shared" si="18"/>
        <v>2270</v>
      </c>
    </row>
    <row r="154" s="44" customFormat="1" ht="75" customHeight="1" spans="1:36">
      <c r="A154" s="55">
        <v>55</v>
      </c>
      <c r="B154" s="55" t="s">
        <v>841</v>
      </c>
      <c r="C154" s="55" t="s">
        <v>842</v>
      </c>
      <c r="D154" s="55" t="s">
        <v>151</v>
      </c>
      <c r="E154" s="59" t="s">
        <v>843</v>
      </c>
      <c r="F154" s="59" t="s">
        <v>844</v>
      </c>
      <c r="G154" s="55" t="s">
        <v>54</v>
      </c>
      <c r="H154" s="59" t="s">
        <v>828</v>
      </c>
      <c r="I154" s="30">
        <v>1600</v>
      </c>
      <c r="J154" s="30">
        <v>1440</v>
      </c>
      <c r="K154" s="64">
        <v>1520</v>
      </c>
      <c r="L154" s="64">
        <v>1365</v>
      </c>
      <c r="M154" s="64">
        <v>1165</v>
      </c>
      <c r="N154" s="35">
        <v>1520</v>
      </c>
      <c r="O154" s="35">
        <v>1365</v>
      </c>
      <c r="P154" s="35">
        <v>1165</v>
      </c>
      <c r="Q154" s="55" t="s">
        <v>41</v>
      </c>
      <c r="R154" s="55" t="s">
        <v>40</v>
      </c>
      <c r="S154" s="74">
        <v>0.2</v>
      </c>
      <c r="T154" s="64" t="s">
        <v>183</v>
      </c>
      <c r="U154" s="59" t="s">
        <v>845</v>
      </c>
      <c r="V154" s="76" t="s">
        <v>830</v>
      </c>
      <c r="W154" s="76">
        <v>33080302502</v>
      </c>
      <c r="X154" s="77" t="s">
        <v>831</v>
      </c>
      <c r="Y154" s="77" t="s">
        <v>832</v>
      </c>
      <c r="Z154" s="77" t="s">
        <v>833</v>
      </c>
      <c r="AA154" s="77" t="s">
        <v>54</v>
      </c>
      <c r="AB154" s="77" t="s">
        <v>40</v>
      </c>
      <c r="AC154" s="88">
        <v>3800</v>
      </c>
      <c r="AD154" s="88">
        <v>3420</v>
      </c>
      <c r="AE154" s="88">
        <v>2910</v>
      </c>
      <c r="AF154" s="44">
        <f t="shared" si="14"/>
        <v>0</v>
      </c>
      <c r="AG154" s="44" t="str">
        <f t="shared" si="15"/>
        <v>体外人工膜肺撤除费</v>
      </c>
      <c r="AH154" s="44">
        <f t="shared" si="16"/>
        <v>1520</v>
      </c>
      <c r="AI154" s="44">
        <f t="shared" si="17"/>
        <v>1365</v>
      </c>
      <c r="AJ154" s="44">
        <f t="shared" si="18"/>
        <v>1165</v>
      </c>
    </row>
    <row r="155" s="44" customFormat="1" ht="38" customHeight="1" spans="1:36">
      <c r="A155" s="55">
        <v>56</v>
      </c>
      <c r="B155" s="55" t="s">
        <v>850</v>
      </c>
      <c r="C155" s="56" t="s">
        <v>851</v>
      </c>
      <c r="D155" s="55" t="s">
        <v>36</v>
      </c>
      <c r="E155" s="59" t="s">
        <v>852</v>
      </c>
      <c r="F155" s="59" t="s">
        <v>853</v>
      </c>
      <c r="G155" s="55" t="s">
        <v>39</v>
      </c>
      <c r="H155" s="59" t="s">
        <v>828</v>
      </c>
      <c r="I155" s="30">
        <v>100</v>
      </c>
      <c r="J155" s="30">
        <v>90</v>
      </c>
      <c r="K155" s="64">
        <v>95</v>
      </c>
      <c r="L155" s="64">
        <v>90</v>
      </c>
      <c r="M155" s="64">
        <v>75</v>
      </c>
      <c r="N155" s="66">
        <v>95</v>
      </c>
      <c r="O155" s="66">
        <v>90</v>
      </c>
      <c r="P155" s="66">
        <v>75</v>
      </c>
      <c r="Q155" s="55" t="s">
        <v>41</v>
      </c>
      <c r="R155" s="55" t="s">
        <v>40</v>
      </c>
      <c r="S155" s="74">
        <v>0.2</v>
      </c>
      <c r="T155" s="64" t="s">
        <v>183</v>
      </c>
      <c r="U155" s="59" t="s">
        <v>183</v>
      </c>
      <c r="V155" s="76" t="s">
        <v>854</v>
      </c>
      <c r="W155" s="76">
        <v>330803025</v>
      </c>
      <c r="X155" s="77" t="s">
        <v>855</v>
      </c>
      <c r="Y155" s="77" t="s">
        <v>856</v>
      </c>
      <c r="Z155" s="77" t="s">
        <v>833</v>
      </c>
      <c r="AA155" s="77" t="s">
        <v>39</v>
      </c>
      <c r="AB155" s="77" t="s">
        <v>857</v>
      </c>
      <c r="AC155" s="88">
        <v>95</v>
      </c>
      <c r="AD155" s="88">
        <v>90</v>
      </c>
      <c r="AE155" s="88">
        <v>75</v>
      </c>
      <c r="AF155" s="44">
        <f t="shared" si="14"/>
        <v>0</v>
      </c>
      <c r="AG155" s="44" t="str">
        <f t="shared" si="15"/>
        <v>体外人工膜肺运行监测费</v>
      </c>
      <c r="AH155" s="44">
        <f t="shared" si="16"/>
        <v>95</v>
      </c>
      <c r="AI155" s="44">
        <f t="shared" si="17"/>
        <v>90</v>
      </c>
      <c r="AJ155" s="44">
        <f t="shared" si="18"/>
        <v>75</v>
      </c>
    </row>
    <row r="156" s="44" customFormat="1" ht="38" customHeight="1" spans="1:36">
      <c r="A156" s="55"/>
      <c r="B156" s="55"/>
      <c r="C156" s="56" t="s">
        <v>851</v>
      </c>
      <c r="D156" s="55"/>
      <c r="E156" s="59"/>
      <c r="F156" s="59"/>
      <c r="G156" s="55"/>
      <c r="H156" s="59"/>
      <c r="I156" s="37"/>
      <c r="J156" s="37"/>
      <c r="K156" s="64"/>
      <c r="L156" s="64"/>
      <c r="M156" s="64"/>
      <c r="N156" s="66">
        <v>95</v>
      </c>
      <c r="O156" s="66">
        <v>90</v>
      </c>
      <c r="P156" s="66">
        <v>75</v>
      </c>
      <c r="Q156" s="55"/>
      <c r="R156" s="55"/>
      <c r="S156" s="74"/>
      <c r="T156" s="64"/>
      <c r="U156" s="59"/>
      <c r="V156" s="76" t="s">
        <v>858</v>
      </c>
      <c r="W156" s="76">
        <v>33080302501</v>
      </c>
      <c r="X156" s="77" t="s">
        <v>859</v>
      </c>
      <c r="Y156" s="77"/>
      <c r="Z156" s="77"/>
      <c r="AA156" s="77" t="s">
        <v>39</v>
      </c>
      <c r="AB156" s="77" t="s">
        <v>40</v>
      </c>
      <c r="AC156" s="88">
        <v>125</v>
      </c>
      <c r="AD156" s="88">
        <v>115</v>
      </c>
      <c r="AE156" s="88">
        <v>98</v>
      </c>
      <c r="AF156" s="44">
        <f t="shared" si="14"/>
        <v>0</v>
      </c>
      <c r="AG156" s="44" t="str">
        <f t="shared" si="15"/>
        <v>体外人工膜肺运行监测费</v>
      </c>
      <c r="AH156" s="44">
        <f t="shared" si="16"/>
        <v>95</v>
      </c>
      <c r="AI156" s="44">
        <f t="shared" si="17"/>
        <v>90</v>
      </c>
      <c r="AJ156" s="44">
        <f t="shared" si="18"/>
        <v>75</v>
      </c>
    </row>
    <row r="157" s="44" customFormat="1" ht="38" customHeight="1" spans="1:36">
      <c r="A157" s="55" t="s">
        <v>55</v>
      </c>
      <c r="B157" s="55" t="s">
        <v>860</v>
      </c>
      <c r="C157" s="56" t="s">
        <v>861</v>
      </c>
      <c r="D157" s="55" t="s">
        <v>36</v>
      </c>
      <c r="E157" s="59" t="s">
        <v>40</v>
      </c>
      <c r="F157" s="59" t="s">
        <v>40</v>
      </c>
      <c r="G157" s="55" t="s">
        <v>39</v>
      </c>
      <c r="H157" s="59" t="s">
        <v>828</v>
      </c>
      <c r="I157" s="30">
        <v>100</v>
      </c>
      <c r="J157" s="30">
        <v>90</v>
      </c>
      <c r="K157" s="64">
        <v>50</v>
      </c>
      <c r="L157" s="64">
        <v>45</v>
      </c>
      <c r="M157" s="64">
        <v>40</v>
      </c>
      <c r="N157" s="67">
        <v>95</v>
      </c>
      <c r="O157" s="67">
        <v>90</v>
      </c>
      <c r="P157" s="67">
        <v>75</v>
      </c>
      <c r="Q157" s="55" t="s">
        <v>41</v>
      </c>
      <c r="R157" s="55" t="s">
        <v>40</v>
      </c>
      <c r="S157" s="74">
        <v>0.2</v>
      </c>
      <c r="T157" s="64"/>
      <c r="U157" s="59" t="s">
        <v>105</v>
      </c>
      <c r="V157" s="76" t="s">
        <v>862</v>
      </c>
      <c r="W157" s="76">
        <v>330803026</v>
      </c>
      <c r="X157" s="77" t="s">
        <v>863</v>
      </c>
      <c r="Y157" s="77"/>
      <c r="Z157" s="77"/>
      <c r="AA157" s="77" t="s">
        <v>39</v>
      </c>
      <c r="AB157" s="77" t="s">
        <v>40</v>
      </c>
      <c r="AC157" s="88">
        <v>50</v>
      </c>
      <c r="AD157" s="88">
        <v>45</v>
      </c>
      <c r="AE157" s="88">
        <v>40</v>
      </c>
      <c r="AF157" s="44">
        <f t="shared" si="14"/>
        <v>0</v>
      </c>
      <c r="AG157" s="44" t="str">
        <f t="shared" si="15"/>
        <v>体外人工膜肺运行监测费-体外循环辅助装置运行监测（扩展）</v>
      </c>
      <c r="AH157" s="44">
        <f t="shared" si="16"/>
        <v>95</v>
      </c>
      <c r="AI157" s="44">
        <f t="shared" si="17"/>
        <v>90</v>
      </c>
      <c r="AJ157" s="44">
        <f t="shared" si="18"/>
        <v>75</v>
      </c>
    </row>
    <row r="158" s="44" customFormat="1" ht="38" customHeight="1" spans="1:36">
      <c r="A158" s="55"/>
      <c r="B158" s="55"/>
      <c r="C158" s="56" t="s">
        <v>861</v>
      </c>
      <c r="D158" s="55"/>
      <c r="E158" s="59"/>
      <c r="F158" s="59"/>
      <c r="G158" s="55"/>
      <c r="H158" s="59"/>
      <c r="I158" s="37"/>
      <c r="J158" s="37"/>
      <c r="K158" s="64"/>
      <c r="L158" s="64"/>
      <c r="M158" s="64"/>
      <c r="N158" s="67">
        <v>95</v>
      </c>
      <c r="O158" s="67">
        <v>90</v>
      </c>
      <c r="P158" s="67">
        <v>75</v>
      </c>
      <c r="Q158" s="55"/>
      <c r="R158" s="55"/>
      <c r="S158" s="74"/>
      <c r="T158" s="64"/>
      <c r="U158" s="59"/>
      <c r="V158" s="76" t="s">
        <v>864</v>
      </c>
      <c r="W158" s="76">
        <v>33080302601</v>
      </c>
      <c r="X158" s="77" t="s">
        <v>865</v>
      </c>
      <c r="Y158" s="77"/>
      <c r="Z158" s="77"/>
      <c r="AA158" s="77" t="s">
        <v>39</v>
      </c>
      <c r="AB158" s="77" t="s">
        <v>40</v>
      </c>
      <c r="AC158" s="88">
        <v>65</v>
      </c>
      <c r="AD158" s="88">
        <v>59</v>
      </c>
      <c r="AE158" s="88">
        <v>50</v>
      </c>
      <c r="AF158" s="44">
        <f t="shared" si="14"/>
        <v>0</v>
      </c>
      <c r="AG158" s="44" t="str">
        <f t="shared" si="15"/>
        <v>体外人工膜肺运行监测费-体外循环辅助装置运行监测（扩展）</v>
      </c>
      <c r="AH158" s="44">
        <f t="shared" si="16"/>
        <v>95</v>
      </c>
      <c r="AI158" s="44">
        <f t="shared" si="17"/>
        <v>90</v>
      </c>
      <c r="AJ158" s="44">
        <f t="shared" si="18"/>
        <v>75</v>
      </c>
    </row>
    <row r="159" s="44" customFormat="1" ht="38" customHeight="1" spans="1:36">
      <c r="A159" s="55">
        <v>57</v>
      </c>
      <c r="B159" s="55" t="s">
        <v>866</v>
      </c>
      <c r="C159" s="56" t="s">
        <v>867</v>
      </c>
      <c r="D159" s="55" t="s">
        <v>151</v>
      </c>
      <c r="E159" s="59" t="s">
        <v>868</v>
      </c>
      <c r="F159" s="59" t="s">
        <v>869</v>
      </c>
      <c r="G159" s="55" t="s">
        <v>54</v>
      </c>
      <c r="H159" s="59" t="s">
        <v>828</v>
      </c>
      <c r="I159" s="30">
        <v>1100</v>
      </c>
      <c r="J159" s="30">
        <v>990</v>
      </c>
      <c r="K159" s="64">
        <v>1045</v>
      </c>
      <c r="L159" s="64">
        <v>940</v>
      </c>
      <c r="M159" s="64">
        <v>800</v>
      </c>
      <c r="N159" s="66">
        <v>1045</v>
      </c>
      <c r="O159" s="66">
        <v>940</v>
      </c>
      <c r="P159" s="66">
        <v>800</v>
      </c>
      <c r="Q159" s="55" t="s">
        <v>41</v>
      </c>
      <c r="R159" s="55" t="s">
        <v>40</v>
      </c>
      <c r="S159" s="74">
        <v>0.2</v>
      </c>
      <c r="T159" s="64" t="s">
        <v>183</v>
      </c>
      <c r="U159" s="59" t="s">
        <v>183</v>
      </c>
      <c r="V159" s="76" t="s">
        <v>870</v>
      </c>
      <c r="W159" s="76">
        <v>33080302504</v>
      </c>
      <c r="X159" s="77" t="s">
        <v>871</v>
      </c>
      <c r="Y159" s="77"/>
      <c r="Z159" s="77" t="s">
        <v>872</v>
      </c>
      <c r="AA159" s="77" t="s">
        <v>54</v>
      </c>
      <c r="AB159" s="77" t="s">
        <v>40</v>
      </c>
      <c r="AC159" s="88">
        <v>1045</v>
      </c>
      <c r="AD159" s="88">
        <v>940</v>
      </c>
      <c r="AE159" s="88">
        <v>800</v>
      </c>
      <c r="AF159" s="44">
        <f t="shared" si="14"/>
        <v>0</v>
      </c>
      <c r="AG159" s="44" t="str">
        <f t="shared" si="15"/>
        <v>体外人工膜肺置换费</v>
      </c>
      <c r="AH159" s="44">
        <f t="shared" si="16"/>
        <v>1045</v>
      </c>
      <c r="AI159" s="44">
        <f t="shared" si="17"/>
        <v>940</v>
      </c>
      <c r="AJ159" s="44">
        <f t="shared" si="18"/>
        <v>800</v>
      </c>
    </row>
    <row r="160" s="44" customFormat="1" ht="38" customHeight="1" spans="1:36">
      <c r="A160" s="55"/>
      <c r="B160" s="55"/>
      <c r="C160" s="56" t="s">
        <v>867</v>
      </c>
      <c r="D160" s="55"/>
      <c r="E160" s="59"/>
      <c r="F160" s="59"/>
      <c r="G160" s="55"/>
      <c r="H160" s="59"/>
      <c r="I160" s="37"/>
      <c r="J160" s="37"/>
      <c r="K160" s="64"/>
      <c r="L160" s="64"/>
      <c r="M160" s="64"/>
      <c r="N160" s="66">
        <v>1045</v>
      </c>
      <c r="O160" s="66">
        <v>940</v>
      </c>
      <c r="P160" s="66">
        <v>800</v>
      </c>
      <c r="Q160" s="55"/>
      <c r="R160" s="55"/>
      <c r="S160" s="74"/>
      <c r="T160" s="64"/>
      <c r="U160" s="59"/>
      <c r="V160" s="76" t="s">
        <v>873</v>
      </c>
      <c r="W160" s="76">
        <v>33080302506</v>
      </c>
      <c r="X160" s="77" t="s">
        <v>874</v>
      </c>
      <c r="Y160" s="77"/>
      <c r="Z160" s="77" t="s">
        <v>875</v>
      </c>
      <c r="AA160" s="77" t="s">
        <v>54</v>
      </c>
      <c r="AB160" s="77" t="s">
        <v>40</v>
      </c>
      <c r="AC160" s="88">
        <v>1045</v>
      </c>
      <c r="AD160" s="88">
        <v>940</v>
      </c>
      <c r="AE160" s="88">
        <v>800</v>
      </c>
      <c r="AF160" s="44">
        <f t="shared" si="14"/>
        <v>0</v>
      </c>
      <c r="AG160" s="44" t="str">
        <f t="shared" si="15"/>
        <v>体外人工膜肺置换费</v>
      </c>
      <c r="AH160" s="44">
        <f t="shared" si="16"/>
        <v>1045</v>
      </c>
      <c r="AI160" s="44">
        <f t="shared" si="17"/>
        <v>940</v>
      </c>
      <c r="AJ160" s="44">
        <f t="shared" si="18"/>
        <v>800</v>
      </c>
    </row>
    <row r="161" s="44" customFormat="1" ht="38" customHeight="1" spans="1:36">
      <c r="A161" s="55" t="s">
        <v>55</v>
      </c>
      <c r="B161" s="55" t="s">
        <v>876</v>
      </c>
      <c r="C161" s="56" t="s">
        <v>877</v>
      </c>
      <c r="D161" s="55" t="s">
        <v>151</v>
      </c>
      <c r="E161" s="59" t="s">
        <v>40</v>
      </c>
      <c r="F161" s="59" t="s">
        <v>40</v>
      </c>
      <c r="G161" s="55" t="s">
        <v>54</v>
      </c>
      <c r="H161" s="59" t="s">
        <v>40</v>
      </c>
      <c r="I161" s="30">
        <v>330</v>
      </c>
      <c r="J161" s="30">
        <v>297</v>
      </c>
      <c r="K161" s="64"/>
      <c r="L161" s="64"/>
      <c r="M161" s="64"/>
      <c r="N161" s="66">
        <v>315</v>
      </c>
      <c r="O161" s="66">
        <v>280</v>
      </c>
      <c r="P161" s="66">
        <v>240</v>
      </c>
      <c r="Q161" s="55" t="s">
        <v>41</v>
      </c>
      <c r="R161" s="55" t="s">
        <v>40</v>
      </c>
      <c r="S161" s="74">
        <v>0.2</v>
      </c>
      <c r="T161" s="64"/>
      <c r="U161" s="59" t="s">
        <v>305</v>
      </c>
      <c r="V161" s="76" t="s">
        <v>878</v>
      </c>
      <c r="W161" s="76">
        <v>33080302505</v>
      </c>
      <c r="X161" s="77" t="s">
        <v>879</v>
      </c>
      <c r="Y161" s="77"/>
      <c r="Z161" s="77" t="s">
        <v>872</v>
      </c>
      <c r="AA161" s="77" t="s">
        <v>54</v>
      </c>
      <c r="AB161" s="77" t="s">
        <v>40</v>
      </c>
      <c r="AC161" s="88">
        <v>1360</v>
      </c>
      <c r="AD161" s="88">
        <v>1220</v>
      </c>
      <c r="AE161" s="88">
        <v>1040</v>
      </c>
      <c r="AF161" s="44">
        <f t="shared" si="14"/>
        <v>10</v>
      </c>
      <c r="AG161" s="44" t="str">
        <f t="shared" si="15"/>
        <v>体外人工膜肺置换费</v>
      </c>
      <c r="AH161" s="44">
        <f t="shared" si="16"/>
        <v>1360</v>
      </c>
      <c r="AI161" s="44">
        <f t="shared" si="17"/>
        <v>1220</v>
      </c>
      <c r="AJ161" s="44">
        <f t="shared" si="18"/>
        <v>1040</v>
      </c>
    </row>
    <row r="162" s="44" customFormat="1" ht="38" customHeight="1" spans="1:36">
      <c r="A162" s="55"/>
      <c r="B162" s="55"/>
      <c r="C162" s="56" t="s">
        <v>877</v>
      </c>
      <c r="D162" s="55"/>
      <c r="E162" s="59"/>
      <c r="F162" s="59"/>
      <c r="G162" s="55"/>
      <c r="H162" s="59"/>
      <c r="I162" s="37"/>
      <c r="J162" s="37"/>
      <c r="K162" s="64"/>
      <c r="L162" s="64"/>
      <c r="M162" s="64"/>
      <c r="N162" s="66">
        <v>315</v>
      </c>
      <c r="O162" s="66">
        <v>280</v>
      </c>
      <c r="P162" s="66">
        <v>240</v>
      </c>
      <c r="Q162" s="55"/>
      <c r="R162" s="55"/>
      <c r="S162" s="74"/>
      <c r="T162" s="64"/>
      <c r="U162" s="59"/>
      <c r="V162" s="76" t="s">
        <v>880</v>
      </c>
      <c r="W162" s="76">
        <v>33080302507</v>
      </c>
      <c r="X162" s="77" t="s">
        <v>881</v>
      </c>
      <c r="Y162" s="77"/>
      <c r="Z162" s="77" t="s">
        <v>875</v>
      </c>
      <c r="AA162" s="77" t="s">
        <v>54</v>
      </c>
      <c r="AB162" s="77" t="s">
        <v>40</v>
      </c>
      <c r="AC162" s="88">
        <v>1360</v>
      </c>
      <c r="AD162" s="88">
        <v>1220</v>
      </c>
      <c r="AE162" s="88">
        <v>1040</v>
      </c>
      <c r="AF162" s="44">
        <f t="shared" si="14"/>
        <v>10</v>
      </c>
      <c r="AG162" s="44" t="str">
        <f t="shared" si="15"/>
        <v>体外人工膜肺置换费</v>
      </c>
      <c r="AH162" s="44">
        <f t="shared" si="16"/>
        <v>1360</v>
      </c>
      <c r="AI162" s="44">
        <f t="shared" si="17"/>
        <v>1220</v>
      </c>
      <c r="AJ162" s="44">
        <f t="shared" si="18"/>
        <v>1040</v>
      </c>
    </row>
    <row r="163" s="44" customFormat="1" ht="38" customHeight="1" spans="1:36">
      <c r="A163" s="55">
        <v>58</v>
      </c>
      <c r="B163" s="122" t="s">
        <v>884</v>
      </c>
      <c r="C163" s="56" t="s">
        <v>885</v>
      </c>
      <c r="D163" s="55" t="s">
        <v>350</v>
      </c>
      <c r="E163" s="59" t="s">
        <v>886</v>
      </c>
      <c r="F163" s="59" t="s">
        <v>887</v>
      </c>
      <c r="G163" s="55" t="s">
        <v>54</v>
      </c>
      <c r="H163" s="59" t="s">
        <v>40</v>
      </c>
      <c r="I163" s="30">
        <v>7000</v>
      </c>
      <c r="J163" s="30">
        <v>6300</v>
      </c>
      <c r="K163" s="64"/>
      <c r="L163" s="64"/>
      <c r="M163" s="64"/>
      <c r="N163" s="66">
        <v>6300</v>
      </c>
      <c r="O163" s="66">
        <v>5700</v>
      </c>
      <c r="P163" s="66">
        <v>4850</v>
      </c>
      <c r="Q163" s="55" t="s">
        <v>41</v>
      </c>
      <c r="R163" s="55" t="s">
        <v>40</v>
      </c>
      <c r="S163" s="74" t="s">
        <v>40</v>
      </c>
      <c r="T163" s="64" t="s">
        <v>698</v>
      </c>
      <c r="U163" s="59" t="s">
        <v>888</v>
      </c>
      <c r="V163" s="76" t="s">
        <v>889</v>
      </c>
      <c r="W163" s="83">
        <v>330803022</v>
      </c>
      <c r="X163" s="77" t="s">
        <v>890</v>
      </c>
      <c r="Y163" s="77" t="s">
        <v>891</v>
      </c>
      <c r="Z163" s="77" t="s">
        <v>892</v>
      </c>
      <c r="AA163" s="77" t="s">
        <v>54</v>
      </c>
      <c r="AB163" s="77" t="s">
        <v>40</v>
      </c>
      <c r="AC163" s="88">
        <v>1010</v>
      </c>
      <c r="AD163" s="88">
        <v>910</v>
      </c>
      <c r="AE163" s="88">
        <v>775</v>
      </c>
      <c r="AF163" s="44">
        <f t="shared" si="14"/>
        <v>0</v>
      </c>
      <c r="AG163" s="44" t="str">
        <f t="shared" si="15"/>
        <v>心室辅助装置植入费</v>
      </c>
      <c r="AH163" s="44">
        <f t="shared" si="16"/>
        <v>6300</v>
      </c>
      <c r="AI163" s="44">
        <f t="shared" si="17"/>
        <v>5700</v>
      </c>
      <c r="AJ163" s="44">
        <f t="shared" si="18"/>
        <v>4850</v>
      </c>
    </row>
    <row r="164" s="44" customFormat="1" ht="38" customHeight="1" spans="1:36">
      <c r="A164" s="55"/>
      <c r="B164" s="55"/>
      <c r="C164" s="56" t="s">
        <v>885</v>
      </c>
      <c r="D164" s="55"/>
      <c r="E164" s="59"/>
      <c r="F164" s="59"/>
      <c r="G164" s="55"/>
      <c r="H164" s="59"/>
      <c r="I164" s="37"/>
      <c r="J164" s="37"/>
      <c r="K164" s="64"/>
      <c r="L164" s="64"/>
      <c r="M164" s="64"/>
      <c r="N164" s="66">
        <v>6300</v>
      </c>
      <c r="O164" s="66">
        <v>5700</v>
      </c>
      <c r="P164" s="66">
        <v>4850</v>
      </c>
      <c r="Q164" s="55"/>
      <c r="R164" s="55"/>
      <c r="S164" s="74"/>
      <c r="T164" s="64"/>
      <c r="U164" s="59"/>
      <c r="V164" s="77" t="s">
        <v>893</v>
      </c>
      <c r="W164" s="77">
        <v>330803024</v>
      </c>
      <c r="X164" s="77" t="s">
        <v>890</v>
      </c>
      <c r="Y164" s="77" t="s">
        <v>894</v>
      </c>
      <c r="Z164" s="77" t="s">
        <v>892</v>
      </c>
      <c r="AA164" s="77" t="s">
        <v>54</v>
      </c>
      <c r="AB164" s="77" t="s">
        <v>40</v>
      </c>
      <c r="AC164" s="88">
        <v>4730</v>
      </c>
      <c r="AD164" s="88">
        <v>4260</v>
      </c>
      <c r="AE164" s="88">
        <v>3620</v>
      </c>
      <c r="AF164" s="44">
        <f t="shared" si="14"/>
        <v>0</v>
      </c>
      <c r="AG164" s="44" t="str">
        <f t="shared" si="15"/>
        <v>心室辅助装置植入费</v>
      </c>
      <c r="AH164" s="44">
        <f t="shared" si="16"/>
        <v>6300</v>
      </c>
      <c r="AI164" s="44">
        <f t="shared" si="17"/>
        <v>5700</v>
      </c>
      <c r="AJ164" s="44">
        <f t="shared" si="18"/>
        <v>4850</v>
      </c>
    </row>
    <row r="165" s="44" customFormat="1" ht="38" customHeight="1" spans="1:36">
      <c r="A165" s="55" t="s">
        <v>55</v>
      </c>
      <c r="B165" s="55" t="s">
        <v>899</v>
      </c>
      <c r="C165" s="56" t="s">
        <v>900</v>
      </c>
      <c r="D165" s="55" t="s">
        <v>350</v>
      </c>
      <c r="E165" s="59" t="s">
        <v>40</v>
      </c>
      <c r="F165" s="59" t="s">
        <v>40</v>
      </c>
      <c r="G165" s="55" t="s">
        <v>54</v>
      </c>
      <c r="H165" s="59"/>
      <c r="I165" s="30">
        <v>2100</v>
      </c>
      <c r="J165" s="30">
        <v>1890</v>
      </c>
      <c r="K165" s="64"/>
      <c r="L165" s="64"/>
      <c r="M165" s="64"/>
      <c r="N165" s="66">
        <v>1890</v>
      </c>
      <c r="O165" s="66">
        <v>1710</v>
      </c>
      <c r="P165" s="66">
        <v>1455</v>
      </c>
      <c r="Q165" s="55" t="s">
        <v>41</v>
      </c>
      <c r="R165" s="55" t="s">
        <v>40</v>
      </c>
      <c r="S165" s="74" t="s">
        <v>40</v>
      </c>
      <c r="T165" s="64"/>
      <c r="U165" s="59" t="s">
        <v>305</v>
      </c>
      <c r="V165" s="77" t="s">
        <v>901</v>
      </c>
      <c r="W165" s="77">
        <v>33080302201</v>
      </c>
      <c r="X165" s="77" t="s">
        <v>902</v>
      </c>
      <c r="Y165" s="77"/>
      <c r="Z165" s="77"/>
      <c r="AA165" s="77" t="s">
        <v>54</v>
      </c>
      <c r="AB165" s="77" t="s">
        <v>40</v>
      </c>
      <c r="AC165" s="88">
        <v>1315</v>
      </c>
      <c r="AD165" s="88">
        <v>1185</v>
      </c>
      <c r="AE165" s="88">
        <v>1005</v>
      </c>
      <c r="AF165" s="44">
        <f t="shared" si="14"/>
        <v>10</v>
      </c>
      <c r="AG165" s="44" t="str">
        <f t="shared" si="15"/>
        <v>心室辅助装置植入费</v>
      </c>
      <c r="AH165" s="44">
        <f t="shared" si="16"/>
        <v>8190</v>
      </c>
      <c r="AI165" s="44">
        <f t="shared" si="17"/>
        <v>7410</v>
      </c>
      <c r="AJ165" s="44">
        <f t="shared" si="18"/>
        <v>6305</v>
      </c>
    </row>
    <row r="166" s="44" customFormat="1" ht="38" customHeight="1" spans="1:36">
      <c r="A166" s="55"/>
      <c r="B166" s="55"/>
      <c r="C166" s="56" t="s">
        <v>900</v>
      </c>
      <c r="D166" s="55"/>
      <c r="E166" s="59"/>
      <c r="F166" s="59"/>
      <c r="G166" s="55"/>
      <c r="H166" s="59"/>
      <c r="I166" s="37"/>
      <c r="J166" s="37"/>
      <c r="K166" s="64"/>
      <c r="L166" s="64"/>
      <c r="M166" s="64"/>
      <c r="N166" s="66">
        <v>1890</v>
      </c>
      <c r="O166" s="66">
        <v>1710</v>
      </c>
      <c r="P166" s="66">
        <v>1455</v>
      </c>
      <c r="Q166" s="55"/>
      <c r="R166" s="55"/>
      <c r="S166" s="74"/>
      <c r="T166" s="64"/>
      <c r="U166" s="59"/>
      <c r="V166" s="76" t="s">
        <v>903</v>
      </c>
      <c r="W166" s="76">
        <v>33080302401</v>
      </c>
      <c r="X166" s="77" t="s">
        <v>902</v>
      </c>
      <c r="Y166" s="77"/>
      <c r="Z166" s="77"/>
      <c r="AA166" s="77" t="s">
        <v>54</v>
      </c>
      <c r="AB166" s="77" t="s">
        <v>40</v>
      </c>
      <c r="AC166" s="88">
        <v>6150</v>
      </c>
      <c r="AD166" s="88">
        <v>5540</v>
      </c>
      <c r="AE166" s="88">
        <v>4710</v>
      </c>
      <c r="AF166" s="44">
        <f t="shared" si="14"/>
        <v>10</v>
      </c>
      <c r="AG166" s="44" t="str">
        <f t="shared" si="15"/>
        <v>心室辅助装置植入费</v>
      </c>
      <c r="AH166" s="44">
        <f t="shared" si="16"/>
        <v>8190</v>
      </c>
      <c r="AI166" s="44">
        <f t="shared" si="17"/>
        <v>7410</v>
      </c>
      <c r="AJ166" s="44">
        <f t="shared" si="18"/>
        <v>6305</v>
      </c>
    </row>
    <row r="167" s="44" customFormat="1" ht="38" customHeight="1" spans="1:36">
      <c r="A167" s="55">
        <v>60</v>
      </c>
      <c r="B167" s="55" t="s">
        <v>916</v>
      </c>
      <c r="C167" s="56" t="s">
        <v>917</v>
      </c>
      <c r="D167" s="55" t="s">
        <v>350</v>
      </c>
      <c r="E167" s="59" t="s">
        <v>918</v>
      </c>
      <c r="F167" s="59" t="s">
        <v>919</v>
      </c>
      <c r="G167" s="55" t="s">
        <v>54</v>
      </c>
      <c r="H167" s="59" t="s">
        <v>40</v>
      </c>
      <c r="I167" s="30">
        <v>8727</v>
      </c>
      <c r="J167" s="30">
        <v>7854</v>
      </c>
      <c r="K167" s="63">
        <v>7945.85365853659</v>
      </c>
      <c r="L167" s="63"/>
      <c r="M167" s="63"/>
      <c r="N167" s="66">
        <v>7950</v>
      </c>
      <c r="O167" s="66">
        <v>7160</v>
      </c>
      <c r="P167" s="66">
        <v>6090</v>
      </c>
      <c r="Q167" s="55" t="s">
        <v>41</v>
      </c>
      <c r="R167" s="55" t="s">
        <v>40</v>
      </c>
      <c r="S167" s="74" t="s">
        <v>40</v>
      </c>
      <c r="T167" s="63" t="s">
        <v>42</v>
      </c>
      <c r="U167" s="59" t="s">
        <v>920</v>
      </c>
      <c r="V167" s="76" t="s">
        <v>921</v>
      </c>
      <c r="W167" s="76">
        <v>330802003</v>
      </c>
      <c r="X167" s="77" t="s">
        <v>922</v>
      </c>
      <c r="Y167" s="77" t="s">
        <v>923</v>
      </c>
      <c r="Z167" s="77"/>
      <c r="AA167" s="77" t="s">
        <v>924</v>
      </c>
      <c r="AB167" s="77" t="s">
        <v>925</v>
      </c>
      <c r="AC167" s="88">
        <v>7980</v>
      </c>
      <c r="AD167" s="88">
        <v>7180</v>
      </c>
      <c r="AE167" s="88">
        <v>5740</v>
      </c>
      <c r="AF167" s="44">
        <f t="shared" si="14"/>
        <v>0</v>
      </c>
      <c r="AG167" s="44" t="str">
        <f t="shared" si="15"/>
        <v>冠状动脉旁路移植费</v>
      </c>
      <c r="AH167" s="44">
        <f t="shared" si="16"/>
        <v>7950</v>
      </c>
      <c r="AI167" s="44">
        <f t="shared" si="17"/>
        <v>7160</v>
      </c>
      <c r="AJ167" s="44">
        <f t="shared" si="18"/>
        <v>6090</v>
      </c>
    </row>
    <row r="168" s="44" customFormat="1" ht="38" customHeight="1" spans="1:36">
      <c r="A168" s="55"/>
      <c r="B168" s="55"/>
      <c r="C168" s="56" t="s">
        <v>917</v>
      </c>
      <c r="D168" s="55"/>
      <c r="E168" s="59"/>
      <c r="F168" s="59"/>
      <c r="G168" s="55"/>
      <c r="H168" s="59"/>
      <c r="I168" s="37"/>
      <c r="J168" s="37"/>
      <c r="K168" s="63"/>
      <c r="L168" s="63"/>
      <c r="M168" s="63"/>
      <c r="N168" s="66">
        <v>7950</v>
      </c>
      <c r="O168" s="66">
        <v>7160</v>
      </c>
      <c r="P168" s="66">
        <v>6090</v>
      </c>
      <c r="Q168" s="55"/>
      <c r="R168" s="55"/>
      <c r="S168" s="74"/>
      <c r="T168" s="63"/>
      <c r="U168" s="59"/>
      <c r="V168" s="76" t="s">
        <v>926</v>
      </c>
      <c r="W168" s="76">
        <v>330802006</v>
      </c>
      <c r="X168" s="77" t="s">
        <v>927</v>
      </c>
      <c r="Y168" s="77"/>
      <c r="Z168" s="77"/>
      <c r="AA168" s="77" t="s">
        <v>924</v>
      </c>
      <c r="AB168" s="77" t="s">
        <v>928</v>
      </c>
      <c r="AC168" s="88">
        <v>7630</v>
      </c>
      <c r="AD168" s="88">
        <v>6870</v>
      </c>
      <c r="AE168" s="88">
        <v>5840</v>
      </c>
      <c r="AF168" s="44">
        <f t="shared" si="14"/>
        <v>0</v>
      </c>
      <c r="AG168" s="44" t="str">
        <f t="shared" si="15"/>
        <v>冠状动脉旁路移植费</v>
      </c>
      <c r="AH168" s="44">
        <f t="shared" si="16"/>
        <v>7950</v>
      </c>
      <c r="AI168" s="44">
        <f t="shared" si="17"/>
        <v>7160</v>
      </c>
      <c r="AJ168" s="44">
        <f t="shared" si="18"/>
        <v>6090</v>
      </c>
    </row>
    <row r="169" s="44" customFormat="1" ht="38" customHeight="1" spans="1:36">
      <c r="A169" s="55" t="s">
        <v>55</v>
      </c>
      <c r="B169" s="55" t="s">
        <v>929</v>
      </c>
      <c r="C169" s="56" t="s">
        <v>930</v>
      </c>
      <c r="D169" s="55" t="s">
        <v>350</v>
      </c>
      <c r="E169" s="59" t="s">
        <v>40</v>
      </c>
      <c r="F169" s="59" t="s">
        <v>40</v>
      </c>
      <c r="G169" s="55" t="s">
        <v>54</v>
      </c>
      <c r="H169" s="59" t="s">
        <v>40</v>
      </c>
      <c r="I169" s="30">
        <v>2618</v>
      </c>
      <c r="J169" s="30">
        <v>2356</v>
      </c>
      <c r="K169" s="64"/>
      <c r="L169" s="64"/>
      <c r="M169" s="64"/>
      <c r="N169" s="66">
        <v>2385</v>
      </c>
      <c r="O169" s="66">
        <v>2150</v>
      </c>
      <c r="P169" s="66">
        <v>1825</v>
      </c>
      <c r="Q169" s="55" t="s">
        <v>41</v>
      </c>
      <c r="R169" s="55" t="s">
        <v>40</v>
      </c>
      <c r="S169" s="74" t="s">
        <v>40</v>
      </c>
      <c r="T169" s="64"/>
      <c r="U169" s="59" t="s">
        <v>305</v>
      </c>
      <c r="V169" s="76" t="s">
        <v>931</v>
      </c>
      <c r="W169" s="76">
        <v>33080200302</v>
      </c>
      <c r="X169" s="77" t="s">
        <v>932</v>
      </c>
      <c r="Y169" s="77"/>
      <c r="Z169" s="77"/>
      <c r="AA169" s="77" t="s">
        <v>924</v>
      </c>
      <c r="AB169" s="77" t="s">
        <v>40</v>
      </c>
      <c r="AC169" s="88">
        <v>10375</v>
      </c>
      <c r="AD169" s="88">
        <v>9335</v>
      </c>
      <c r="AE169" s="88">
        <v>7460</v>
      </c>
      <c r="AF169" s="44">
        <f t="shared" si="14"/>
        <v>10</v>
      </c>
      <c r="AG169" s="44" t="str">
        <f t="shared" si="15"/>
        <v>冠状动脉旁路移植费</v>
      </c>
      <c r="AH169" s="44">
        <f t="shared" si="16"/>
        <v>10335</v>
      </c>
      <c r="AI169" s="44">
        <f t="shared" si="17"/>
        <v>9310</v>
      </c>
      <c r="AJ169" s="44">
        <f t="shared" si="18"/>
        <v>7915</v>
      </c>
    </row>
    <row r="170" s="44" customFormat="1" ht="38" customHeight="1" spans="1:36">
      <c r="A170" s="55"/>
      <c r="B170" s="55"/>
      <c r="C170" s="56" t="s">
        <v>930</v>
      </c>
      <c r="D170" s="55"/>
      <c r="E170" s="59"/>
      <c r="F170" s="59"/>
      <c r="G170" s="55"/>
      <c r="H170" s="59"/>
      <c r="I170" s="37"/>
      <c r="J170" s="37"/>
      <c r="K170" s="64"/>
      <c r="L170" s="64"/>
      <c r="M170" s="64"/>
      <c r="N170" s="66">
        <v>2385</v>
      </c>
      <c r="O170" s="66">
        <v>2150</v>
      </c>
      <c r="P170" s="66">
        <v>1825</v>
      </c>
      <c r="Q170" s="55"/>
      <c r="R170" s="55"/>
      <c r="S170" s="74"/>
      <c r="T170" s="64"/>
      <c r="U170" s="59"/>
      <c r="V170" s="76" t="s">
        <v>933</v>
      </c>
      <c r="W170" s="76">
        <v>33080200602</v>
      </c>
      <c r="X170" s="77" t="s">
        <v>934</v>
      </c>
      <c r="Y170" s="77"/>
      <c r="Z170" s="77"/>
      <c r="AA170" s="77" t="s">
        <v>924</v>
      </c>
      <c r="AB170" s="77" t="s">
        <v>40</v>
      </c>
      <c r="AC170" s="88">
        <v>9920</v>
      </c>
      <c r="AD170" s="88">
        <v>8930</v>
      </c>
      <c r="AE170" s="88">
        <v>7590</v>
      </c>
      <c r="AF170" s="44">
        <f t="shared" si="14"/>
        <v>10</v>
      </c>
      <c r="AG170" s="44" t="str">
        <f t="shared" si="15"/>
        <v>冠状动脉旁路移植费</v>
      </c>
      <c r="AH170" s="44">
        <f t="shared" si="16"/>
        <v>10335</v>
      </c>
      <c r="AI170" s="44">
        <f t="shared" si="17"/>
        <v>9310</v>
      </c>
      <c r="AJ170" s="44">
        <f t="shared" si="18"/>
        <v>7915</v>
      </c>
    </row>
    <row r="171" s="44" customFormat="1" ht="38" customHeight="1" spans="1:36">
      <c r="A171" s="55" t="s">
        <v>55</v>
      </c>
      <c r="B171" s="55" t="s">
        <v>935</v>
      </c>
      <c r="C171" s="56" t="s">
        <v>936</v>
      </c>
      <c r="D171" s="55" t="s">
        <v>350</v>
      </c>
      <c r="E171" s="59" t="s">
        <v>40</v>
      </c>
      <c r="F171" s="59" t="s">
        <v>40</v>
      </c>
      <c r="G171" s="55" t="s">
        <v>54</v>
      </c>
      <c r="H171" s="59" t="s">
        <v>40</v>
      </c>
      <c r="I171" s="30">
        <v>800</v>
      </c>
      <c r="J171" s="30">
        <v>720</v>
      </c>
      <c r="K171" s="64"/>
      <c r="L171" s="64"/>
      <c r="M171" s="64"/>
      <c r="N171" s="66">
        <v>720</v>
      </c>
      <c r="O171" s="66">
        <v>650</v>
      </c>
      <c r="P171" s="66">
        <v>550</v>
      </c>
      <c r="Q171" s="55" t="s">
        <v>41</v>
      </c>
      <c r="R171" s="55" t="s">
        <v>40</v>
      </c>
      <c r="S171" s="74" t="s">
        <v>40</v>
      </c>
      <c r="T171" s="64"/>
      <c r="U171" s="59" t="s">
        <v>937</v>
      </c>
      <c r="V171" s="76" t="s">
        <v>938</v>
      </c>
      <c r="W171" s="76">
        <v>330802007</v>
      </c>
      <c r="X171" s="77" t="s">
        <v>939</v>
      </c>
      <c r="Y171" s="77" t="s">
        <v>940</v>
      </c>
      <c r="Z171" s="77"/>
      <c r="AA171" s="77" t="s">
        <v>924</v>
      </c>
      <c r="AB171" s="77" t="s">
        <v>40</v>
      </c>
      <c r="AC171" s="88">
        <v>7630</v>
      </c>
      <c r="AD171" s="88">
        <v>6870</v>
      </c>
      <c r="AE171" s="88">
        <v>5840</v>
      </c>
      <c r="AF171" s="44">
        <f t="shared" si="14"/>
        <v>0</v>
      </c>
      <c r="AG171" s="44" t="str">
        <f t="shared" si="15"/>
        <v>冠状动脉旁路移植费-微创手术（加收）</v>
      </c>
      <c r="AH171" s="44">
        <f t="shared" si="16"/>
        <v>720</v>
      </c>
      <c r="AI171" s="44">
        <f t="shared" si="17"/>
        <v>650</v>
      </c>
      <c r="AJ171" s="44">
        <f t="shared" si="18"/>
        <v>550</v>
      </c>
    </row>
    <row r="172" s="44" customFormat="1" ht="38" customHeight="1" spans="1:36">
      <c r="A172" s="55"/>
      <c r="B172" s="55"/>
      <c r="C172" s="56" t="s">
        <v>936</v>
      </c>
      <c r="D172" s="55"/>
      <c r="E172" s="59"/>
      <c r="F172" s="59"/>
      <c r="G172" s="55"/>
      <c r="H172" s="59"/>
      <c r="I172" s="37"/>
      <c r="J172" s="37"/>
      <c r="K172" s="64"/>
      <c r="L172" s="64"/>
      <c r="M172" s="64"/>
      <c r="N172" s="66">
        <v>720</v>
      </c>
      <c r="O172" s="66">
        <v>650</v>
      </c>
      <c r="P172" s="66">
        <v>550</v>
      </c>
      <c r="Q172" s="55"/>
      <c r="R172" s="55"/>
      <c r="S172" s="74"/>
      <c r="T172" s="64"/>
      <c r="U172" s="59"/>
      <c r="V172" s="76" t="s">
        <v>941</v>
      </c>
      <c r="W172" s="76">
        <v>33080200701</v>
      </c>
      <c r="X172" s="77" t="s">
        <v>942</v>
      </c>
      <c r="Y172" s="77"/>
      <c r="Z172" s="77"/>
      <c r="AA172" s="77" t="s">
        <v>924</v>
      </c>
      <c r="AB172" s="77" t="s">
        <v>40</v>
      </c>
      <c r="AC172" s="88">
        <v>9920</v>
      </c>
      <c r="AD172" s="88">
        <v>8930</v>
      </c>
      <c r="AE172" s="88">
        <v>7590</v>
      </c>
      <c r="AF172" s="44">
        <f t="shared" si="14"/>
        <v>0</v>
      </c>
      <c r="AG172" s="44" t="str">
        <f t="shared" si="15"/>
        <v>冠状动脉旁路移植费-微创手术（加收）</v>
      </c>
      <c r="AH172" s="44">
        <f t="shared" si="16"/>
        <v>720</v>
      </c>
      <c r="AI172" s="44">
        <f t="shared" si="17"/>
        <v>650</v>
      </c>
      <c r="AJ172" s="44">
        <f t="shared" si="18"/>
        <v>550</v>
      </c>
    </row>
    <row r="173" s="44" customFormat="1" ht="22" customHeight="1" spans="1:36">
      <c r="A173" s="55" t="s">
        <v>55</v>
      </c>
      <c r="B173" s="55" t="s">
        <v>946</v>
      </c>
      <c r="C173" s="56" t="s">
        <v>947</v>
      </c>
      <c r="D173" s="55" t="s">
        <v>350</v>
      </c>
      <c r="E173" s="59" t="s">
        <v>40</v>
      </c>
      <c r="F173" s="59" t="s">
        <v>40</v>
      </c>
      <c r="G173" s="55" t="s">
        <v>54</v>
      </c>
      <c r="H173" s="59" t="s">
        <v>40</v>
      </c>
      <c r="I173" s="30">
        <v>600</v>
      </c>
      <c r="J173" s="30">
        <v>540</v>
      </c>
      <c r="K173" s="63">
        <v>555.714285714286</v>
      </c>
      <c r="L173" s="64"/>
      <c r="M173" s="64"/>
      <c r="N173" s="66">
        <v>555</v>
      </c>
      <c r="O173" s="66">
        <v>500</v>
      </c>
      <c r="P173" s="66">
        <v>425</v>
      </c>
      <c r="Q173" s="55" t="s">
        <v>41</v>
      </c>
      <c r="R173" s="55" t="s">
        <v>40</v>
      </c>
      <c r="S173" s="74" t="s">
        <v>40</v>
      </c>
      <c r="T173" s="64"/>
      <c r="U173" s="59" t="s">
        <v>948</v>
      </c>
      <c r="V173" s="76" t="s">
        <v>949</v>
      </c>
      <c r="W173" s="76">
        <v>33080200301</v>
      </c>
      <c r="X173" s="77" t="s">
        <v>950</v>
      </c>
      <c r="Y173" s="77"/>
      <c r="Z173" s="77"/>
      <c r="AA173" s="77" t="s">
        <v>924</v>
      </c>
      <c r="AB173" s="77" t="s">
        <v>951</v>
      </c>
      <c r="AC173" s="88">
        <v>570</v>
      </c>
      <c r="AD173" s="88">
        <v>510</v>
      </c>
      <c r="AE173" s="88">
        <v>405</v>
      </c>
      <c r="AF173" s="44">
        <f t="shared" si="14"/>
        <v>0</v>
      </c>
      <c r="AG173" s="44" t="str">
        <f t="shared" si="15"/>
        <v>冠状动脉旁路移植费-每使用一支动脉桥（加收）</v>
      </c>
      <c r="AH173" s="44">
        <f t="shared" si="16"/>
        <v>555</v>
      </c>
      <c r="AI173" s="44">
        <f t="shared" si="17"/>
        <v>500</v>
      </c>
      <c r="AJ173" s="44">
        <f t="shared" si="18"/>
        <v>425</v>
      </c>
    </row>
    <row r="174" s="44" customFormat="1" ht="22" customHeight="1" spans="1:36">
      <c r="A174" s="55"/>
      <c r="B174" s="55"/>
      <c r="C174" s="56" t="s">
        <v>947</v>
      </c>
      <c r="D174" s="55"/>
      <c r="E174" s="59"/>
      <c r="F174" s="59"/>
      <c r="G174" s="55"/>
      <c r="H174" s="59"/>
      <c r="I174" s="37"/>
      <c r="J174" s="37"/>
      <c r="K174" s="63"/>
      <c r="L174" s="64"/>
      <c r="M174" s="64"/>
      <c r="N174" s="66">
        <v>555</v>
      </c>
      <c r="O174" s="66">
        <v>500</v>
      </c>
      <c r="P174" s="66">
        <v>425</v>
      </c>
      <c r="Q174" s="55"/>
      <c r="R174" s="55"/>
      <c r="S174" s="74"/>
      <c r="T174" s="64"/>
      <c r="U174" s="59"/>
      <c r="V174" s="76" t="s">
        <v>952</v>
      </c>
      <c r="W174" s="76">
        <v>33080200303</v>
      </c>
      <c r="X174" s="77" t="s">
        <v>953</v>
      </c>
      <c r="Y174" s="77"/>
      <c r="Z174" s="77"/>
      <c r="AA174" s="77" t="s">
        <v>924</v>
      </c>
      <c r="AB174" s="77" t="s">
        <v>951</v>
      </c>
      <c r="AC174" s="88">
        <v>740</v>
      </c>
      <c r="AD174" s="88">
        <v>665</v>
      </c>
      <c r="AE174" s="88">
        <v>525</v>
      </c>
      <c r="AF174" s="44">
        <f t="shared" si="14"/>
        <v>0</v>
      </c>
      <c r="AG174" s="44" t="str">
        <f t="shared" si="15"/>
        <v>冠状动脉旁路移植费-每使用一支动脉桥（加收）</v>
      </c>
      <c r="AH174" s="44">
        <f t="shared" si="16"/>
        <v>555</v>
      </c>
      <c r="AI174" s="44">
        <f t="shared" si="17"/>
        <v>500</v>
      </c>
      <c r="AJ174" s="44">
        <f t="shared" si="18"/>
        <v>425</v>
      </c>
    </row>
    <row r="175" s="44" customFormat="1" ht="22" customHeight="1" spans="1:36">
      <c r="A175" s="55"/>
      <c r="B175" s="55"/>
      <c r="C175" s="56" t="s">
        <v>947</v>
      </c>
      <c r="D175" s="55"/>
      <c r="E175" s="59"/>
      <c r="F175" s="59"/>
      <c r="G175" s="55"/>
      <c r="H175" s="59"/>
      <c r="I175" s="37"/>
      <c r="J175" s="37"/>
      <c r="K175" s="63"/>
      <c r="L175" s="64"/>
      <c r="M175" s="64"/>
      <c r="N175" s="66">
        <v>555</v>
      </c>
      <c r="O175" s="66">
        <v>500</v>
      </c>
      <c r="P175" s="66">
        <v>425</v>
      </c>
      <c r="Q175" s="55"/>
      <c r="R175" s="55"/>
      <c r="S175" s="74"/>
      <c r="T175" s="64"/>
      <c r="U175" s="59"/>
      <c r="V175" s="76" t="s">
        <v>954</v>
      </c>
      <c r="W175" s="76">
        <v>33080200401</v>
      </c>
      <c r="X175" s="77" t="s">
        <v>955</v>
      </c>
      <c r="Y175" s="77"/>
      <c r="Z175" s="77"/>
      <c r="AA175" s="77" t="s">
        <v>924</v>
      </c>
      <c r="AB175" s="77" t="s">
        <v>951</v>
      </c>
      <c r="AC175" s="88">
        <v>540</v>
      </c>
      <c r="AD175" s="88">
        <v>485</v>
      </c>
      <c r="AE175" s="88">
        <v>415</v>
      </c>
      <c r="AF175" s="44">
        <f t="shared" si="14"/>
        <v>0</v>
      </c>
      <c r="AG175" s="44" t="str">
        <f t="shared" si="15"/>
        <v>冠状动脉旁路移植费-每使用一支动脉桥（加收）</v>
      </c>
      <c r="AH175" s="44">
        <f t="shared" si="16"/>
        <v>555</v>
      </c>
      <c r="AI175" s="44">
        <f t="shared" si="17"/>
        <v>500</v>
      </c>
      <c r="AJ175" s="44">
        <f t="shared" si="18"/>
        <v>425</v>
      </c>
    </row>
    <row r="176" s="44" customFormat="1" ht="22" customHeight="1" spans="1:36">
      <c r="A176" s="55"/>
      <c r="B176" s="55"/>
      <c r="C176" s="56" t="s">
        <v>947</v>
      </c>
      <c r="D176" s="55"/>
      <c r="E176" s="59"/>
      <c r="F176" s="59"/>
      <c r="G176" s="55"/>
      <c r="H176" s="59"/>
      <c r="I176" s="37"/>
      <c r="J176" s="37"/>
      <c r="K176" s="63"/>
      <c r="L176" s="64"/>
      <c r="M176" s="64"/>
      <c r="N176" s="66">
        <v>555</v>
      </c>
      <c r="O176" s="66">
        <v>500</v>
      </c>
      <c r="P176" s="66">
        <v>425</v>
      </c>
      <c r="Q176" s="55"/>
      <c r="R176" s="55"/>
      <c r="S176" s="74"/>
      <c r="T176" s="64"/>
      <c r="U176" s="59"/>
      <c r="V176" s="76" t="s">
        <v>956</v>
      </c>
      <c r="W176" s="76">
        <v>33080200403</v>
      </c>
      <c r="X176" s="77" t="s">
        <v>957</v>
      </c>
      <c r="Y176" s="77"/>
      <c r="Z176" s="77"/>
      <c r="AA176" s="77" t="s">
        <v>924</v>
      </c>
      <c r="AB176" s="77" t="s">
        <v>951</v>
      </c>
      <c r="AC176" s="88">
        <v>700</v>
      </c>
      <c r="AD176" s="88">
        <v>630</v>
      </c>
      <c r="AE176" s="88">
        <v>535</v>
      </c>
      <c r="AF176" s="44">
        <f t="shared" si="14"/>
        <v>0</v>
      </c>
      <c r="AG176" s="44" t="str">
        <f t="shared" si="15"/>
        <v>冠状动脉旁路移植费-每使用一支动脉桥（加收）</v>
      </c>
      <c r="AH176" s="44">
        <f t="shared" si="16"/>
        <v>555</v>
      </c>
      <c r="AI176" s="44">
        <f t="shared" si="17"/>
        <v>500</v>
      </c>
      <c r="AJ176" s="44">
        <f t="shared" si="18"/>
        <v>425</v>
      </c>
    </row>
    <row r="177" s="44" customFormat="1" ht="22" customHeight="1" spans="1:36">
      <c r="A177" s="55"/>
      <c r="B177" s="55"/>
      <c r="C177" s="56" t="s">
        <v>947</v>
      </c>
      <c r="D177" s="55"/>
      <c r="E177" s="59"/>
      <c r="F177" s="59"/>
      <c r="G177" s="55"/>
      <c r="H177" s="59"/>
      <c r="I177" s="37"/>
      <c r="J177" s="37"/>
      <c r="K177" s="63"/>
      <c r="L177" s="64"/>
      <c r="M177" s="64"/>
      <c r="N177" s="66">
        <v>555</v>
      </c>
      <c r="O177" s="66">
        <v>500</v>
      </c>
      <c r="P177" s="66">
        <v>425</v>
      </c>
      <c r="Q177" s="55"/>
      <c r="R177" s="55"/>
      <c r="S177" s="74"/>
      <c r="T177" s="64"/>
      <c r="U177" s="59"/>
      <c r="V177" s="76" t="s">
        <v>958</v>
      </c>
      <c r="W177" s="76">
        <v>33080200501</v>
      </c>
      <c r="X177" s="77" t="s">
        <v>959</v>
      </c>
      <c r="Y177" s="77"/>
      <c r="Z177" s="77"/>
      <c r="AA177" s="77" t="s">
        <v>924</v>
      </c>
      <c r="AB177" s="77" t="s">
        <v>951</v>
      </c>
      <c r="AC177" s="88">
        <v>540</v>
      </c>
      <c r="AD177" s="88">
        <v>485</v>
      </c>
      <c r="AE177" s="88">
        <v>415</v>
      </c>
      <c r="AF177" s="44">
        <f t="shared" si="14"/>
        <v>0</v>
      </c>
      <c r="AG177" s="44" t="str">
        <f t="shared" si="15"/>
        <v>冠状动脉旁路移植费-每使用一支动脉桥（加收）</v>
      </c>
      <c r="AH177" s="44">
        <f t="shared" si="16"/>
        <v>555</v>
      </c>
      <c r="AI177" s="44">
        <f t="shared" si="17"/>
        <v>500</v>
      </c>
      <c r="AJ177" s="44">
        <f t="shared" si="18"/>
        <v>425</v>
      </c>
    </row>
    <row r="178" s="44" customFormat="1" ht="22" customHeight="1" spans="1:36">
      <c r="A178" s="55"/>
      <c r="B178" s="55"/>
      <c r="C178" s="56" t="s">
        <v>947</v>
      </c>
      <c r="D178" s="55"/>
      <c r="E178" s="59"/>
      <c r="F178" s="59"/>
      <c r="G178" s="55"/>
      <c r="H178" s="59"/>
      <c r="I178" s="37"/>
      <c r="J178" s="37"/>
      <c r="K178" s="63"/>
      <c r="L178" s="64"/>
      <c r="M178" s="64"/>
      <c r="N178" s="66">
        <v>555</v>
      </c>
      <c r="O178" s="66">
        <v>500</v>
      </c>
      <c r="P178" s="66">
        <v>425</v>
      </c>
      <c r="Q178" s="55"/>
      <c r="R178" s="55"/>
      <c r="S178" s="74"/>
      <c r="T178" s="64"/>
      <c r="U178" s="59"/>
      <c r="V178" s="76" t="s">
        <v>960</v>
      </c>
      <c r="W178" s="76">
        <v>33080200503</v>
      </c>
      <c r="X178" s="77" t="s">
        <v>961</v>
      </c>
      <c r="Y178" s="77"/>
      <c r="Z178" s="77"/>
      <c r="AA178" s="77" t="s">
        <v>924</v>
      </c>
      <c r="AB178" s="77" t="s">
        <v>951</v>
      </c>
      <c r="AC178" s="88">
        <v>700</v>
      </c>
      <c r="AD178" s="88">
        <v>630</v>
      </c>
      <c r="AE178" s="88">
        <v>535</v>
      </c>
      <c r="AF178" s="44">
        <f t="shared" si="14"/>
        <v>0</v>
      </c>
      <c r="AG178" s="44" t="str">
        <f t="shared" si="15"/>
        <v>冠状动脉旁路移植费-每使用一支动脉桥（加收）</v>
      </c>
      <c r="AH178" s="44">
        <f t="shared" si="16"/>
        <v>555</v>
      </c>
      <c r="AI178" s="44">
        <f t="shared" si="17"/>
        <v>500</v>
      </c>
      <c r="AJ178" s="44">
        <f t="shared" si="18"/>
        <v>425</v>
      </c>
    </row>
    <row r="179" s="44" customFormat="1" ht="22" customHeight="1" spans="1:36">
      <c r="A179" s="55"/>
      <c r="B179" s="55"/>
      <c r="C179" s="56" t="s">
        <v>947</v>
      </c>
      <c r="D179" s="55"/>
      <c r="E179" s="59"/>
      <c r="F179" s="59"/>
      <c r="G179" s="55"/>
      <c r="H179" s="59"/>
      <c r="I179" s="37"/>
      <c r="J179" s="37"/>
      <c r="K179" s="63"/>
      <c r="L179" s="64"/>
      <c r="M179" s="64"/>
      <c r="N179" s="66">
        <v>555</v>
      </c>
      <c r="O179" s="66">
        <v>500</v>
      </c>
      <c r="P179" s="66">
        <v>425</v>
      </c>
      <c r="Q179" s="55"/>
      <c r="R179" s="55"/>
      <c r="S179" s="74"/>
      <c r="T179" s="64"/>
      <c r="U179" s="59"/>
      <c r="V179" s="76" t="s">
        <v>962</v>
      </c>
      <c r="W179" s="76">
        <v>33080200601</v>
      </c>
      <c r="X179" s="77" t="s">
        <v>963</v>
      </c>
      <c r="Y179" s="77"/>
      <c r="Z179" s="77"/>
      <c r="AA179" s="77" t="s">
        <v>924</v>
      </c>
      <c r="AB179" s="77" t="s">
        <v>951</v>
      </c>
      <c r="AC179" s="88">
        <v>540</v>
      </c>
      <c r="AD179" s="88">
        <v>485</v>
      </c>
      <c r="AE179" s="88">
        <v>415</v>
      </c>
      <c r="AF179" s="44">
        <f t="shared" si="14"/>
        <v>0</v>
      </c>
      <c r="AG179" s="44" t="str">
        <f t="shared" si="15"/>
        <v>冠状动脉旁路移植费-每使用一支动脉桥（加收）</v>
      </c>
      <c r="AH179" s="44">
        <f t="shared" si="16"/>
        <v>555</v>
      </c>
      <c r="AI179" s="44">
        <f t="shared" si="17"/>
        <v>500</v>
      </c>
      <c r="AJ179" s="44">
        <f t="shared" si="18"/>
        <v>425</v>
      </c>
    </row>
    <row r="180" s="44" customFormat="1" ht="22" customHeight="1" spans="1:36">
      <c r="A180" s="55"/>
      <c r="B180" s="55"/>
      <c r="C180" s="56" t="s">
        <v>947</v>
      </c>
      <c r="D180" s="55"/>
      <c r="E180" s="59"/>
      <c r="F180" s="59"/>
      <c r="G180" s="55"/>
      <c r="H180" s="59"/>
      <c r="I180" s="37"/>
      <c r="J180" s="37"/>
      <c r="K180" s="63"/>
      <c r="L180" s="64"/>
      <c r="M180" s="64"/>
      <c r="N180" s="66">
        <v>555</v>
      </c>
      <c r="O180" s="66">
        <v>500</v>
      </c>
      <c r="P180" s="66">
        <v>425</v>
      </c>
      <c r="Q180" s="55"/>
      <c r="R180" s="55"/>
      <c r="S180" s="74"/>
      <c r="T180" s="64"/>
      <c r="U180" s="59"/>
      <c r="V180" s="76" t="s">
        <v>964</v>
      </c>
      <c r="W180" s="76">
        <v>33080200603</v>
      </c>
      <c r="X180" s="77" t="s">
        <v>965</v>
      </c>
      <c r="Y180" s="77"/>
      <c r="Z180" s="77"/>
      <c r="AA180" s="77" t="s">
        <v>924</v>
      </c>
      <c r="AB180" s="77" t="s">
        <v>951</v>
      </c>
      <c r="AC180" s="88">
        <v>700</v>
      </c>
      <c r="AD180" s="88">
        <v>630</v>
      </c>
      <c r="AE180" s="88">
        <v>535</v>
      </c>
      <c r="AF180" s="44">
        <f t="shared" si="14"/>
        <v>0</v>
      </c>
      <c r="AG180" s="44" t="str">
        <f t="shared" si="15"/>
        <v>冠状动脉旁路移植费-每使用一支动脉桥（加收）</v>
      </c>
      <c r="AH180" s="44">
        <f t="shared" si="16"/>
        <v>555</v>
      </c>
      <c r="AI180" s="44">
        <f t="shared" si="17"/>
        <v>500</v>
      </c>
      <c r="AJ180" s="44">
        <f t="shared" si="18"/>
        <v>425</v>
      </c>
    </row>
    <row r="181" s="44" customFormat="1" ht="58" customHeight="1" spans="1:36">
      <c r="A181" s="55">
        <v>61</v>
      </c>
      <c r="B181" s="55" t="s">
        <v>969</v>
      </c>
      <c r="C181" s="55" t="s">
        <v>970</v>
      </c>
      <c r="D181" s="55" t="s">
        <v>350</v>
      </c>
      <c r="E181" s="59" t="s">
        <v>971</v>
      </c>
      <c r="F181" s="59" t="s">
        <v>972</v>
      </c>
      <c r="G181" s="55" t="s">
        <v>54</v>
      </c>
      <c r="H181" s="59" t="s">
        <v>40</v>
      </c>
      <c r="I181" s="30">
        <v>6698</v>
      </c>
      <c r="J181" s="30">
        <v>6028</v>
      </c>
      <c r="K181" s="64">
        <v>6200</v>
      </c>
      <c r="L181" s="64">
        <v>5580</v>
      </c>
      <c r="M181" s="64">
        <v>4460</v>
      </c>
      <c r="N181" s="35">
        <v>6200</v>
      </c>
      <c r="O181" s="35">
        <v>5580</v>
      </c>
      <c r="P181" s="68">
        <v>4750</v>
      </c>
      <c r="Q181" s="55" t="s">
        <v>41</v>
      </c>
      <c r="R181" s="55" t="s">
        <v>40</v>
      </c>
      <c r="S181" s="74" t="s">
        <v>40</v>
      </c>
      <c r="T181" s="64" t="s">
        <v>183</v>
      </c>
      <c r="U181" s="59" t="s">
        <v>973</v>
      </c>
      <c r="V181" s="76" t="s">
        <v>974</v>
      </c>
      <c r="W181" s="76">
        <v>330803011</v>
      </c>
      <c r="X181" s="77" t="s">
        <v>975</v>
      </c>
      <c r="Y181" s="77" t="s">
        <v>976</v>
      </c>
      <c r="Z181" s="77" t="s">
        <v>977</v>
      </c>
      <c r="AA181" s="77" t="s">
        <v>54</v>
      </c>
      <c r="AB181" s="77" t="s">
        <v>40</v>
      </c>
      <c r="AC181" s="88">
        <v>6200</v>
      </c>
      <c r="AD181" s="88">
        <v>5580</v>
      </c>
      <c r="AE181" s="88">
        <v>4460</v>
      </c>
      <c r="AF181" s="44">
        <f t="shared" si="14"/>
        <v>0</v>
      </c>
      <c r="AG181" s="44" t="str">
        <f t="shared" si="15"/>
        <v>室壁瘤手术费</v>
      </c>
      <c r="AH181" s="44">
        <f t="shared" si="16"/>
        <v>6200</v>
      </c>
      <c r="AI181" s="44">
        <f t="shared" si="17"/>
        <v>5580</v>
      </c>
      <c r="AJ181" s="44">
        <f t="shared" si="18"/>
        <v>4750</v>
      </c>
    </row>
    <row r="182" s="44" customFormat="1" ht="38" customHeight="1" spans="1:36">
      <c r="A182" s="55" t="s">
        <v>55</v>
      </c>
      <c r="B182" s="55" t="s">
        <v>978</v>
      </c>
      <c r="C182" s="55" t="s">
        <v>979</v>
      </c>
      <c r="D182" s="55" t="s">
        <v>350</v>
      </c>
      <c r="E182" s="59" t="s">
        <v>40</v>
      </c>
      <c r="F182" s="59" t="s">
        <v>40</v>
      </c>
      <c r="G182" s="55" t="s">
        <v>54</v>
      </c>
      <c r="H182" s="59"/>
      <c r="I182" s="30">
        <v>2009</v>
      </c>
      <c r="J182" s="30">
        <v>1808</v>
      </c>
      <c r="K182" s="64"/>
      <c r="L182" s="64"/>
      <c r="M182" s="64"/>
      <c r="N182" s="35">
        <v>1860</v>
      </c>
      <c r="O182" s="35">
        <v>1675</v>
      </c>
      <c r="P182" s="35">
        <v>1425</v>
      </c>
      <c r="Q182" s="55" t="s">
        <v>41</v>
      </c>
      <c r="R182" s="55" t="s">
        <v>40</v>
      </c>
      <c r="S182" s="74" t="s">
        <v>40</v>
      </c>
      <c r="T182" s="64"/>
      <c r="U182" s="59" t="s">
        <v>305</v>
      </c>
      <c r="V182" s="76" t="s">
        <v>980</v>
      </c>
      <c r="W182" s="76">
        <v>33080301101</v>
      </c>
      <c r="X182" s="77" t="s">
        <v>981</v>
      </c>
      <c r="Y182" s="77"/>
      <c r="Z182" s="77"/>
      <c r="AA182" s="77" t="s">
        <v>54</v>
      </c>
      <c r="AB182" s="77" t="s">
        <v>40</v>
      </c>
      <c r="AC182" s="88">
        <v>8060</v>
      </c>
      <c r="AD182" s="88">
        <v>7255</v>
      </c>
      <c r="AE182" s="88">
        <v>5800</v>
      </c>
      <c r="AF182" s="44">
        <f t="shared" si="14"/>
        <v>7</v>
      </c>
      <c r="AG182" s="44" t="str">
        <f t="shared" si="15"/>
        <v>室壁瘤手术费</v>
      </c>
      <c r="AH182" s="44">
        <f t="shared" si="16"/>
        <v>8060</v>
      </c>
      <c r="AI182" s="44">
        <f t="shared" si="17"/>
        <v>7255</v>
      </c>
      <c r="AJ182" s="44">
        <f t="shared" si="18"/>
        <v>6175</v>
      </c>
    </row>
    <row r="183" s="44" customFormat="1" ht="38" customHeight="1" spans="1:36">
      <c r="A183" s="55" t="s">
        <v>55</v>
      </c>
      <c r="B183" s="55" t="s">
        <v>982</v>
      </c>
      <c r="C183" s="56" t="s">
        <v>983</v>
      </c>
      <c r="D183" s="55" t="s">
        <v>350</v>
      </c>
      <c r="E183" s="59" t="s">
        <v>40</v>
      </c>
      <c r="F183" s="59" t="s">
        <v>40</v>
      </c>
      <c r="G183" s="55" t="s">
        <v>54</v>
      </c>
      <c r="H183" s="59"/>
      <c r="I183" s="30">
        <v>3070</v>
      </c>
      <c r="J183" s="30">
        <v>2763</v>
      </c>
      <c r="K183" s="64">
        <v>2920</v>
      </c>
      <c r="L183" s="64">
        <v>3085</v>
      </c>
      <c r="M183" s="64">
        <v>2905</v>
      </c>
      <c r="N183" s="66">
        <v>2850</v>
      </c>
      <c r="O183" s="66">
        <v>2560</v>
      </c>
      <c r="P183" s="66">
        <v>2180</v>
      </c>
      <c r="Q183" s="35" t="e">
        <f>#REF!-#REF!</f>
        <v>#REF!</v>
      </c>
      <c r="R183" s="35" t="e">
        <f>#REF!-#REF!</f>
        <v>#REF!</v>
      </c>
      <c r="S183" s="35">
        <f>AF183-AF181</f>
        <v>0</v>
      </c>
      <c r="T183" s="64"/>
      <c r="U183" s="59" t="s">
        <v>984</v>
      </c>
      <c r="V183" s="76" t="s">
        <v>985</v>
      </c>
      <c r="W183" s="76" t="s">
        <v>986</v>
      </c>
      <c r="X183" s="77" t="s">
        <v>987</v>
      </c>
      <c r="Y183" s="77" t="s">
        <v>534</v>
      </c>
      <c r="Z183" s="77"/>
      <c r="AA183" s="77" t="s">
        <v>54</v>
      </c>
      <c r="AB183" s="77"/>
      <c r="AC183" s="88">
        <v>9120</v>
      </c>
      <c r="AD183" s="88">
        <v>8665</v>
      </c>
      <c r="AE183" s="88">
        <v>7365</v>
      </c>
      <c r="AF183" s="44">
        <f t="shared" si="14"/>
        <v>0</v>
      </c>
      <c r="AG183" s="44" t="str">
        <f t="shared" si="15"/>
        <v>室壁瘤手术费-左室成形（加收）</v>
      </c>
      <c r="AH183" s="44">
        <f t="shared" si="16"/>
        <v>2850</v>
      </c>
      <c r="AI183" s="44">
        <f t="shared" si="17"/>
        <v>2560</v>
      </c>
      <c r="AJ183" s="44">
        <f t="shared" si="18"/>
        <v>2180</v>
      </c>
    </row>
    <row r="184" s="44" customFormat="1" ht="38" customHeight="1" spans="1:36">
      <c r="A184" s="55"/>
      <c r="B184" s="55"/>
      <c r="C184" s="56" t="s">
        <v>983</v>
      </c>
      <c r="D184" s="55"/>
      <c r="E184" s="59"/>
      <c r="F184" s="59"/>
      <c r="G184" s="55"/>
      <c r="H184" s="59"/>
      <c r="I184" s="37"/>
      <c r="J184" s="37"/>
      <c r="K184" s="64"/>
      <c r="L184" s="64"/>
      <c r="M184" s="64"/>
      <c r="N184" s="66">
        <v>2850</v>
      </c>
      <c r="O184" s="66">
        <v>2560</v>
      </c>
      <c r="P184" s="66">
        <v>2180</v>
      </c>
      <c r="Q184" s="35"/>
      <c r="R184" s="35"/>
      <c r="S184" s="35"/>
      <c r="T184" s="64"/>
      <c r="U184" s="59"/>
      <c r="V184" s="76" t="s">
        <v>988</v>
      </c>
      <c r="W184" s="76">
        <v>33080301403</v>
      </c>
      <c r="X184" s="77" t="s">
        <v>989</v>
      </c>
      <c r="Y184" s="77"/>
      <c r="Z184" s="77"/>
      <c r="AA184" s="77" t="s">
        <v>54</v>
      </c>
      <c r="AB184" s="77" t="s">
        <v>40</v>
      </c>
      <c r="AC184" s="88">
        <v>11855</v>
      </c>
      <c r="AD184" s="88">
        <v>11265</v>
      </c>
      <c r="AE184" s="88">
        <v>9575</v>
      </c>
      <c r="AF184" s="44">
        <f t="shared" si="14"/>
        <v>0</v>
      </c>
      <c r="AG184" s="44" t="str">
        <f t="shared" si="15"/>
        <v>室壁瘤手术费-左室成形（加收）</v>
      </c>
      <c r="AH184" s="44">
        <f t="shared" si="16"/>
        <v>2850</v>
      </c>
      <c r="AI184" s="44">
        <f t="shared" si="17"/>
        <v>2560</v>
      </c>
      <c r="AJ184" s="44">
        <f t="shared" si="18"/>
        <v>2180</v>
      </c>
    </row>
    <row r="185" s="44" customFormat="1" ht="38" customHeight="1" spans="1:36">
      <c r="A185" s="55">
        <v>62</v>
      </c>
      <c r="B185" s="55" t="s">
        <v>990</v>
      </c>
      <c r="C185" s="56" t="s">
        <v>991</v>
      </c>
      <c r="D185" s="55" t="s">
        <v>350</v>
      </c>
      <c r="E185" s="59" t="s">
        <v>992</v>
      </c>
      <c r="F185" s="59" t="s">
        <v>993</v>
      </c>
      <c r="G185" s="55" t="s">
        <v>54</v>
      </c>
      <c r="H185" s="59" t="s">
        <v>40</v>
      </c>
      <c r="I185" s="30">
        <v>3520</v>
      </c>
      <c r="J185" s="30">
        <v>3168</v>
      </c>
      <c r="K185" s="64">
        <v>3040</v>
      </c>
      <c r="L185" s="64"/>
      <c r="M185" s="64"/>
      <c r="N185" s="66">
        <v>3200</v>
      </c>
      <c r="O185" s="66">
        <v>2900</v>
      </c>
      <c r="P185" s="66">
        <v>2450</v>
      </c>
      <c r="Q185" s="55" t="s">
        <v>41</v>
      </c>
      <c r="R185" s="55" t="s">
        <v>40</v>
      </c>
      <c r="S185" s="74" t="s">
        <v>40</v>
      </c>
      <c r="T185" s="64" t="s">
        <v>994</v>
      </c>
      <c r="U185" s="59" t="s">
        <v>995</v>
      </c>
      <c r="V185" s="76" t="s">
        <v>996</v>
      </c>
      <c r="W185" s="76">
        <v>330803002</v>
      </c>
      <c r="X185" s="77" t="s">
        <v>997</v>
      </c>
      <c r="Y185" s="77" t="s">
        <v>998</v>
      </c>
      <c r="Z185" s="77"/>
      <c r="AA185" s="77" t="s">
        <v>54</v>
      </c>
      <c r="AB185" s="77" t="s">
        <v>40</v>
      </c>
      <c r="AC185" s="88">
        <v>3040</v>
      </c>
      <c r="AD185" s="88">
        <v>2740</v>
      </c>
      <c r="AE185" s="88">
        <v>2330</v>
      </c>
      <c r="AF185" s="44">
        <f t="shared" si="14"/>
        <v>0</v>
      </c>
      <c r="AG185" s="44" t="str">
        <f t="shared" si="15"/>
        <v>心包剥脱费</v>
      </c>
      <c r="AH185" s="44">
        <f t="shared" si="16"/>
        <v>3200</v>
      </c>
      <c r="AI185" s="44">
        <f t="shared" si="17"/>
        <v>2900</v>
      </c>
      <c r="AJ185" s="44">
        <f t="shared" si="18"/>
        <v>2450</v>
      </c>
    </row>
    <row r="186" s="44" customFormat="1" ht="38" customHeight="1" spans="1:36">
      <c r="A186" s="55"/>
      <c r="B186" s="55"/>
      <c r="C186" s="56" t="s">
        <v>991</v>
      </c>
      <c r="D186" s="55"/>
      <c r="E186" s="59"/>
      <c r="F186" s="59"/>
      <c r="G186" s="55"/>
      <c r="H186" s="59"/>
      <c r="I186" s="37"/>
      <c r="J186" s="37"/>
      <c r="K186" s="64"/>
      <c r="L186" s="64"/>
      <c r="M186" s="64"/>
      <c r="N186" s="66">
        <v>3200</v>
      </c>
      <c r="O186" s="66">
        <v>2900</v>
      </c>
      <c r="P186" s="66">
        <v>2450</v>
      </c>
      <c r="Q186" s="55"/>
      <c r="R186" s="55"/>
      <c r="S186" s="74"/>
      <c r="T186" s="64"/>
      <c r="U186" s="59"/>
      <c r="V186" s="76" t="s">
        <v>999</v>
      </c>
      <c r="W186" s="76">
        <v>330803003</v>
      </c>
      <c r="X186" s="77" t="s">
        <v>1000</v>
      </c>
      <c r="Y186" s="77"/>
      <c r="Z186" s="77"/>
      <c r="AA186" s="77" t="s">
        <v>54</v>
      </c>
      <c r="AB186" s="77" t="s">
        <v>40</v>
      </c>
      <c r="AC186" s="88">
        <v>2250</v>
      </c>
      <c r="AD186" s="88">
        <v>2160</v>
      </c>
      <c r="AE186" s="88">
        <v>1836</v>
      </c>
      <c r="AF186" s="44">
        <f t="shared" si="14"/>
        <v>0</v>
      </c>
      <c r="AG186" s="44" t="str">
        <f t="shared" si="15"/>
        <v>心包剥脱费</v>
      </c>
      <c r="AH186" s="44">
        <f t="shared" si="16"/>
        <v>3200</v>
      </c>
      <c r="AI186" s="44">
        <f t="shared" si="17"/>
        <v>2900</v>
      </c>
      <c r="AJ186" s="44">
        <f t="shared" si="18"/>
        <v>2450</v>
      </c>
    </row>
    <row r="187" s="44" customFormat="1" ht="30" customHeight="1" spans="1:36">
      <c r="A187" s="55" t="s">
        <v>55</v>
      </c>
      <c r="B187" s="55" t="s">
        <v>1001</v>
      </c>
      <c r="C187" s="56" t="s">
        <v>1002</v>
      </c>
      <c r="D187" s="55" t="s">
        <v>350</v>
      </c>
      <c r="E187" s="59" t="s">
        <v>40</v>
      </c>
      <c r="F187" s="59" t="s">
        <v>40</v>
      </c>
      <c r="G187" s="55" t="s">
        <v>54</v>
      </c>
      <c r="H187" s="59" t="s">
        <v>40</v>
      </c>
      <c r="I187" s="30">
        <v>1056</v>
      </c>
      <c r="J187" s="30">
        <v>950</v>
      </c>
      <c r="K187" s="64"/>
      <c r="L187" s="64"/>
      <c r="M187" s="64"/>
      <c r="N187" s="66">
        <v>960</v>
      </c>
      <c r="O187" s="66">
        <v>870</v>
      </c>
      <c r="P187" s="66">
        <v>735</v>
      </c>
      <c r="Q187" s="55" t="s">
        <v>41</v>
      </c>
      <c r="R187" s="55" t="s">
        <v>40</v>
      </c>
      <c r="S187" s="74" t="s">
        <v>40</v>
      </c>
      <c r="T187" s="64"/>
      <c r="U187" s="59" t="s">
        <v>305</v>
      </c>
      <c r="V187" s="76" t="s">
        <v>1003</v>
      </c>
      <c r="W187" s="76">
        <v>33080300201</v>
      </c>
      <c r="X187" s="77" t="s">
        <v>1004</v>
      </c>
      <c r="Y187" s="77"/>
      <c r="Z187" s="77"/>
      <c r="AA187" s="77" t="s">
        <v>54</v>
      </c>
      <c r="AB187" s="77" t="s">
        <v>40</v>
      </c>
      <c r="AC187" s="88">
        <v>3950</v>
      </c>
      <c r="AD187" s="88">
        <v>3560</v>
      </c>
      <c r="AE187" s="88">
        <v>3025</v>
      </c>
      <c r="AF187" s="44">
        <f t="shared" si="14"/>
        <v>6</v>
      </c>
      <c r="AG187" s="44" t="str">
        <f t="shared" si="15"/>
        <v>心包剥脱费</v>
      </c>
      <c r="AH187" s="44">
        <f t="shared" si="16"/>
        <v>4160</v>
      </c>
      <c r="AI187" s="44">
        <f t="shared" si="17"/>
        <v>3770</v>
      </c>
      <c r="AJ187" s="44">
        <f t="shared" si="18"/>
        <v>3185</v>
      </c>
    </row>
    <row r="188" s="44" customFormat="1" ht="30" customHeight="1" spans="1:36">
      <c r="A188" s="55"/>
      <c r="B188" s="55"/>
      <c r="C188" s="56" t="s">
        <v>1002</v>
      </c>
      <c r="D188" s="55"/>
      <c r="E188" s="59"/>
      <c r="F188" s="59"/>
      <c r="G188" s="55"/>
      <c r="H188" s="59"/>
      <c r="I188" s="37"/>
      <c r="J188" s="37"/>
      <c r="K188" s="64"/>
      <c r="L188" s="64"/>
      <c r="M188" s="64"/>
      <c r="N188" s="66">
        <v>960</v>
      </c>
      <c r="O188" s="66">
        <v>870</v>
      </c>
      <c r="P188" s="66">
        <v>735</v>
      </c>
      <c r="Q188" s="55"/>
      <c r="R188" s="55"/>
      <c r="S188" s="74"/>
      <c r="T188" s="64"/>
      <c r="U188" s="59"/>
      <c r="V188" s="76" t="s">
        <v>1005</v>
      </c>
      <c r="W188" s="76">
        <v>33080300301</v>
      </c>
      <c r="X188" s="77" t="s">
        <v>1006</v>
      </c>
      <c r="Y188" s="77"/>
      <c r="Z188" s="77"/>
      <c r="AA188" s="77" t="s">
        <v>54</v>
      </c>
      <c r="AB188" s="77" t="s">
        <v>40</v>
      </c>
      <c r="AC188" s="88">
        <v>2925</v>
      </c>
      <c r="AD188" s="88">
        <v>2810</v>
      </c>
      <c r="AE188" s="88">
        <v>2390</v>
      </c>
      <c r="AF188" s="44">
        <f t="shared" si="14"/>
        <v>6</v>
      </c>
      <c r="AG188" s="44" t="str">
        <f t="shared" si="15"/>
        <v>心包剥脱费</v>
      </c>
      <c r="AH188" s="44">
        <f t="shared" si="16"/>
        <v>4160</v>
      </c>
      <c r="AI188" s="44">
        <f t="shared" si="17"/>
        <v>3770</v>
      </c>
      <c r="AJ188" s="44">
        <f t="shared" si="18"/>
        <v>3185</v>
      </c>
    </row>
    <row r="189" s="44" customFormat="1" ht="30" customHeight="1" spans="1:36">
      <c r="A189" s="55">
        <v>63</v>
      </c>
      <c r="B189" s="55" t="s">
        <v>1007</v>
      </c>
      <c r="C189" s="56" t="s">
        <v>1008</v>
      </c>
      <c r="D189" s="55" t="s">
        <v>350</v>
      </c>
      <c r="E189" s="59" t="s">
        <v>1009</v>
      </c>
      <c r="F189" s="59" t="s">
        <v>1010</v>
      </c>
      <c r="G189" s="55" t="s">
        <v>54</v>
      </c>
      <c r="H189" s="59" t="s">
        <v>40</v>
      </c>
      <c r="I189" s="30">
        <v>4100</v>
      </c>
      <c r="J189" s="30">
        <v>3690</v>
      </c>
      <c r="K189" s="64"/>
      <c r="L189" s="64"/>
      <c r="M189" s="64"/>
      <c r="N189" s="66">
        <v>3700</v>
      </c>
      <c r="O189" s="66">
        <v>3350</v>
      </c>
      <c r="P189" s="66">
        <v>2850</v>
      </c>
      <c r="Q189" s="55" t="s">
        <v>41</v>
      </c>
      <c r="R189" s="55" t="s">
        <v>40</v>
      </c>
      <c r="S189" s="74" t="s">
        <v>40</v>
      </c>
      <c r="T189" s="64" t="s">
        <v>355</v>
      </c>
      <c r="U189" s="59" t="s">
        <v>1011</v>
      </c>
      <c r="V189" s="76" t="s">
        <v>1012</v>
      </c>
      <c r="W189" s="76">
        <v>330802013</v>
      </c>
      <c r="X189" s="77" t="s">
        <v>1013</v>
      </c>
      <c r="Y189" s="77"/>
      <c r="Z189" s="77"/>
      <c r="AA189" s="77" t="s">
        <v>54</v>
      </c>
      <c r="AB189" s="77" t="s">
        <v>40</v>
      </c>
      <c r="AC189" s="88">
        <v>5060</v>
      </c>
      <c r="AD189" s="88">
        <v>4550</v>
      </c>
      <c r="AE189" s="88">
        <v>3870</v>
      </c>
      <c r="AF189" s="44">
        <f t="shared" si="14"/>
        <v>0</v>
      </c>
      <c r="AG189" s="44" t="str">
        <f t="shared" si="15"/>
        <v>心脏血栓清除费</v>
      </c>
      <c r="AH189" s="44">
        <f t="shared" si="16"/>
        <v>3700</v>
      </c>
      <c r="AI189" s="44">
        <f t="shared" si="17"/>
        <v>3350</v>
      </c>
      <c r="AJ189" s="44">
        <f t="shared" si="18"/>
        <v>2850</v>
      </c>
    </row>
    <row r="190" s="44" customFormat="1" ht="30" customHeight="1" spans="1:36">
      <c r="A190" s="55"/>
      <c r="B190" s="55"/>
      <c r="C190" s="56" t="s">
        <v>1008</v>
      </c>
      <c r="D190" s="55"/>
      <c r="E190" s="59"/>
      <c r="F190" s="59"/>
      <c r="G190" s="55"/>
      <c r="H190" s="59"/>
      <c r="I190" s="37"/>
      <c r="J190" s="37"/>
      <c r="K190" s="64"/>
      <c r="L190" s="64"/>
      <c r="M190" s="64"/>
      <c r="N190" s="66">
        <v>3700</v>
      </c>
      <c r="O190" s="66">
        <v>3350</v>
      </c>
      <c r="P190" s="66">
        <v>2850</v>
      </c>
      <c r="Q190" s="55"/>
      <c r="R190" s="55"/>
      <c r="S190" s="74"/>
      <c r="T190" s="64"/>
      <c r="U190" s="59"/>
      <c r="V190" s="76" t="s">
        <v>1014</v>
      </c>
      <c r="W190" s="76">
        <v>330803012</v>
      </c>
      <c r="X190" s="77" t="s">
        <v>1015</v>
      </c>
      <c r="Y190" s="77"/>
      <c r="Z190" s="77"/>
      <c r="AA190" s="77" t="s">
        <v>54</v>
      </c>
      <c r="AB190" s="77" t="s">
        <v>40</v>
      </c>
      <c r="AC190" s="88">
        <v>2500</v>
      </c>
      <c r="AD190" s="88">
        <v>2400</v>
      </c>
      <c r="AE190" s="88">
        <v>2040</v>
      </c>
      <c r="AF190" s="44">
        <f t="shared" si="14"/>
        <v>0</v>
      </c>
      <c r="AG190" s="44" t="str">
        <f t="shared" si="15"/>
        <v>心脏血栓清除费</v>
      </c>
      <c r="AH190" s="44">
        <f t="shared" si="16"/>
        <v>3700</v>
      </c>
      <c r="AI190" s="44">
        <f t="shared" si="17"/>
        <v>3350</v>
      </c>
      <c r="AJ190" s="44">
        <f t="shared" si="18"/>
        <v>2850</v>
      </c>
    </row>
    <row r="191" s="44" customFormat="1" ht="38" customHeight="1" spans="1:36">
      <c r="A191" s="55" t="s">
        <v>55</v>
      </c>
      <c r="B191" s="55" t="s">
        <v>1016</v>
      </c>
      <c r="C191" s="56" t="s">
        <v>1017</v>
      </c>
      <c r="D191" s="55" t="s">
        <v>350</v>
      </c>
      <c r="E191" s="59" t="s">
        <v>40</v>
      </c>
      <c r="F191" s="59" t="s">
        <v>40</v>
      </c>
      <c r="G191" s="55" t="s">
        <v>54</v>
      </c>
      <c r="H191" s="59" t="s">
        <v>40</v>
      </c>
      <c r="I191" s="30">
        <v>1230</v>
      </c>
      <c r="J191" s="30">
        <v>1107</v>
      </c>
      <c r="K191" s="64"/>
      <c r="L191" s="64"/>
      <c r="M191" s="64"/>
      <c r="N191" s="66">
        <v>1110</v>
      </c>
      <c r="O191" s="66">
        <v>1005</v>
      </c>
      <c r="P191" s="66">
        <v>855</v>
      </c>
      <c r="Q191" s="55" t="s">
        <v>41</v>
      </c>
      <c r="R191" s="55" t="s">
        <v>40</v>
      </c>
      <c r="S191" s="74" t="s">
        <v>40</v>
      </c>
      <c r="T191" s="64"/>
      <c r="U191" s="59" t="s">
        <v>305</v>
      </c>
      <c r="V191" s="76" t="s">
        <v>1018</v>
      </c>
      <c r="W191" s="76">
        <v>33080201301</v>
      </c>
      <c r="X191" s="77" t="s">
        <v>1019</v>
      </c>
      <c r="Y191" s="77"/>
      <c r="Z191" s="77"/>
      <c r="AA191" s="77" t="s">
        <v>54</v>
      </c>
      <c r="AB191" s="77" t="s">
        <v>40</v>
      </c>
      <c r="AC191" s="88">
        <v>6580</v>
      </c>
      <c r="AD191" s="88">
        <v>5915</v>
      </c>
      <c r="AE191" s="88">
        <v>5030</v>
      </c>
      <c r="AF191" s="44">
        <f t="shared" si="14"/>
        <v>8</v>
      </c>
      <c r="AG191" s="44" t="str">
        <f t="shared" si="15"/>
        <v>心脏血栓清除费</v>
      </c>
      <c r="AH191" s="44">
        <f t="shared" si="16"/>
        <v>4810</v>
      </c>
      <c r="AI191" s="44">
        <f t="shared" si="17"/>
        <v>4355</v>
      </c>
      <c r="AJ191" s="44">
        <f t="shared" si="18"/>
        <v>3705</v>
      </c>
    </row>
    <row r="192" s="44" customFormat="1" ht="38" customHeight="1" spans="1:36">
      <c r="A192" s="55"/>
      <c r="B192" s="55"/>
      <c r="C192" s="56" t="s">
        <v>1017</v>
      </c>
      <c r="D192" s="55"/>
      <c r="E192" s="59"/>
      <c r="F192" s="59"/>
      <c r="G192" s="55"/>
      <c r="H192" s="59"/>
      <c r="I192" s="37"/>
      <c r="J192" s="37"/>
      <c r="K192" s="64"/>
      <c r="L192" s="64"/>
      <c r="M192" s="64"/>
      <c r="N192" s="66">
        <v>1110</v>
      </c>
      <c r="O192" s="66">
        <v>1005</v>
      </c>
      <c r="P192" s="66">
        <v>855</v>
      </c>
      <c r="Q192" s="55"/>
      <c r="R192" s="55"/>
      <c r="S192" s="74"/>
      <c r="T192" s="64"/>
      <c r="U192" s="59"/>
      <c r="V192" s="76" t="s">
        <v>1020</v>
      </c>
      <c r="W192" s="76">
        <v>33080301201</v>
      </c>
      <c r="X192" s="77" t="s">
        <v>1021</v>
      </c>
      <c r="Y192" s="77"/>
      <c r="Z192" s="77"/>
      <c r="AA192" s="77" t="s">
        <v>54</v>
      </c>
      <c r="AB192" s="77" t="s">
        <v>40</v>
      </c>
      <c r="AC192" s="88">
        <v>3250</v>
      </c>
      <c r="AD192" s="88">
        <v>3120</v>
      </c>
      <c r="AE192" s="88">
        <v>2650</v>
      </c>
      <c r="AF192" s="44">
        <f t="shared" si="14"/>
        <v>8</v>
      </c>
      <c r="AG192" s="44" t="str">
        <f t="shared" si="15"/>
        <v>心脏血栓清除费</v>
      </c>
      <c r="AH192" s="44">
        <f t="shared" si="16"/>
        <v>4810</v>
      </c>
      <c r="AI192" s="44">
        <f t="shared" si="17"/>
        <v>4355</v>
      </c>
      <c r="AJ192" s="44">
        <f t="shared" si="18"/>
        <v>3705</v>
      </c>
    </row>
    <row r="193" s="44" customFormat="1" ht="63" customHeight="1" spans="1:36">
      <c r="A193" s="55">
        <v>64</v>
      </c>
      <c r="B193" s="55" t="s">
        <v>1022</v>
      </c>
      <c r="C193" s="55" t="s">
        <v>1023</v>
      </c>
      <c r="D193" s="55" t="s">
        <v>350</v>
      </c>
      <c r="E193" s="59" t="s">
        <v>1024</v>
      </c>
      <c r="F193" s="59" t="s">
        <v>1025</v>
      </c>
      <c r="G193" s="55" t="s">
        <v>54</v>
      </c>
      <c r="H193" s="59" t="s">
        <v>40</v>
      </c>
      <c r="I193" s="30">
        <v>1350</v>
      </c>
      <c r="J193" s="30">
        <v>1215</v>
      </c>
      <c r="K193" s="64">
        <v>1250</v>
      </c>
      <c r="L193" s="64">
        <v>1200</v>
      </c>
      <c r="M193" s="64">
        <v>1020</v>
      </c>
      <c r="N193" s="35">
        <v>1250</v>
      </c>
      <c r="O193" s="35">
        <v>1200</v>
      </c>
      <c r="P193" s="35">
        <v>1020</v>
      </c>
      <c r="Q193" s="55" t="s">
        <v>41</v>
      </c>
      <c r="R193" s="55" t="s">
        <v>40</v>
      </c>
      <c r="S193" s="74" t="s">
        <v>40</v>
      </c>
      <c r="T193" s="64" t="s">
        <v>183</v>
      </c>
      <c r="U193" s="59" t="s">
        <v>183</v>
      </c>
      <c r="V193" s="76" t="s">
        <v>1026</v>
      </c>
      <c r="W193" s="76">
        <v>330803005</v>
      </c>
      <c r="X193" s="77" t="s">
        <v>1027</v>
      </c>
      <c r="Y193" s="77"/>
      <c r="Z193" s="77"/>
      <c r="AA193" s="77" t="s">
        <v>54</v>
      </c>
      <c r="AB193" s="77" t="s">
        <v>40</v>
      </c>
      <c r="AC193" s="88">
        <v>1250</v>
      </c>
      <c r="AD193" s="88">
        <v>1200</v>
      </c>
      <c r="AE193" s="88">
        <v>1020</v>
      </c>
      <c r="AF193" s="44">
        <f t="shared" si="14"/>
        <v>0</v>
      </c>
      <c r="AG193" s="44" t="str">
        <f t="shared" si="15"/>
        <v>心包开窗引流费</v>
      </c>
      <c r="AH193" s="44">
        <f t="shared" si="16"/>
        <v>1250</v>
      </c>
      <c r="AI193" s="44">
        <f t="shared" si="17"/>
        <v>1200</v>
      </c>
      <c r="AJ193" s="44">
        <f t="shared" si="18"/>
        <v>1020</v>
      </c>
    </row>
    <row r="194" s="44" customFormat="1" ht="38" customHeight="1" spans="1:36">
      <c r="A194" s="55" t="s">
        <v>55</v>
      </c>
      <c r="B194" s="55" t="s">
        <v>1028</v>
      </c>
      <c r="C194" s="55" t="s">
        <v>1029</v>
      </c>
      <c r="D194" s="55" t="s">
        <v>350</v>
      </c>
      <c r="E194" s="59" t="s">
        <v>40</v>
      </c>
      <c r="F194" s="59" t="s">
        <v>40</v>
      </c>
      <c r="G194" s="55" t="s">
        <v>54</v>
      </c>
      <c r="H194" s="59" t="s">
        <v>40</v>
      </c>
      <c r="I194" s="30">
        <v>405</v>
      </c>
      <c r="J194" s="30">
        <v>365</v>
      </c>
      <c r="K194" s="64"/>
      <c r="L194" s="64"/>
      <c r="M194" s="64"/>
      <c r="N194" s="35">
        <v>375</v>
      </c>
      <c r="O194" s="35">
        <v>360</v>
      </c>
      <c r="P194" s="35">
        <v>305</v>
      </c>
      <c r="Q194" s="55" t="s">
        <v>41</v>
      </c>
      <c r="R194" s="55" t="s">
        <v>40</v>
      </c>
      <c r="S194" s="74" t="s">
        <v>40</v>
      </c>
      <c r="T194" s="64"/>
      <c r="U194" s="59" t="s">
        <v>305</v>
      </c>
      <c r="V194" s="76" t="s">
        <v>1030</v>
      </c>
      <c r="W194" s="76">
        <v>33080300501</v>
      </c>
      <c r="X194" s="77" t="s">
        <v>1031</v>
      </c>
      <c r="Y194" s="77"/>
      <c r="Z194" s="77"/>
      <c r="AA194" s="77" t="s">
        <v>54</v>
      </c>
      <c r="AB194" s="77" t="s">
        <v>40</v>
      </c>
      <c r="AC194" s="88">
        <v>1625</v>
      </c>
      <c r="AD194" s="88">
        <v>1560</v>
      </c>
      <c r="AE194" s="88">
        <v>1325</v>
      </c>
      <c r="AF194" s="44">
        <f t="shared" si="14"/>
        <v>8</v>
      </c>
      <c r="AG194" s="44" t="str">
        <f t="shared" si="15"/>
        <v>心包开窗引流费</v>
      </c>
      <c r="AH194" s="44">
        <f t="shared" si="16"/>
        <v>1625</v>
      </c>
      <c r="AI194" s="44">
        <f t="shared" si="17"/>
        <v>1560</v>
      </c>
      <c r="AJ194" s="44">
        <f t="shared" si="18"/>
        <v>1325</v>
      </c>
    </row>
    <row r="195" s="44" customFormat="1" ht="38" customHeight="1" spans="1:36">
      <c r="A195" s="55">
        <v>65</v>
      </c>
      <c r="B195" s="55" t="s">
        <v>1032</v>
      </c>
      <c r="C195" s="56" t="s">
        <v>1033</v>
      </c>
      <c r="D195" s="55" t="s">
        <v>350</v>
      </c>
      <c r="E195" s="59" t="s">
        <v>1034</v>
      </c>
      <c r="F195" s="59" t="s">
        <v>1035</v>
      </c>
      <c r="G195" s="55" t="s">
        <v>54</v>
      </c>
      <c r="H195" s="59" t="s">
        <v>40</v>
      </c>
      <c r="I195" s="30">
        <v>2730</v>
      </c>
      <c r="J195" s="30">
        <v>2457</v>
      </c>
      <c r="K195" s="64">
        <v>2875</v>
      </c>
      <c r="L195" s="64">
        <v>2560</v>
      </c>
      <c r="M195" s="64"/>
      <c r="N195" s="67">
        <v>2600</v>
      </c>
      <c r="O195" s="67">
        <v>2450</v>
      </c>
      <c r="P195" s="67">
        <v>2080</v>
      </c>
      <c r="Q195" s="55" t="s">
        <v>41</v>
      </c>
      <c r="R195" s="55" t="s">
        <v>40</v>
      </c>
      <c r="S195" s="74" t="s">
        <v>40</v>
      </c>
      <c r="T195" s="64" t="s">
        <v>115</v>
      </c>
      <c r="U195" s="59" t="s">
        <v>579</v>
      </c>
      <c r="V195" s="76" t="s">
        <v>1036</v>
      </c>
      <c r="W195" s="76">
        <v>330803004</v>
      </c>
      <c r="X195" s="77" t="s">
        <v>1037</v>
      </c>
      <c r="Y195" s="77"/>
      <c r="Z195" s="77"/>
      <c r="AA195" s="77" t="s">
        <v>54</v>
      </c>
      <c r="AB195" s="77" t="s">
        <v>40</v>
      </c>
      <c r="AC195" s="88">
        <v>2250</v>
      </c>
      <c r="AD195" s="88">
        <v>2160</v>
      </c>
      <c r="AE195" s="88">
        <v>1836</v>
      </c>
      <c r="AF195" s="44">
        <f t="shared" si="14"/>
        <v>0</v>
      </c>
      <c r="AG195" s="44" t="str">
        <f t="shared" si="15"/>
        <v>心包肿瘤切除费</v>
      </c>
      <c r="AH195" s="44">
        <f t="shared" si="16"/>
        <v>2600</v>
      </c>
      <c r="AI195" s="44">
        <f t="shared" si="17"/>
        <v>2450</v>
      </c>
      <c r="AJ195" s="44">
        <f t="shared" si="18"/>
        <v>2080</v>
      </c>
    </row>
    <row r="196" s="44" customFormat="1" ht="38" customHeight="1" spans="1:36">
      <c r="A196" s="55"/>
      <c r="B196" s="55"/>
      <c r="C196" s="56" t="s">
        <v>1033</v>
      </c>
      <c r="D196" s="55"/>
      <c r="E196" s="59"/>
      <c r="F196" s="59"/>
      <c r="G196" s="55"/>
      <c r="H196" s="59"/>
      <c r="I196" s="37"/>
      <c r="J196" s="37"/>
      <c r="K196" s="64"/>
      <c r="L196" s="64"/>
      <c r="M196" s="64"/>
      <c r="N196" s="67">
        <v>2600</v>
      </c>
      <c r="O196" s="67">
        <v>2450</v>
      </c>
      <c r="P196" s="67">
        <v>2080</v>
      </c>
      <c r="Q196" s="55"/>
      <c r="R196" s="55"/>
      <c r="S196" s="74"/>
      <c r="T196" s="64"/>
      <c r="U196" s="59"/>
      <c r="V196" s="76" t="s">
        <v>1038</v>
      </c>
      <c r="W196" s="76">
        <v>33080300402</v>
      </c>
      <c r="X196" s="77" t="s">
        <v>1039</v>
      </c>
      <c r="Y196" s="77"/>
      <c r="Z196" s="77"/>
      <c r="AA196" s="77" t="s">
        <v>54</v>
      </c>
      <c r="AB196" s="77" t="s">
        <v>40</v>
      </c>
      <c r="AC196" s="88">
        <v>2875</v>
      </c>
      <c r="AD196" s="88">
        <v>2760</v>
      </c>
      <c r="AE196" s="88">
        <v>2346</v>
      </c>
      <c r="AF196" s="44">
        <f t="shared" si="14"/>
        <v>0</v>
      </c>
      <c r="AG196" s="44" t="str">
        <f t="shared" si="15"/>
        <v>心包肿瘤切除费</v>
      </c>
      <c r="AH196" s="44">
        <f t="shared" si="16"/>
        <v>2600</v>
      </c>
      <c r="AI196" s="44">
        <f t="shared" si="17"/>
        <v>2450</v>
      </c>
      <c r="AJ196" s="44">
        <f t="shared" si="18"/>
        <v>2080</v>
      </c>
    </row>
    <row r="197" s="44" customFormat="1" ht="38" customHeight="1" spans="1:36">
      <c r="A197" s="55" t="s">
        <v>55</v>
      </c>
      <c r="B197" s="55" t="s">
        <v>1040</v>
      </c>
      <c r="C197" s="56" t="s">
        <v>1041</v>
      </c>
      <c r="D197" s="55" t="s">
        <v>350</v>
      </c>
      <c r="E197" s="59" t="s">
        <v>40</v>
      </c>
      <c r="F197" s="59" t="s">
        <v>40</v>
      </c>
      <c r="G197" s="55" t="s">
        <v>54</v>
      </c>
      <c r="H197" s="59" t="s">
        <v>40</v>
      </c>
      <c r="I197" s="30">
        <v>819</v>
      </c>
      <c r="J197" s="30">
        <v>737</v>
      </c>
      <c r="K197" s="64"/>
      <c r="L197" s="64"/>
      <c r="M197" s="64"/>
      <c r="N197" s="66">
        <v>780</v>
      </c>
      <c r="O197" s="66">
        <v>735</v>
      </c>
      <c r="P197" s="66">
        <v>625</v>
      </c>
      <c r="Q197" s="55" t="s">
        <v>41</v>
      </c>
      <c r="R197" s="55" t="s">
        <v>40</v>
      </c>
      <c r="S197" s="74" t="s">
        <v>40</v>
      </c>
      <c r="T197" s="64"/>
      <c r="U197" s="59" t="s">
        <v>305</v>
      </c>
      <c r="V197" s="76" t="s">
        <v>1042</v>
      </c>
      <c r="W197" s="76">
        <v>33080300401</v>
      </c>
      <c r="X197" s="77" t="s">
        <v>1043</v>
      </c>
      <c r="Y197" s="77"/>
      <c r="Z197" s="77"/>
      <c r="AA197" s="77" t="s">
        <v>54</v>
      </c>
      <c r="AB197" s="77" t="s">
        <v>40</v>
      </c>
      <c r="AC197" s="88">
        <v>2925</v>
      </c>
      <c r="AD197" s="88">
        <v>2810</v>
      </c>
      <c r="AE197" s="88">
        <v>2390</v>
      </c>
      <c r="AF197" s="44">
        <f t="shared" ref="AF197:AF260" si="20">IFERROR(FIND("-儿童（加收）",C197,1),0)</f>
        <v>8</v>
      </c>
      <c r="AG197" s="44" t="str">
        <f t="shared" ref="AG197:AG260" si="21">SUBSTITUTE(C197,"-儿童（加收）","")</f>
        <v>心包肿瘤切除费</v>
      </c>
      <c r="AH197" s="44">
        <f t="shared" ref="AH197:AH260" si="22">IF(AF197&gt;0,_xlfn.MAXIFS(N:N,C:C,SUBSTITUTE(C197,"-儿童（加收）","")),0)+N197</f>
        <v>3380</v>
      </c>
      <c r="AI197" s="44">
        <f t="shared" ref="AI197:AI260" si="23">IF(AF197&gt;0,_xlfn.MAXIFS(O:O,C:C,SUBSTITUTE(C197,"-儿童（加收）","")),0)+O197</f>
        <v>3185</v>
      </c>
      <c r="AJ197" s="44">
        <f t="shared" ref="AJ197:AJ260" si="24">IF(AF197&gt;0,_xlfn.MAXIFS(P:P,C:C,SUBSTITUTE(C197,"-儿童（加收）","")),0)+P197</f>
        <v>2705</v>
      </c>
    </row>
    <row r="198" s="44" customFormat="1" ht="38" customHeight="1" spans="1:36">
      <c r="A198" s="55"/>
      <c r="B198" s="55"/>
      <c r="C198" s="56" t="s">
        <v>1041</v>
      </c>
      <c r="D198" s="55"/>
      <c r="E198" s="59"/>
      <c r="F198" s="59"/>
      <c r="G198" s="55"/>
      <c r="H198" s="59"/>
      <c r="I198" s="37"/>
      <c r="J198" s="37"/>
      <c r="K198" s="64"/>
      <c r="L198" s="64"/>
      <c r="M198" s="64"/>
      <c r="N198" s="66">
        <v>780</v>
      </c>
      <c r="O198" s="66">
        <v>735</v>
      </c>
      <c r="P198" s="66">
        <v>625</v>
      </c>
      <c r="Q198" s="55"/>
      <c r="R198" s="55"/>
      <c r="S198" s="74"/>
      <c r="T198" s="64"/>
      <c r="U198" s="59"/>
      <c r="V198" s="76" t="s">
        <v>1044</v>
      </c>
      <c r="W198" s="76">
        <v>33080300403</v>
      </c>
      <c r="X198" s="77" t="s">
        <v>1045</v>
      </c>
      <c r="Y198" s="77"/>
      <c r="Z198" s="77"/>
      <c r="AA198" s="77" t="s">
        <v>54</v>
      </c>
      <c r="AB198" s="77" t="s">
        <v>40</v>
      </c>
      <c r="AC198" s="88">
        <v>3550</v>
      </c>
      <c r="AD198" s="88">
        <v>3410</v>
      </c>
      <c r="AE198" s="88">
        <v>2900</v>
      </c>
      <c r="AF198" s="44">
        <f t="shared" si="20"/>
        <v>8</v>
      </c>
      <c r="AG198" s="44" t="str">
        <f t="shared" si="21"/>
        <v>心包肿瘤切除费</v>
      </c>
      <c r="AH198" s="44">
        <f t="shared" si="22"/>
        <v>3380</v>
      </c>
      <c r="AI198" s="44">
        <f t="shared" si="23"/>
        <v>3185</v>
      </c>
      <c r="AJ198" s="44">
        <f t="shared" si="24"/>
        <v>2705</v>
      </c>
    </row>
    <row r="199" s="44" customFormat="1" ht="38" customHeight="1" spans="1:36">
      <c r="A199" s="55">
        <v>66</v>
      </c>
      <c r="B199" s="55" t="s">
        <v>1048</v>
      </c>
      <c r="C199" s="56" t="s">
        <v>1049</v>
      </c>
      <c r="D199" s="55" t="s">
        <v>350</v>
      </c>
      <c r="E199" s="59" t="s">
        <v>1050</v>
      </c>
      <c r="F199" s="59" t="s">
        <v>1051</v>
      </c>
      <c r="G199" s="55" t="s">
        <v>54</v>
      </c>
      <c r="H199" s="59" t="s">
        <v>40</v>
      </c>
      <c r="I199" s="30">
        <v>5620</v>
      </c>
      <c r="J199" s="30">
        <v>5058</v>
      </c>
      <c r="K199" s="64">
        <v>5077.27272727273</v>
      </c>
      <c r="L199" s="64"/>
      <c r="M199" s="64"/>
      <c r="N199" s="66">
        <v>5080</v>
      </c>
      <c r="O199" s="66">
        <v>4580</v>
      </c>
      <c r="P199" s="66">
        <v>3900</v>
      </c>
      <c r="Q199" s="55" t="s">
        <v>41</v>
      </c>
      <c r="R199" s="55" t="s">
        <v>40</v>
      </c>
      <c r="S199" s="74" t="s">
        <v>40</v>
      </c>
      <c r="T199" s="64" t="s">
        <v>42</v>
      </c>
      <c r="U199" s="59" t="s">
        <v>42</v>
      </c>
      <c r="V199" s="76" t="s">
        <v>1052</v>
      </c>
      <c r="W199" s="76">
        <v>330803009</v>
      </c>
      <c r="X199" s="77" t="s">
        <v>1053</v>
      </c>
      <c r="Y199" s="77" t="s">
        <v>1054</v>
      </c>
      <c r="Z199" s="77"/>
      <c r="AA199" s="77" t="s">
        <v>54</v>
      </c>
      <c r="AB199" s="77" t="s">
        <v>1055</v>
      </c>
      <c r="AC199" s="88">
        <v>4750</v>
      </c>
      <c r="AD199" s="88">
        <v>4275</v>
      </c>
      <c r="AE199" s="88">
        <v>3420</v>
      </c>
      <c r="AF199" s="44">
        <f t="shared" si="20"/>
        <v>0</v>
      </c>
      <c r="AG199" s="44" t="str">
        <f t="shared" si="21"/>
        <v>心脏肿瘤切除费</v>
      </c>
      <c r="AH199" s="44">
        <f t="shared" si="22"/>
        <v>5080</v>
      </c>
      <c r="AI199" s="44">
        <f t="shared" si="23"/>
        <v>4580</v>
      </c>
      <c r="AJ199" s="44">
        <f t="shared" si="24"/>
        <v>3900</v>
      </c>
    </row>
    <row r="200" s="44" customFormat="1" ht="38" customHeight="1" spans="1:36">
      <c r="A200" s="55"/>
      <c r="B200" s="55"/>
      <c r="C200" s="56" t="s">
        <v>1049</v>
      </c>
      <c r="D200" s="55"/>
      <c r="E200" s="59"/>
      <c r="F200" s="59"/>
      <c r="G200" s="55"/>
      <c r="H200" s="59"/>
      <c r="I200" s="37"/>
      <c r="J200" s="37"/>
      <c r="K200" s="64"/>
      <c r="L200" s="64"/>
      <c r="M200" s="64"/>
      <c r="N200" s="66">
        <v>5080</v>
      </c>
      <c r="O200" s="66">
        <v>4580</v>
      </c>
      <c r="P200" s="66">
        <v>3900</v>
      </c>
      <c r="Q200" s="55"/>
      <c r="R200" s="55"/>
      <c r="S200" s="74"/>
      <c r="T200" s="64"/>
      <c r="U200" s="59"/>
      <c r="V200" s="76" t="s">
        <v>1056</v>
      </c>
      <c r="W200" s="76">
        <v>33080300901</v>
      </c>
      <c r="X200" s="77" t="s">
        <v>1057</v>
      </c>
      <c r="Y200" s="77"/>
      <c r="Z200" s="77"/>
      <c r="AA200" s="77" t="s">
        <v>54</v>
      </c>
      <c r="AB200" s="77" t="s">
        <v>1058</v>
      </c>
      <c r="AC200" s="88">
        <v>5470</v>
      </c>
      <c r="AD200" s="88">
        <v>4925</v>
      </c>
      <c r="AE200" s="88">
        <v>3975</v>
      </c>
      <c r="AF200" s="44">
        <f t="shared" si="20"/>
        <v>0</v>
      </c>
      <c r="AG200" s="44" t="str">
        <f t="shared" si="21"/>
        <v>心脏肿瘤切除费</v>
      </c>
      <c r="AH200" s="44">
        <f t="shared" si="22"/>
        <v>5080</v>
      </c>
      <c r="AI200" s="44">
        <f t="shared" si="23"/>
        <v>4580</v>
      </c>
      <c r="AJ200" s="44">
        <f t="shared" si="24"/>
        <v>3900</v>
      </c>
    </row>
    <row r="201" s="44" customFormat="1" ht="38" customHeight="1" spans="1:36">
      <c r="A201" s="55"/>
      <c r="B201" s="55"/>
      <c r="C201" s="56" t="s">
        <v>1049</v>
      </c>
      <c r="D201" s="55"/>
      <c r="E201" s="59"/>
      <c r="F201" s="59"/>
      <c r="G201" s="55"/>
      <c r="H201" s="59"/>
      <c r="I201" s="37"/>
      <c r="J201" s="37"/>
      <c r="K201" s="64"/>
      <c r="L201" s="64"/>
      <c r="M201" s="64"/>
      <c r="N201" s="66">
        <v>5080</v>
      </c>
      <c r="O201" s="66">
        <v>4580</v>
      </c>
      <c r="P201" s="66">
        <v>3900</v>
      </c>
      <c r="Q201" s="55"/>
      <c r="R201" s="55"/>
      <c r="S201" s="74"/>
      <c r="T201" s="64"/>
      <c r="U201" s="59"/>
      <c r="V201" s="78" t="s">
        <v>1059</v>
      </c>
      <c r="W201" s="78">
        <v>330803013</v>
      </c>
      <c r="X201" s="79" t="s">
        <v>1060</v>
      </c>
      <c r="Y201" s="79"/>
      <c r="Z201" s="79"/>
      <c r="AA201" s="79" t="s">
        <v>54</v>
      </c>
      <c r="AB201" s="79" t="s">
        <v>40</v>
      </c>
      <c r="AC201" s="89">
        <v>2500</v>
      </c>
      <c r="AD201" s="89">
        <v>2400</v>
      </c>
      <c r="AE201" s="89">
        <v>2040</v>
      </c>
      <c r="AF201" s="44">
        <f t="shared" si="20"/>
        <v>0</v>
      </c>
      <c r="AG201" s="44" t="str">
        <f t="shared" si="21"/>
        <v>心脏肿瘤切除费</v>
      </c>
      <c r="AH201" s="44">
        <f t="shared" si="22"/>
        <v>5080</v>
      </c>
      <c r="AI201" s="44">
        <f t="shared" si="23"/>
        <v>4580</v>
      </c>
      <c r="AJ201" s="44">
        <f t="shared" si="24"/>
        <v>3900</v>
      </c>
    </row>
    <row r="202" s="44" customFormat="1" ht="38" customHeight="1" spans="1:36">
      <c r="A202" s="55" t="s">
        <v>55</v>
      </c>
      <c r="B202" s="55" t="s">
        <v>1061</v>
      </c>
      <c r="C202" s="56" t="s">
        <v>1062</v>
      </c>
      <c r="D202" s="55" t="s">
        <v>350</v>
      </c>
      <c r="E202" s="59" t="s">
        <v>40</v>
      </c>
      <c r="F202" s="59" t="s">
        <v>40</v>
      </c>
      <c r="G202" s="55" t="s">
        <v>54</v>
      </c>
      <c r="H202" s="59" t="s">
        <v>40</v>
      </c>
      <c r="I202" s="30">
        <v>1686</v>
      </c>
      <c r="J202" s="30">
        <v>1517</v>
      </c>
      <c r="K202" s="64"/>
      <c r="L202" s="64"/>
      <c r="M202" s="64"/>
      <c r="N202" s="66">
        <v>1525</v>
      </c>
      <c r="O202" s="66">
        <v>1375</v>
      </c>
      <c r="P202" s="66">
        <v>1170</v>
      </c>
      <c r="Q202" s="55" t="s">
        <v>41</v>
      </c>
      <c r="R202" s="55" t="s">
        <v>40</v>
      </c>
      <c r="S202" s="74" t="s">
        <v>40</v>
      </c>
      <c r="T202" s="64"/>
      <c r="U202" s="59" t="s">
        <v>305</v>
      </c>
      <c r="V202" s="76" t="s">
        <v>1063</v>
      </c>
      <c r="W202" s="76">
        <v>33080300902</v>
      </c>
      <c r="X202" s="77" t="s">
        <v>1064</v>
      </c>
      <c r="Y202" s="77"/>
      <c r="Z202" s="77"/>
      <c r="AA202" s="77" t="s">
        <v>54</v>
      </c>
      <c r="AB202" s="77" t="s">
        <v>40</v>
      </c>
      <c r="AC202" s="88">
        <v>6175</v>
      </c>
      <c r="AD202" s="88">
        <v>5555</v>
      </c>
      <c r="AE202" s="88">
        <v>4445</v>
      </c>
      <c r="AF202" s="44">
        <f t="shared" si="20"/>
        <v>8</v>
      </c>
      <c r="AG202" s="44" t="str">
        <f t="shared" si="21"/>
        <v>心脏肿瘤切除费</v>
      </c>
      <c r="AH202" s="44">
        <f t="shared" si="22"/>
        <v>6605</v>
      </c>
      <c r="AI202" s="44">
        <f t="shared" si="23"/>
        <v>5955</v>
      </c>
      <c r="AJ202" s="44">
        <f t="shared" si="24"/>
        <v>5070</v>
      </c>
    </row>
    <row r="203" s="44" customFormat="1" ht="38" customHeight="1" spans="1:36">
      <c r="A203" s="55"/>
      <c r="B203" s="55"/>
      <c r="C203" s="56" t="s">
        <v>1062</v>
      </c>
      <c r="D203" s="55"/>
      <c r="E203" s="59"/>
      <c r="F203" s="59"/>
      <c r="G203" s="55"/>
      <c r="H203" s="59"/>
      <c r="I203" s="37"/>
      <c r="J203" s="37"/>
      <c r="K203" s="64"/>
      <c r="L203" s="64"/>
      <c r="M203" s="64"/>
      <c r="N203" s="66">
        <v>1525</v>
      </c>
      <c r="O203" s="66">
        <v>1375</v>
      </c>
      <c r="P203" s="66">
        <v>1170</v>
      </c>
      <c r="Q203" s="55"/>
      <c r="R203" s="55"/>
      <c r="S203" s="74"/>
      <c r="T203" s="64"/>
      <c r="U203" s="59"/>
      <c r="V203" s="76" t="s">
        <v>1065</v>
      </c>
      <c r="W203" s="76">
        <v>33080300903</v>
      </c>
      <c r="X203" s="77" t="s">
        <v>1066</v>
      </c>
      <c r="Y203" s="77"/>
      <c r="Z203" s="77"/>
      <c r="AA203" s="77" t="s">
        <v>54</v>
      </c>
      <c r="AB203" s="77" t="s">
        <v>1058</v>
      </c>
      <c r="AC203" s="88">
        <v>7110</v>
      </c>
      <c r="AD203" s="88">
        <v>6400</v>
      </c>
      <c r="AE203" s="88">
        <v>5165</v>
      </c>
      <c r="AF203" s="44">
        <f t="shared" si="20"/>
        <v>8</v>
      </c>
      <c r="AG203" s="44" t="str">
        <f t="shared" si="21"/>
        <v>心脏肿瘤切除费</v>
      </c>
      <c r="AH203" s="44">
        <f t="shared" si="22"/>
        <v>6605</v>
      </c>
      <c r="AI203" s="44">
        <f t="shared" si="23"/>
        <v>5955</v>
      </c>
      <c r="AJ203" s="44">
        <f t="shared" si="24"/>
        <v>5070</v>
      </c>
    </row>
    <row r="204" s="44" customFormat="1" ht="38" customHeight="1" spans="1:36">
      <c r="A204" s="55"/>
      <c r="B204" s="55"/>
      <c r="C204" s="56" t="s">
        <v>1062</v>
      </c>
      <c r="D204" s="55"/>
      <c r="E204" s="59"/>
      <c r="F204" s="59"/>
      <c r="G204" s="55"/>
      <c r="H204" s="59"/>
      <c r="I204" s="37"/>
      <c r="J204" s="37"/>
      <c r="K204" s="64"/>
      <c r="L204" s="64"/>
      <c r="M204" s="64"/>
      <c r="N204" s="66">
        <v>1525</v>
      </c>
      <c r="O204" s="66">
        <v>1375</v>
      </c>
      <c r="P204" s="66">
        <v>1170</v>
      </c>
      <c r="Q204" s="55"/>
      <c r="R204" s="55"/>
      <c r="S204" s="74"/>
      <c r="T204" s="64"/>
      <c r="U204" s="59"/>
      <c r="V204" s="78" t="s">
        <v>1067</v>
      </c>
      <c r="W204" s="78">
        <v>33080301301</v>
      </c>
      <c r="X204" s="79" t="s">
        <v>1068</v>
      </c>
      <c r="Y204" s="79"/>
      <c r="Z204" s="79"/>
      <c r="AA204" s="79" t="s">
        <v>54</v>
      </c>
      <c r="AB204" s="79" t="s">
        <v>40</v>
      </c>
      <c r="AC204" s="89">
        <v>3250</v>
      </c>
      <c r="AD204" s="89">
        <v>3120</v>
      </c>
      <c r="AE204" s="89">
        <v>2650</v>
      </c>
      <c r="AF204" s="44">
        <f t="shared" si="20"/>
        <v>8</v>
      </c>
      <c r="AG204" s="44" t="str">
        <f t="shared" si="21"/>
        <v>心脏肿瘤切除费</v>
      </c>
      <c r="AH204" s="44">
        <f t="shared" si="22"/>
        <v>6605</v>
      </c>
      <c r="AI204" s="44">
        <f t="shared" si="23"/>
        <v>5955</v>
      </c>
      <c r="AJ204" s="44">
        <f t="shared" si="24"/>
        <v>5070</v>
      </c>
    </row>
    <row r="205" s="44" customFormat="1" ht="38" customHeight="1" spans="1:36">
      <c r="A205" s="55" t="s">
        <v>55</v>
      </c>
      <c r="B205" s="55" t="s">
        <v>1069</v>
      </c>
      <c r="C205" s="56" t="s">
        <v>1070</v>
      </c>
      <c r="D205" s="55" t="s">
        <v>350</v>
      </c>
      <c r="E205" s="59" t="s">
        <v>40</v>
      </c>
      <c r="F205" s="59" t="s">
        <v>40</v>
      </c>
      <c r="G205" s="55" t="s">
        <v>54</v>
      </c>
      <c r="H205" s="59" t="s">
        <v>40</v>
      </c>
      <c r="I205" s="30">
        <v>1200</v>
      </c>
      <c r="J205" s="30">
        <v>1080</v>
      </c>
      <c r="K205" s="64"/>
      <c r="L205" s="64"/>
      <c r="M205" s="64"/>
      <c r="N205" s="66">
        <v>1100</v>
      </c>
      <c r="O205" s="66">
        <v>990</v>
      </c>
      <c r="P205" s="66">
        <v>850</v>
      </c>
      <c r="Q205" s="55" t="s">
        <v>41</v>
      </c>
      <c r="R205" s="55" t="s">
        <v>40</v>
      </c>
      <c r="S205" s="74" t="s">
        <v>40</v>
      </c>
      <c r="T205" s="64"/>
      <c r="U205" s="59" t="s">
        <v>1011</v>
      </c>
      <c r="V205" s="76" t="s">
        <v>1071</v>
      </c>
      <c r="W205" s="76">
        <v>330803010</v>
      </c>
      <c r="X205" s="77" t="s">
        <v>1072</v>
      </c>
      <c r="Y205" s="77"/>
      <c r="Z205" s="77"/>
      <c r="AA205" s="77" t="s">
        <v>54</v>
      </c>
      <c r="AB205" s="77" t="s">
        <v>40</v>
      </c>
      <c r="AC205" s="88">
        <v>5400</v>
      </c>
      <c r="AD205" s="88">
        <v>4860</v>
      </c>
      <c r="AE205" s="88">
        <v>4130</v>
      </c>
      <c r="AF205" s="44">
        <f t="shared" si="20"/>
        <v>0</v>
      </c>
      <c r="AG205" s="44" t="str">
        <f t="shared" si="21"/>
        <v>心脏肿瘤切除费-恶性肿瘤（加收）</v>
      </c>
      <c r="AH205" s="44">
        <f t="shared" si="22"/>
        <v>1100</v>
      </c>
      <c r="AI205" s="44">
        <f t="shared" si="23"/>
        <v>990</v>
      </c>
      <c r="AJ205" s="44">
        <f t="shared" si="24"/>
        <v>850</v>
      </c>
    </row>
    <row r="206" s="44" customFormat="1" ht="38" customHeight="1" spans="1:36">
      <c r="A206" s="55"/>
      <c r="B206" s="55"/>
      <c r="C206" s="56" t="s">
        <v>1070</v>
      </c>
      <c r="D206" s="55"/>
      <c r="E206" s="59"/>
      <c r="F206" s="59"/>
      <c r="G206" s="55"/>
      <c r="H206" s="59"/>
      <c r="I206" s="37"/>
      <c r="J206" s="37"/>
      <c r="K206" s="64"/>
      <c r="L206" s="64"/>
      <c r="M206" s="64"/>
      <c r="N206" s="66">
        <v>1100</v>
      </c>
      <c r="O206" s="66">
        <v>990</v>
      </c>
      <c r="P206" s="66">
        <v>850</v>
      </c>
      <c r="Q206" s="55"/>
      <c r="R206" s="55"/>
      <c r="S206" s="74"/>
      <c r="T206" s="64"/>
      <c r="U206" s="59"/>
      <c r="V206" s="76" t="s">
        <v>1073</v>
      </c>
      <c r="W206" s="76">
        <v>33080301001</v>
      </c>
      <c r="X206" s="77" t="s">
        <v>1074</v>
      </c>
      <c r="Y206" s="77"/>
      <c r="Z206" s="77"/>
      <c r="AA206" s="77" t="s">
        <v>54</v>
      </c>
      <c r="AB206" s="77" t="s">
        <v>40</v>
      </c>
      <c r="AC206" s="88">
        <v>7020</v>
      </c>
      <c r="AD206" s="88">
        <v>6320</v>
      </c>
      <c r="AE206" s="88">
        <v>5370</v>
      </c>
      <c r="AF206" s="44">
        <f t="shared" si="20"/>
        <v>0</v>
      </c>
      <c r="AG206" s="44" t="str">
        <f t="shared" si="21"/>
        <v>心脏肿瘤切除费-恶性肿瘤（加收）</v>
      </c>
      <c r="AH206" s="44">
        <f t="shared" si="22"/>
        <v>1100</v>
      </c>
      <c r="AI206" s="44">
        <f t="shared" si="23"/>
        <v>990</v>
      </c>
      <c r="AJ206" s="44">
        <f t="shared" si="24"/>
        <v>850</v>
      </c>
    </row>
    <row r="207" s="44" customFormat="1" ht="38" customHeight="1" spans="1:36">
      <c r="A207" s="55">
        <v>67</v>
      </c>
      <c r="B207" s="55" t="s">
        <v>1075</v>
      </c>
      <c r="C207" s="55" t="s">
        <v>1076</v>
      </c>
      <c r="D207" s="55" t="s">
        <v>350</v>
      </c>
      <c r="E207" s="59" t="s">
        <v>1077</v>
      </c>
      <c r="F207" s="59" t="s">
        <v>1078</v>
      </c>
      <c r="G207" s="55" t="s">
        <v>54</v>
      </c>
      <c r="H207" s="59" t="s">
        <v>40</v>
      </c>
      <c r="I207" s="30">
        <v>3380</v>
      </c>
      <c r="J207" s="30">
        <v>3042</v>
      </c>
      <c r="K207" s="64">
        <v>3125</v>
      </c>
      <c r="L207" s="64">
        <v>3000</v>
      </c>
      <c r="M207" s="64">
        <v>2550</v>
      </c>
      <c r="N207" s="35">
        <v>3125</v>
      </c>
      <c r="O207" s="35">
        <v>3000</v>
      </c>
      <c r="P207" s="35">
        <v>2550</v>
      </c>
      <c r="Q207" s="55" t="s">
        <v>41</v>
      </c>
      <c r="R207" s="55" t="s">
        <v>40</v>
      </c>
      <c r="S207" s="74" t="s">
        <v>40</v>
      </c>
      <c r="T207" s="64" t="s">
        <v>183</v>
      </c>
      <c r="U207" s="59" t="s">
        <v>183</v>
      </c>
      <c r="V207" s="76" t="s">
        <v>1079</v>
      </c>
      <c r="W207" s="76">
        <v>330803008</v>
      </c>
      <c r="X207" s="77" t="s">
        <v>1080</v>
      </c>
      <c r="Y207" s="77" t="s">
        <v>1081</v>
      </c>
      <c r="Z207" s="77"/>
      <c r="AA207" s="77" t="s">
        <v>54</v>
      </c>
      <c r="AB207" s="77" t="s">
        <v>40</v>
      </c>
      <c r="AC207" s="88">
        <v>3125</v>
      </c>
      <c r="AD207" s="88">
        <v>3000</v>
      </c>
      <c r="AE207" s="88">
        <v>2550</v>
      </c>
      <c r="AF207" s="44">
        <f t="shared" si="20"/>
        <v>0</v>
      </c>
      <c r="AG207" s="44" t="str">
        <f t="shared" si="21"/>
        <v>心内异物取出费</v>
      </c>
      <c r="AH207" s="44">
        <f t="shared" si="22"/>
        <v>3125</v>
      </c>
      <c r="AI207" s="44">
        <f t="shared" si="23"/>
        <v>3000</v>
      </c>
      <c r="AJ207" s="44">
        <f t="shared" si="24"/>
        <v>2550</v>
      </c>
    </row>
    <row r="208" s="44" customFormat="1" ht="38" customHeight="1" spans="1:36">
      <c r="A208" s="55" t="s">
        <v>55</v>
      </c>
      <c r="B208" s="55" t="s">
        <v>1082</v>
      </c>
      <c r="C208" s="55" t="s">
        <v>1083</v>
      </c>
      <c r="D208" s="55" t="s">
        <v>350</v>
      </c>
      <c r="E208" s="59" t="s">
        <v>40</v>
      </c>
      <c r="F208" s="59" t="s">
        <v>40</v>
      </c>
      <c r="G208" s="55" t="s">
        <v>54</v>
      </c>
      <c r="H208" s="59" t="s">
        <v>40</v>
      </c>
      <c r="I208" s="30">
        <v>1014</v>
      </c>
      <c r="J208" s="30">
        <v>913</v>
      </c>
      <c r="K208" s="64"/>
      <c r="L208" s="64"/>
      <c r="M208" s="64"/>
      <c r="N208" s="35">
        <v>940</v>
      </c>
      <c r="O208" s="35">
        <v>900</v>
      </c>
      <c r="P208" s="35">
        <v>765</v>
      </c>
      <c r="Q208" s="55" t="s">
        <v>41</v>
      </c>
      <c r="R208" s="55" t="s">
        <v>40</v>
      </c>
      <c r="S208" s="74" t="s">
        <v>40</v>
      </c>
      <c r="T208" s="64"/>
      <c r="U208" s="59" t="s">
        <v>305</v>
      </c>
      <c r="V208" s="76" t="s">
        <v>1084</v>
      </c>
      <c r="W208" s="76">
        <v>33080300801</v>
      </c>
      <c r="X208" s="77" t="s">
        <v>1085</v>
      </c>
      <c r="Y208" s="77"/>
      <c r="Z208" s="77"/>
      <c r="AA208" s="77" t="s">
        <v>54</v>
      </c>
      <c r="AB208" s="77" t="s">
        <v>40</v>
      </c>
      <c r="AC208" s="88">
        <v>4065</v>
      </c>
      <c r="AD208" s="88">
        <v>3900</v>
      </c>
      <c r="AE208" s="88">
        <v>3315</v>
      </c>
      <c r="AF208" s="44">
        <f t="shared" si="20"/>
        <v>8</v>
      </c>
      <c r="AG208" s="44" t="str">
        <f t="shared" si="21"/>
        <v>心内异物取出费</v>
      </c>
      <c r="AH208" s="44">
        <f t="shared" si="22"/>
        <v>4065</v>
      </c>
      <c r="AI208" s="44">
        <f t="shared" si="23"/>
        <v>3900</v>
      </c>
      <c r="AJ208" s="44">
        <f t="shared" si="24"/>
        <v>3315</v>
      </c>
    </row>
    <row r="209" s="44" customFormat="1" ht="38" customHeight="1" spans="1:36">
      <c r="A209" s="55">
        <v>68</v>
      </c>
      <c r="B209" s="55" t="s">
        <v>1086</v>
      </c>
      <c r="C209" s="55" t="s">
        <v>1087</v>
      </c>
      <c r="D209" s="55" t="s">
        <v>350</v>
      </c>
      <c r="E209" s="59" t="s">
        <v>1088</v>
      </c>
      <c r="F209" s="59" t="s">
        <v>1089</v>
      </c>
      <c r="G209" s="55" t="s">
        <v>54</v>
      </c>
      <c r="H209" s="59" t="s">
        <v>40</v>
      </c>
      <c r="I209" s="30">
        <v>3840</v>
      </c>
      <c r="J209" s="30">
        <v>3456</v>
      </c>
      <c r="K209" s="64">
        <v>3650</v>
      </c>
      <c r="L209" s="64">
        <v>3285</v>
      </c>
      <c r="M209" s="64">
        <v>2625</v>
      </c>
      <c r="N209" s="35">
        <v>3650</v>
      </c>
      <c r="O209" s="35">
        <v>3285</v>
      </c>
      <c r="P209" s="68">
        <v>2800</v>
      </c>
      <c r="Q209" s="55" t="s">
        <v>41</v>
      </c>
      <c r="R209" s="55" t="s">
        <v>40</v>
      </c>
      <c r="S209" s="74" t="s">
        <v>40</v>
      </c>
      <c r="T209" s="64" t="s">
        <v>183</v>
      </c>
      <c r="U209" s="59" t="s">
        <v>973</v>
      </c>
      <c r="V209" s="76" t="s">
        <v>1090</v>
      </c>
      <c r="W209" s="76">
        <v>330803007</v>
      </c>
      <c r="X209" s="77" t="s">
        <v>1091</v>
      </c>
      <c r="Y209" s="77" t="s">
        <v>1092</v>
      </c>
      <c r="Z209" s="77"/>
      <c r="AA209" s="77" t="s">
        <v>54</v>
      </c>
      <c r="AB209" s="77" t="s">
        <v>40</v>
      </c>
      <c r="AC209" s="88">
        <v>3650</v>
      </c>
      <c r="AD209" s="88">
        <v>3285</v>
      </c>
      <c r="AE209" s="88">
        <v>2625</v>
      </c>
      <c r="AF209" s="44">
        <f t="shared" si="20"/>
        <v>0</v>
      </c>
      <c r="AG209" s="44" t="str">
        <f t="shared" si="21"/>
        <v>心脏破损修补费</v>
      </c>
      <c r="AH209" s="44">
        <f t="shared" si="22"/>
        <v>3650</v>
      </c>
      <c r="AI209" s="44">
        <f t="shared" si="23"/>
        <v>3285</v>
      </c>
      <c r="AJ209" s="44">
        <f t="shared" si="24"/>
        <v>2800</v>
      </c>
    </row>
    <row r="210" s="44" customFormat="1" ht="38" customHeight="1" spans="1:36">
      <c r="A210" s="55" t="s">
        <v>55</v>
      </c>
      <c r="B210" s="55" t="s">
        <v>1093</v>
      </c>
      <c r="C210" s="55" t="s">
        <v>1094</v>
      </c>
      <c r="D210" s="55" t="s">
        <v>350</v>
      </c>
      <c r="E210" s="59" t="s">
        <v>40</v>
      </c>
      <c r="F210" s="59" t="s">
        <v>40</v>
      </c>
      <c r="G210" s="55" t="s">
        <v>54</v>
      </c>
      <c r="H210" s="59" t="s">
        <v>40</v>
      </c>
      <c r="I210" s="30">
        <v>1152</v>
      </c>
      <c r="J210" s="30">
        <v>1037</v>
      </c>
      <c r="K210" s="64"/>
      <c r="L210" s="64"/>
      <c r="M210" s="64"/>
      <c r="N210" s="35">
        <v>1095</v>
      </c>
      <c r="O210" s="35">
        <v>985</v>
      </c>
      <c r="P210" s="68">
        <v>840</v>
      </c>
      <c r="Q210" s="55" t="s">
        <v>41</v>
      </c>
      <c r="R210" s="55" t="s">
        <v>40</v>
      </c>
      <c r="S210" s="74" t="s">
        <v>40</v>
      </c>
      <c r="T210" s="64"/>
      <c r="U210" s="59" t="s">
        <v>305</v>
      </c>
      <c r="V210" s="76" t="s">
        <v>1095</v>
      </c>
      <c r="W210" s="76">
        <v>33080300701</v>
      </c>
      <c r="X210" s="77" t="s">
        <v>1096</v>
      </c>
      <c r="Y210" s="77"/>
      <c r="Z210" s="77"/>
      <c r="AA210" s="77" t="s">
        <v>54</v>
      </c>
      <c r="AB210" s="77" t="s">
        <v>40</v>
      </c>
      <c r="AC210" s="88">
        <v>4745</v>
      </c>
      <c r="AD210" s="88">
        <v>4270</v>
      </c>
      <c r="AE210" s="88">
        <v>3410</v>
      </c>
      <c r="AF210" s="44">
        <f t="shared" si="20"/>
        <v>8</v>
      </c>
      <c r="AG210" s="44" t="str">
        <f t="shared" si="21"/>
        <v>心脏破损修补费</v>
      </c>
      <c r="AH210" s="44">
        <f t="shared" si="22"/>
        <v>4745</v>
      </c>
      <c r="AI210" s="44">
        <f t="shared" si="23"/>
        <v>4270</v>
      </c>
      <c r="AJ210" s="44">
        <f t="shared" si="24"/>
        <v>3640</v>
      </c>
    </row>
    <row r="211" s="44" customFormat="1" ht="38" customHeight="1" spans="1:36">
      <c r="A211" s="55">
        <v>69</v>
      </c>
      <c r="B211" s="55" t="s">
        <v>1097</v>
      </c>
      <c r="C211" s="55" t="s">
        <v>1098</v>
      </c>
      <c r="D211" s="55" t="s">
        <v>350</v>
      </c>
      <c r="E211" s="59" t="s">
        <v>1099</v>
      </c>
      <c r="F211" s="59" t="s">
        <v>1100</v>
      </c>
      <c r="G211" s="55" t="s">
        <v>54</v>
      </c>
      <c r="H211" s="59" t="s">
        <v>1101</v>
      </c>
      <c r="I211" s="30">
        <v>1080</v>
      </c>
      <c r="J211" s="30">
        <v>972</v>
      </c>
      <c r="K211" s="64">
        <v>1000</v>
      </c>
      <c r="L211" s="64">
        <v>960</v>
      </c>
      <c r="M211" s="64">
        <v>816</v>
      </c>
      <c r="N211" s="88">
        <v>1000</v>
      </c>
      <c r="O211" s="88">
        <v>960</v>
      </c>
      <c r="P211" s="88">
        <v>816</v>
      </c>
      <c r="Q211" s="55" t="s">
        <v>41</v>
      </c>
      <c r="R211" s="55" t="s">
        <v>40</v>
      </c>
      <c r="S211" s="74" t="s">
        <v>40</v>
      </c>
      <c r="T211" s="64" t="s">
        <v>183</v>
      </c>
      <c r="U211" s="59" t="s">
        <v>183</v>
      </c>
      <c r="V211" s="76" t="s">
        <v>1102</v>
      </c>
      <c r="W211" s="76">
        <v>330803031</v>
      </c>
      <c r="X211" s="77" t="s">
        <v>1103</v>
      </c>
      <c r="Y211" s="77"/>
      <c r="Z211" s="77"/>
      <c r="AA211" s="77" t="s">
        <v>54</v>
      </c>
      <c r="AB211" s="77" t="s">
        <v>40</v>
      </c>
      <c r="AC211" s="88">
        <v>1000</v>
      </c>
      <c r="AD211" s="88">
        <v>960</v>
      </c>
      <c r="AE211" s="88">
        <v>816</v>
      </c>
      <c r="AF211" s="44">
        <f t="shared" si="20"/>
        <v>0</v>
      </c>
      <c r="AG211" s="44" t="str">
        <f t="shared" si="21"/>
        <v>开胸心脏挤压费</v>
      </c>
      <c r="AH211" s="44">
        <f t="shared" si="22"/>
        <v>1000</v>
      </c>
      <c r="AI211" s="44">
        <f t="shared" si="23"/>
        <v>960</v>
      </c>
      <c r="AJ211" s="44">
        <f t="shared" si="24"/>
        <v>816</v>
      </c>
    </row>
    <row r="212" s="44" customFormat="1" ht="38" customHeight="1" spans="1:36">
      <c r="A212" s="55" t="s">
        <v>55</v>
      </c>
      <c r="B212" s="55" t="s">
        <v>1104</v>
      </c>
      <c r="C212" s="55" t="s">
        <v>1105</v>
      </c>
      <c r="D212" s="55" t="s">
        <v>350</v>
      </c>
      <c r="E212" s="59" t="s">
        <v>40</v>
      </c>
      <c r="F212" s="59" t="s">
        <v>40</v>
      </c>
      <c r="G212" s="55" t="s">
        <v>54</v>
      </c>
      <c r="H212" s="59" t="s">
        <v>40</v>
      </c>
      <c r="I212" s="30">
        <v>324</v>
      </c>
      <c r="J212" s="30">
        <v>292</v>
      </c>
      <c r="K212" s="64"/>
      <c r="L212" s="64"/>
      <c r="M212" s="64"/>
      <c r="N212" s="35">
        <v>300</v>
      </c>
      <c r="O212" s="35">
        <v>290</v>
      </c>
      <c r="P212" s="35">
        <v>245</v>
      </c>
      <c r="Q212" s="55" t="s">
        <v>41</v>
      </c>
      <c r="R212" s="55" t="s">
        <v>40</v>
      </c>
      <c r="S212" s="74" t="s">
        <v>40</v>
      </c>
      <c r="T212" s="64"/>
      <c r="U212" s="59" t="s">
        <v>305</v>
      </c>
      <c r="V212" s="76" t="s">
        <v>1106</v>
      </c>
      <c r="W212" s="76">
        <v>33080303101</v>
      </c>
      <c r="X212" s="77" t="s">
        <v>1107</v>
      </c>
      <c r="Y212" s="77"/>
      <c r="Z212" s="77"/>
      <c r="AA212" s="77" t="s">
        <v>54</v>
      </c>
      <c r="AB212" s="77" t="s">
        <v>40</v>
      </c>
      <c r="AC212" s="88">
        <v>1300</v>
      </c>
      <c r="AD212" s="88">
        <v>1250</v>
      </c>
      <c r="AE212" s="88">
        <v>1065</v>
      </c>
      <c r="AF212" s="44">
        <f t="shared" si="20"/>
        <v>8</v>
      </c>
      <c r="AG212" s="44" t="str">
        <f t="shared" si="21"/>
        <v>开胸心脏挤压费</v>
      </c>
      <c r="AH212" s="44">
        <f t="shared" si="22"/>
        <v>1300</v>
      </c>
      <c r="AI212" s="44">
        <f t="shared" si="23"/>
        <v>1250</v>
      </c>
      <c r="AJ212" s="44">
        <f t="shared" si="24"/>
        <v>1061</v>
      </c>
    </row>
    <row r="213" s="44" customFormat="1" ht="38" customHeight="1" spans="1:36">
      <c r="A213" s="55">
        <v>70</v>
      </c>
      <c r="B213" s="55" t="s">
        <v>1108</v>
      </c>
      <c r="C213" s="55" t="s">
        <v>1109</v>
      </c>
      <c r="D213" s="55" t="s">
        <v>350</v>
      </c>
      <c r="E213" s="59" t="s">
        <v>1110</v>
      </c>
      <c r="F213" s="59" t="s">
        <v>1051</v>
      </c>
      <c r="G213" s="55" t="s">
        <v>54</v>
      </c>
      <c r="H213" s="59" t="s">
        <v>40</v>
      </c>
      <c r="I213" s="30">
        <v>7680</v>
      </c>
      <c r="J213" s="30">
        <v>6912</v>
      </c>
      <c r="K213" s="64">
        <v>6600</v>
      </c>
      <c r="L213" s="64">
        <v>5940</v>
      </c>
      <c r="M213" s="64">
        <v>5050</v>
      </c>
      <c r="N213" s="35">
        <v>7000</v>
      </c>
      <c r="O213" s="35">
        <v>6300</v>
      </c>
      <c r="P213" s="35">
        <v>5400</v>
      </c>
      <c r="Q213" s="55" t="s">
        <v>41</v>
      </c>
      <c r="R213" s="55" t="s">
        <v>40</v>
      </c>
      <c r="S213" s="74" t="s">
        <v>40</v>
      </c>
      <c r="T213" s="64" t="s">
        <v>994</v>
      </c>
      <c r="U213" s="59" t="s">
        <v>1111</v>
      </c>
      <c r="V213" s="78" t="s">
        <v>1112</v>
      </c>
      <c r="W213" s="78">
        <v>330802024</v>
      </c>
      <c r="X213" s="79" t="s">
        <v>1113</v>
      </c>
      <c r="Y213" s="79" t="s">
        <v>1114</v>
      </c>
      <c r="Z213" s="79"/>
      <c r="AA213" s="79" t="s">
        <v>54</v>
      </c>
      <c r="AB213" s="79" t="s">
        <v>40</v>
      </c>
      <c r="AC213" s="89">
        <v>6600</v>
      </c>
      <c r="AD213" s="89">
        <v>5940</v>
      </c>
      <c r="AE213" s="89">
        <v>5050</v>
      </c>
      <c r="AF213" s="44">
        <f t="shared" si="20"/>
        <v>0</v>
      </c>
      <c r="AG213" s="44" t="str">
        <f t="shared" si="21"/>
        <v>室间隔部分心肌切除费</v>
      </c>
      <c r="AH213" s="44">
        <f t="shared" si="22"/>
        <v>7000</v>
      </c>
      <c r="AI213" s="44">
        <f t="shared" si="23"/>
        <v>6300</v>
      </c>
      <c r="AJ213" s="44">
        <f t="shared" si="24"/>
        <v>5400</v>
      </c>
    </row>
    <row r="214" s="44" customFormat="1" ht="38" customHeight="1" spans="1:36">
      <c r="A214" s="55" t="s">
        <v>55</v>
      </c>
      <c r="B214" s="55" t="s">
        <v>1115</v>
      </c>
      <c r="C214" s="55" t="s">
        <v>1116</v>
      </c>
      <c r="D214" s="55" t="s">
        <v>350</v>
      </c>
      <c r="E214" s="59" t="s">
        <v>40</v>
      </c>
      <c r="F214" s="59" t="s">
        <v>40</v>
      </c>
      <c r="G214" s="55" t="s">
        <v>54</v>
      </c>
      <c r="H214" s="59" t="s">
        <v>40</v>
      </c>
      <c r="I214" s="30">
        <v>2304</v>
      </c>
      <c r="J214" s="30">
        <v>2074</v>
      </c>
      <c r="K214" s="64"/>
      <c r="L214" s="64"/>
      <c r="M214" s="64"/>
      <c r="N214" s="35">
        <v>2100</v>
      </c>
      <c r="O214" s="35">
        <v>1890</v>
      </c>
      <c r="P214" s="35">
        <v>1620</v>
      </c>
      <c r="Q214" s="55" t="s">
        <v>41</v>
      </c>
      <c r="R214" s="55" t="s">
        <v>40</v>
      </c>
      <c r="S214" s="74" t="s">
        <v>40</v>
      </c>
      <c r="T214" s="64"/>
      <c r="U214" s="59" t="s">
        <v>305</v>
      </c>
      <c r="V214" s="76" t="s">
        <v>1117</v>
      </c>
      <c r="W214" s="76">
        <v>33080202401</v>
      </c>
      <c r="X214" s="77" t="s">
        <v>1118</v>
      </c>
      <c r="Y214" s="77"/>
      <c r="Z214" s="77"/>
      <c r="AA214" s="77" t="s">
        <v>54</v>
      </c>
      <c r="AB214" s="77" t="s">
        <v>40</v>
      </c>
      <c r="AC214" s="88">
        <v>8580</v>
      </c>
      <c r="AD214" s="88">
        <v>7720</v>
      </c>
      <c r="AE214" s="88">
        <v>6560</v>
      </c>
      <c r="AF214" s="44">
        <f t="shared" si="20"/>
        <v>11</v>
      </c>
      <c r="AG214" s="44" t="str">
        <f t="shared" si="21"/>
        <v>室间隔部分心肌切除费</v>
      </c>
      <c r="AH214" s="44">
        <f t="shared" si="22"/>
        <v>9100</v>
      </c>
      <c r="AI214" s="44">
        <f t="shared" si="23"/>
        <v>8190</v>
      </c>
      <c r="AJ214" s="44">
        <f t="shared" si="24"/>
        <v>7020</v>
      </c>
    </row>
    <row r="215" s="44" customFormat="1" ht="38" customHeight="1" spans="1:36">
      <c r="A215" s="55">
        <v>71</v>
      </c>
      <c r="B215" s="55" t="s">
        <v>1119</v>
      </c>
      <c r="C215" s="55" t="s">
        <v>1120</v>
      </c>
      <c r="D215" s="55" t="s">
        <v>350</v>
      </c>
      <c r="E215" s="59" t="s">
        <v>1121</v>
      </c>
      <c r="F215" s="59" t="s">
        <v>1122</v>
      </c>
      <c r="G215" s="55" t="s">
        <v>54</v>
      </c>
      <c r="H215" s="59" t="s">
        <v>40</v>
      </c>
      <c r="I215" s="30">
        <v>2500</v>
      </c>
      <c r="J215" s="30">
        <v>2250</v>
      </c>
      <c r="K215" s="64"/>
      <c r="L215" s="64"/>
      <c r="M215" s="64"/>
      <c r="N215" s="35">
        <v>2250</v>
      </c>
      <c r="O215" s="35">
        <v>2050</v>
      </c>
      <c r="P215" s="35">
        <v>1750</v>
      </c>
      <c r="Q215" s="55" t="s">
        <v>41</v>
      </c>
      <c r="R215" s="55" t="s">
        <v>40</v>
      </c>
      <c r="S215" s="74" t="s">
        <v>40</v>
      </c>
      <c r="T215" s="64" t="s">
        <v>1123</v>
      </c>
      <c r="U215" s="59" t="s">
        <v>1124</v>
      </c>
      <c r="V215" s="76" t="s">
        <v>1125</v>
      </c>
      <c r="W215" s="76" t="s">
        <v>1126</v>
      </c>
      <c r="X215" s="77" t="s">
        <v>1127</v>
      </c>
      <c r="Y215" s="77" t="s">
        <v>1128</v>
      </c>
      <c r="Z215" s="77" t="s">
        <v>1129</v>
      </c>
      <c r="AA215" s="77" t="s">
        <v>54</v>
      </c>
      <c r="AB215" s="77" t="s">
        <v>40</v>
      </c>
      <c r="AC215" s="88" t="s">
        <v>474</v>
      </c>
      <c r="AD215" s="88" t="s">
        <v>474</v>
      </c>
      <c r="AE215" s="88" t="s">
        <v>474</v>
      </c>
      <c r="AF215" s="44">
        <f t="shared" si="20"/>
        <v>0</v>
      </c>
      <c r="AG215" s="44" t="str">
        <f t="shared" si="21"/>
        <v>心耳闭合费</v>
      </c>
      <c r="AH215" s="44">
        <f t="shared" si="22"/>
        <v>2250</v>
      </c>
      <c r="AI215" s="44">
        <f t="shared" si="23"/>
        <v>2050</v>
      </c>
      <c r="AJ215" s="44">
        <f t="shared" si="24"/>
        <v>1750</v>
      </c>
    </row>
    <row r="216" s="44" customFormat="1" ht="38" customHeight="1" spans="1:36">
      <c r="A216" s="55" t="s">
        <v>55</v>
      </c>
      <c r="B216" s="55" t="s">
        <v>1130</v>
      </c>
      <c r="C216" s="55" t="s">
        <v>1131</v>
      </c>
      <c r="D216" s="55" t="s">
        <v>350</v>
      </c>
      <c r="E216" s="59" t="s">
        <v>40</v>
      </c>
      <c r="F216" s="59" t="s">
        <v>40</v>
      </c>
      <c r="G216" s="55" t="s">
        <v>54</v>
      </c>
      <c r="H216" s="59" t="s">
        <v>40</v>
      </c>
      <c r="I216" s="30">
        <v>750</v>
      </c>
      <c r="J216" s="30">
        <v>675</v>
      </c>
      <c r="K216" s="64"/>
      <c r="L216" s="64"/>
      <c r="M216" s="64"/>
      <c r="N216" s="35">
        <v>675</v>
      </c>
      <c r="O216" s="35">
        <v>615</v>
      </c>
      <c r="P216" s="35">
        <v>525</v>
      </c>
      <c r="Q216" s="55" t="s">
        <v>41</v>
      </c>
      <c r="R216" s="55" t="s">
        <v>40</v>
      </c>
      <c r="S216" s="74" t="s">
        <v>40</v>
      </c>
      <c r="T216" s="64"/>
      <c r="U216" s="59" t="s">
        <v>305</v>
      </c>
      <c r="V216" s="107" t="s">
        <v>1132</v>
      </c>
      <c r="W216" s="107">
        <v>33080303201</v>
      </c>
      <c r="X216" s="108" t="s">
        <v>1133</v>
      </c>
      <c r="Y216" s="108"/>
      <c r="Z216" s="108"/>
      <c r="AA216" s="108" t="s">
        <v>54</v>
      </c>
      <c r="AB216" s="108" t="s">
        <v>40</v>
      </c>
      <c r="AC216" s="109">
        <v>1870</v>
      </c>
      <c r="AD216" s="109">
        <v>1685</v>
      </c>
      <c r="AE216" s="109">
        <v>1430</v>
      </c>
      <c r="AF216" s="44">
        <f t="shared" si="20"/>
        <v>6</v>
      </c>
      <c r="AG216" s="44" t="str">
        <f t="shared" si="21"/>
        <v>心耳闭合费</v>
      </c>
      <c r="AH216" s="44">
        <f t="shared" si="22"/>
        <v>2925</v>
      </c>
      <c r="AI216" s="44">
        <f t="shared" si="23"/>
        <v>2665</v>
      </c>
      <c r="AJ216" s="44">
        <f t="shared" si="24"/>
        <v>2275</v>
      </c>
    </row>
    <row r="217" s="44" customFormat="1" ht="38" customHeight="1" spans="1:36">
      <c r="A217" s="55" t="s">
        <v>55</v>
      </c>
      <c r="B217" s="55" t="s">
        <v>1134</v>
      </c>
      <c r="C217" s="55" t="s">
        <v>1135</v>
      </c>
      <c r="D217" s="55" t="s">
        <v>350</v>
      </c>
      <c r="E217" s="59" t="s">
        <v>40</v>
      </c>
      <c r="F217" s="59" t="s">
        <v>40</v>
      </c>
      <c r="G217" s="55" t="s">
        <v>54</v>
      </c>
      <c r="H217" s="59" t="s">
        <v>40</v>
      </c>
      <c r="I217" s="30">
        <v>800</v>
      </c>
      <c r="J217" s="30">
        <v>720</v>
      </c>
      <c r="K217" s="64">
        <v>625</v>
      </c>
      <c r="L217" s="64">
        <v>600</v>
      </c>
      <c r="M217" s="64">
        <v>510</v>
      </c>
      <c r="N217" s="70">
        <v>720</v>
      </c>
      <c r="O217" s="70">
        <v>650</v>
      </c>
      <c r="P217" s="70">
        <v>550</v>
      </c>
      <c r="Q217" s="55" t="s">
        <v>41</v>
      </c>
      <c r="R217" s="55" t="s">
        <v>40</v>
      </c>
      <c r="S217" s="74" t="s">
        <v>40</v>
      </c>
      <c r="T217" s="64"/>
      <c r="U217" s="59" t="s">
        <v>937</v>
      </c>
      <c r="V217" s="76" t="s">
        <v>1136</v>
      </c>
      <c r="W217" s="76">
        <v>33080301604</v>
      </c>
      <c r="X217" s="77" t="s">
        <v>1137</v>
      </c>
      <c r="Y217" s="77"/>
      <c r="Z217" s="77"/>
      <c r="AA217" s="77" t="s">
        <v>54</v>
      </c>
      <c r="AB217" s="77" t="s">
        <v>40</v>
      </c>
      <c r="AC217" s="88">
        <v>7925</v>
      </c>
      <c r="AD217" s="88">
        <v>7170</v>
      </c>
      <c r="AE217" s="88">
        <v>5765</v>
      </c>
      <c r="AF217" s="44">
        <f t="shared" si="20"/>
        <v>0</v>
      </c>
      <c r="AG217" s="44" t="str">
        <f t="shared" si="21"/>
        <v>心耳闭合费-微创手术（加收）</v>
      </c>
      <c r="AH217" s="44">
        <f t="shared" si="22"/>
        <v>720</v>
      </c>
      <c r="AI217" s="44">
        <f t="shared" si="23"/>
        <v>650</v>
      </c>
      <c r="AJ217" s="44">
        <f t="shared" si="24"/>
        <v>550</v>
      </c>
    </row>
    <row r="218" s="44" customFormat="1" ht="38" customHeight="1" spans="1:36">
      <c r="A218" s="55">
        <v>72</v>
      </c>
      <c r="B218" s="55" t="s">
        <v>1138</v>
      </c>
      <c r="C218" s="56" t="s">
        <v>1139</v>
      </c>
      <c r="D218" s="55" t="s">
        <v>350</v>
      </c>
      <c r="E218" s="59" t="s">
        <v>1140</v>
      </c>
      <c r="F218" s="59" t="s">
        <v>1141</v>
      </c>
      <c r="G218" s="55" t="s">
        <v>54</v>
      </c>
      <c r="H218" s="59" t="s">
        <v>40</v>
      </c>
      <c r="I218" s="30">
        <v>7680</v>
      </c>
      <c r="J218" s="30">
        <v>6912</v>
      </c>
      <c r="K218" s="64">
        <v>7300</v>
      </c>
      <c r="L218" s="64"/>
      <c r="M218" s="64"/>
      <c r="N218" s="66">
        <v>7300</v>
      </c>
      <c r="O218" s="66">
        <v>6570</v>
      </c>
      <c r="P218" s="67">
        <v>5585</v>
      </c>
      <c r="Q218" s="55" t="s">
        <v>41</v>
      </c>
      <c r="R218" s="55" t="s">
        <v>40</v>
      </c>
      <c r="S218" s="74" t="s">
        <v>40</v>
      </c>
      <c r="T218" s="64" t="s">
        <v>183</v>
      </c>
      <c r="U218" s="59" t="s">
        <v>973</v>
      </c>
      <c r="V218" s="76" t="s">
        <v>1142</v>
      </c>
      <c r="W218" s="76">
        <v>330803016</v>
      </c>
      <c r="X218" s="77" t="s">
        <v>1143</v>
      </c>
      <c r="Y218" s="77" t="s">
        <v>1144</v>
      </c>
      <c r="Z218" s="77"/>
      <c r="AA218" s="77" t="s">
        <v>54</v>
      </c>
      <c r="AB218" s="77" t="s">
        <v>40</v>
      </c>
      <c r="AC218" s="88">
        <v>7300</v>
      </c>
      <c r="AD218" s="88">
        <v>6570</v>
      </c>
      <c r="AE218" s="88">
        <v>5255</v>
      </c>
      <c r="AF218" s="44">
        <f t="shared" si="20"/>
        <v>0</v>
      </c>
      <c r="AG218" s="44" t="str">
        <f t="shared" si="21"/>
        <v>心脏直视消融费</v>
      </c>
      <c r="AH218" s="44">
        <f t="shared" si="22"/>
        <v>7300</v>
      </c>
      <c r="AI218" s="44">
        <f t="shared" si="23"/>
        <v>6570</v>
      </c>
      <c r="AJ218" s="44">
        <f t="shared" si="24"/>
        <v>5585</v>
      </c>
    </row>
    <row r="219" s="44" customFormat="1" ht="38" customHeight="1" spans="1:36">
      <c r="A219" s="55"/>
      <c r="B219" s="55"/>
      <c r="C219" s="56" t="s">
        <v>1139</v>
      </c>
      <c r="D219" s="55"/>
      <c r="E219" s="59"/>
      <c r="F219" s="59"/>
      <c r="G219" s="55"/>
      <c r="H219" s="59"/>
      <c r="I219" s="37"/>
      <c r="J219" s="37"/>
      <c r="K219" s="64"/>
      <c r="L219" s="64"/>
      <c r="M219" s="64"/>
      <c r="N219" s="66">
        <v>7300</v>
      </c>
      <c r="O219" s="66">
        <v>6570</v>
      </c>
      <c r="P219" s="67">
        <v>5585</v>
      </c>
      <c r="Q219" s="55"/>
      <c r="R219" s="55"/>
      <c r="S219" s="74"/>
      <c r="T219" s="64"/>
      <c r="U219" s="59"/>
      <c r="V219" s="76" t="s">
        <v>1145</v>
      </c>
      <c r="W219" s="76">
        <v>33080301601</v>
      </c>
      <c r="X219" s="77" t="s">
        <v>1146</v>
      </c>
      <c r="Y219" s="77"/>
      <c r="Z219" s="77"/>
      <c r="AA219" s="77" t="s">
        <v>54</v>
      </c>
      <c r="AB219" s="77" t="s">
        <v>1147</v>
      </c>
      <c r="AC219" s="88">
        <v>7300</v>
      </c>
      <c r="AD219" s="88">
        <v>6570</v>
      </c>
      <c r="AE219" s="88">
        <v>5255</v>
      </c>
      <c r="AF219" s="44">
        <f t="shared" si="20"/>
        <v>0</v>
      </c>
      <c r="AG219" s="44" t="str">
        <f t="shared" si="21"/>
        <v>心脏直视消融费</v>
      </c>
      <c r="AH219" s="44">
        <f t="shared" si="22"/>
        <v>7300</v>
      </c>
      <c r="AI219" s="44">
        <f t="shared" si="23"/>
        <v>6570</v>
      </c>
      <c r="AJ219" s="44">
        <f t="shared" si="24"/>
        <v>5585</v>
      </c>
    </row>
    <row r="220" s="44" customFormat="1" ht="38" customHeight="1" spans="1:36">
      <c r="A220" s="55" t="s">
        <v>55</v>
      </c>
      <c r="B220" s="55" t="s">
        <v>1148</v>
      </c>
      <c r="C220" s="56" t="s">
        <v>1149</v>
      </c>
      <c r="D220" s="55" t="s">
        <v>350</v>
      </c>
      <c r="E220" s="59" t="s">
        <v>40</v>
      </c>
      <c r="F220" s="59" t="s">
        <v>40</v>
      </c>
      <c r="G220" s="55" t="s">
        <v>54</v>
      </c>
      <c r="H220" s="59" t="s">
        <v>40</v>
      </c>
      <c r="I220" s="30">
        <v>2304</v>
      </c>
      <c r="J220" s="30">
        <v>2074</v>
      </c>
      <c r="K220" s="64"/>
      <c r="L220" s="64"/>
      <c r="M220" s="64"/>
      <c r="N220" s="66">
        <v>2190</v>
      </c>
      <c r="O220" s="66">
        <v>1970</v>
      </c>
      <c r="P220" s="67">
        <v>1675</v>
      </c>
      <c r="Q220" s="55" t="s">
        <v>41</v>
      </c>
      <c r="R220" s="55" t="s">
        <v>40</v>
      </c>
      <c r="S220" s="74" t="s">
        <v>40</v>
      </c>
      <c r="T220" s="64"/>
      <c r="U220" s="59" t="s">
        <v>305</v>
      </c>
      <c r="V220" s="76" t="s">
        <v>1150</v>
      </c>
      <c r="W220" s="76">
        <v>33080301602</v>
      </c>
      <c r="X220" s="77" t="s">
        <v>1151</v>
      </c>
      <c r="Y220" s="77"/>
      <c r="Z220" s="77"/>
      <c r="AA220" s="77" t="s">
        <v>54</v>
      </c>
      <c r="AB220" s="77" t="s">
        <v>40</v>
      </c>
      <c r="AC220" s="88">
        <v>9490</v>
      </c>
      <c r="AD220" s="88">
        <v>8540</v>
      </c>
      <c r="AE220" s="88">
        <v>6830</v>
      </c>
      <c r="AF220" s="44">
        <f t="shared" si="20"/>
        <v>8</v>
      </c>
      <c r="AG220" s="44" t="str">
        <f t="shared" si="21"/>
        <v>心脏直视消融费</v>
      </c>
      <c r="AH220" s="44">
        <f t="shared" si="22"/>
        <v>9490</v>
      </c>
      <c r="AI220" s="44">
        <f t="shared" si="23"/>
        <v>8540</v>
      </c>
      <c r="AJ220" s="44">
        <f t="shared" si="24"/>
        <v>7260</v>
      </c>
    </row>
    <row r="221" s="44" customFormat="1" ht="38" customHeight="1" spans="1:36">
      <c r="A221" s="55"/>
      <c r="B221" s="55"/>
      <c r="C221" s="56" t="s">
        <v>1149</v>
      </c>
      <c r="D221" s="55"/>
      <c r="E221" s="59"/>
      <c r="F221" s="59"/>
      <c r="G221" s="55"/>
      <c r="H221" s="59"/>
      <c r="I221" s="37"/>
      <c r="J221" s="37"/>
      <c r="K221" s="64"/>
      <c r="L221" s="64"/>
      <c r="M221" s="64"/>
      <c r="N221" s="66">
        <v>2190</v>
      </c>
      <c r="O221" s="66">
        <v>1970</v>
      </c>
      <c r="P221" s="67">
        <v>1675</v>
      </c>
      <c r="Q221" s="55"/>
      <c r="R221" s="55"/>
      <c r="S221" s="74"/>
      <c r="T221" s="64"/>
      <c r="U221" s="59"/>
      <c r="V221" s="76" t="s">
        <v>1152</v>
      </c>
      <c r="W221" s="76">
        <v>33080301603</v>
      </c>
      <c r="X221" s="77" t="s">
        <v>1153</v>
      </c>
      <c r="Y221" s="77"/>
      <c r="Z221" s="77"/>
      <c r="AA221" s="77" t="s">
        <v>54</v>
      </c>
      <c r="AB221" s="77" t="s">
        <v>1147</v>
      </c>
      <c r="AC221" s="88">
        <v>9490</v>
      </c>
      <c r="AD221" s="88">
        <v>8540</v>
      </c>
      <c r="AE221" s="88">
        <v>6830</v>
      </c>
      <c r="AF221" s="44">
        <f t="shared" si="20"/>
        <v>8</v>
      </c>
      <c r="AG221" s="44" t="str">
        <f t="shared" si="21"/>
        <v>心脏直视消融费</v>
      </c>
      <c r="AH221" s="44">
        <f t="shared" si="22"/>
        <v>9490</v>
      </c>
      <c r="AI221" s="44">
        <f t="shared" si="23"/>
        <v>8540</v>
      </c>
      <c r="AJ221" s="44">
        <f t="shared" si="24"/>
        <v>7260</v>
      </c>
    </row>
    <row r="222" s="44" customFormat="1" ht="38" customHeight="1" spans="1:36">
      <c r="A222" s="55" t="s">
        <v>55</v>
      </c>
      <c r="B222" s="55" t="s">
        <v>1154</v>
      </c>
      <c r="C222" s="56" t="s">
        <v>1155</v>
      </c>
      <c r="D222" s="55" t="s">
        <v>350</v>
      </c>
      <c r="E222" s="59" t="s">
        <v>40</v>
      </c>
      <c r="F222" s="59" t="s">
        <v>40</v>
      </c>
      <c r="G222" s="55" t="s">
        <v>54</v>
      </c>
      <c r="H222" s="59" t="s">
        <v>40</v>
      </c>
      <c r="I222" s="30">
        <v>800</v>
      </c>
      <c r="J222" s="30">
        <v>720</v>
      </c>
      <c r="K222" s="64"/>
      <c r="L222" s="64"/>
      <c r="M222" s="64"/>
      <c r="N222" s="71">
        <v>720</v>
      </c>
      <c r="O222" s="71">
        <v>650</v>
      </c>
      <c r="P222" s="71">
        <v>550</v>
      </c>
      <c r="Q222" s="55" t="s">
        <v>41</v>
      </c>
      <c r="R222" s="55" t="s">
        <v>40</v>
      </c>
      <c r="S222" s="74" t="s">
        <v>40</v>
      </c>
      <c r="T222" s="64"/>
      <c r="U222" s="59" t="s">
        <v>1156</v>
      </c>
      <c r="V222" s="76" t="s">
        <v>1136</v>
      </c>
      <c r="W222" s="76">
        <v>33080301604</v>
      </c>
      <c r="X222" s="77" t="s">
        <v>1137</v>
      </c>
      <c r="Y222" s="77"/>
      <c r="Z222" s="77"/>
      <c r="AA222" s="77" t="s">
        <v>54</v>
      </c>
      <c r="AB222" s="77" t="s">
        <v>40</v>
      </c>
      <c r="AC222" s="88">
        <v>7925</v>
      </c>
      <c r="AD222" s="88">
        <v>7170</v>
      </c>
      <c r="AE222" s="88">
        <v>5765</v>
      </c>
      <c r="AF222" s="44">
        <f t="shared" si="20"/>
        <v>0</v>
      </c>
      <c r="AG222" s="44" t="str">
        <f t="shared" si="21"/>
        <v>心脏直视消融费-微创手术（加收）</v>
      </c>
      <c r="AH222" s="44">
        <f t="shared" si="22"/>
        <v>720</v>
      </c>
      <c r="AI222" s="44">
        <f t="shared" si="23"/>
        <v>650</v>
      </c>
      <c r="AJ222" s="44">
        <f t="shared" si="24"/>
        <v>550</v>
      </c>
    </row>
    <row r="223" s="44" customFormat="1" ht="38" customHeight="1" spans="1:36">
      <c r="A223" s="55"/>
      <c r="B223" s="55"/>
      <c r="C223" s="56" t="s">
        <v>1155</v>
      </c>
      <c r="D223" s="55"/>
      <c r="E223" s="59"/>
      <c r="F223" s="59"/>
      <c r="G223" s="55"/>
      <c r="H223" s="59"/>
      <c r="I223" s="37"/>
      <c r="J223" s="37"/>
      <c r="K223" s="64"/>
      <c r="L223" s="64"/>
      <c r="M223" s="64"/>
      <c r="N223" s="71">
        <v>720</v>
      </c>
      <c r="O223" s="71">
        <v>650</v>
      </c>
      <c r="P223" s="71">
        <v>550</v>
      </c>
      <c r="Q223" s="55"/>
      <c r="R223" s="55"/>
      <c r="S223" s="74"/>
      <c r="T223" s="64"/>
      <c r="U223" s="59"/>
      <c r="V223" s="76" t="s">
        <v>1157</v>
      </c>
      <c r="W223" s="76">
        <v>33080301605</v>
      </c>
      <c r="X223" s="77" t="s">
        <v>1158</v>
      </c>
      <c r="Y223" s="77"/>
      <c r="Z223" s="77"/>
      <c r="AA223" s="77" t="s">
        <v>54</v>
      </c>
      <c r="AB223" s="77" t="s">
        <v>40</v>
      </c>
      <c r="AC223" s="88">
        <v>10115</v>
      </c>
      <c r="AD223" s="88">
        <v>9140</v>
      </c>
      <c r="AE223" s="88">
        <v>7340</v>
      </c>
      <c r="AF223" s="44">
        <f t="shared" si="20"/>
        <v>0</v>
      </c>
      <c r="AG223" s="44" t="str">
        <f t="shared" si="21"/>
        <v>心脏直视消融费-微创手术（加收）</v>
      </c>
      <c r="AH223" s="44">
        <f t="shared" si="22"/>
        <v>720</v>
      </c>
      <c r="AI223" s="44">
        <f t="shared" si="23"/>
        <v>650</v>
      </c>
      <c r="AJ223" s="44">
        <f t="shared" si="24"/>
        <v>550</v>
      </c>
    </row>
    <row r="224" s="44" customFormat="1" ht="38" customHeight="1" spans="1:36">
      <c r="A224" s="55">
        <v>73</v>
      </c>
      <c r="B224" s="55" t="s">
        <v>1159</v>
      </c>
      <c r="C224" s="56" t="s">
        <v>1160</v>
      </c>
      <c r="D224" s="55" t="s">
        <v>350</v>
      </c>
      <c r="E224" s="59" t="s">
        <v>1161</v>
      </c>
      <c r="F224" s="59" t="s">
        <v>1162</v>
      </c>
      <c r="G224" s="55" t="s">
        <v>54</v>
      </c>
      <c r="H224" s="59" t="s">
        <v>1163</v>
      </c>
      <c r="I224" s="30">
        <v>7950</v>
      </c>
      <c r="J224" s="30">
        <v>7155</v>
      </c>
      <c r="K224" s="64"/>
      <c r="L224" s="64"/>
      <c r="M224" s="64"/>
      <c r="N224" s="66">
        <v>7200</v>
      </c>
      <c r="O224" s="66">
        <v>6500</v>
      </c>
      <c r="P224" s="66">
        <v>5500</v>
      </c>
      <c r="Q224" s="55" t="s">
        <v>41</v>
      </c>
      <c r="R224" s="55" t="s">
        <v>40</v>
      </c>
      <c r="S224" s="74" t="s">
        <v>40</v>
      </c>
      <c r="T224" s="64" t="s">
        <v>355</v>
      </c>
      <c r="U224" s="59" t="s">
        <v>1011</v>
      </c>
      <c r="V224" s="76" t="s">
        <v>1164</v>
      </c>
      <c r="W224" s="76">
        <v>330801022</v>
      </c>
      <c r="X224" s="77" t="s">
        <v>1165</v>
      </c>
      <c r="Y224" s="77" t="s">
        <v>1166</v>
      </c>
      <c r="Z224" s="77"/>
      <c r="AA224" s="77" t="s">
        <v>54</v>
      </c>
      <c r="AB224" s="77" t="s">
        <v>40</v>
      </c>
      <c r="AC224" s="88">
        <v>6190</v>
      </c>
      <c r="AD224" s="88">
        <v>5570</v>
      </c>
      <c r="AE224" s="88">
        <v>4730</v>
      </c>
      <c r="AF224" s="44">
        <f t="shared" si="20"/>
        <v>0</v>
      </c>
      <c r="AG224" s="44" t="str">
        <f t="shared" si="21"/>
        <v>法洛四联症矫治费</v>
      </c>
      <c r="AH224" s="44">
        <f t="shared" si="22"/>
        <v>7200</v>
      </c>
      <c r="AI224" s="44">
        <f t="shared" si="23"/>
        <v>6500</v>
      </c>
      <c r="AJ224" s="44">
        <f t="shared" si="24"/>
        <v>5500</v>
      </c>
    </row>
    <row r="225" s="44" customFormat="1" ht="38" customHeight="1" spans="1:36">
      <c r="A225" s="55"/>
      <c r="B225" s="55"/>
      <c r="C225" s="56" t="s">
        <v>1160</v>
      </c>
      <c r="D225" s="55"/>
      <c r="E225" s="59"/>
      <c r="F225" s="59"/>
      <c r="G225" s="55"/>
      <c r="H225" s="59"/>
      <c r="I225" s="37"/>
      <c r="J225" s="37"/>
      <c r="K225" s="64"/>
      <c r="L225" s="64"/>
      <c r="M225" s="64"/>
      <c r="N225" s="66">
        <v>7200</v>
      </c>
      <c r="O225" s="66">
        <v>6500</v>
      </c>
      <c r="P225" s="66">
        <v>5500</v>
      </c>
      <c r="Q225" s="55"/>
      <c r="R225" s="55"/>
      <c r="S225" s="74"/>
      <c r="T225" s="64"/>
      <c r="U225" s="59"/>
      <c r="V225" s="76" t="s">
        <v>1167</v>
      </c>
      <c r="W225" s="76">
        <v>330801023</v>
      </c>
      <c r="X225" s="77" t="s">
        <v>1168</v>
      </c>
      <c r="Y225" s="77" t="s">
        <v>1169</v>
      </c>
      <c r="Z225" s="77"/>
      <c r="AA225" s="77" t="s">
        <v>54</v>
      </c>
      <c r="AB225" s="77" t="s">
        <v>40</v>
      </c>
      <c r="AC225" s="88">
        <v>7980</v>
      </c>
      <c r="AD225" s="88">
        <v>7180</v>
      </c>
      <c r="AE225" s="88">
        <v>5740</v>
      </c>
      <c r="AF225" s="44">
        <f t="shared" si="20"/>
        <v>0</v>
      </c>
      <c r="AG225" s="44" t="str">
        <f t="shared" si="21"/>
        <v>法洛四联症矫治费</v>
      </c>
      <c r="AH225" s="44">
        <f t="shared" si="22"/>
        <v>7200</v>
      </c>
      <c r="AI225" s="44">
        <f t="shared" si="23"/>
        <v>6500</v>
      </c>
      <c r="AJ225" s="44">
        <f t="shared" si="24"/>
        <v>5500</v>
      </c>
    </row>
    <row r="226" s="44" customFormat="1" ht="38" customHeight="1" spans="1:36">
      <c r="A226" s="55"/>
      <c r="B226" s="55"/>
      <c r="C226" s="56" t="s">
        <v>1160</v>
      </c>
      <c r="D226" s="55"/>
      <c r="E226" s="59"/>
      <c r="F226" s="59"/>
      <c r="G226" s="55"/>
      <c r="H226" s="59"/>
      <c r="I226" s="37"/>
      <c r="J226" s="37"/>
      <c r="K226" s="64"/>
      <c r="L226" s="64"/>
      <c r="M226" s="64"/>
      <c r="N226" s="66">
        <v>7200</v>
      </c>
      <c r="O226" s="66">
        <v>6500</v>
      </c>
      <c r="P226" s="66">
        <v>5500</v>
      </c>
      <c r="Q226" s="55"/>
      <c r="R226" s="55"/>
      <c r="S226" s="74"/>
      <c r="T226" s="64"/>
      <c r="U226" s="59"/>
      <c r="V226" s="76" t="s">
        <v>1170</v>
      </c>
      <c r="W226" s="76">
        <v>330801024</v>
      </c>
      <c r="X226" s="77" t="s">
        <v>1171</v>
      </c>
      <c r="Y226" s="77" t="s">
        <v>1172</v>
      </c>
      <c r="Z226" s="77"/>
      <c r="AA226" s="77" t="s">
        <v>54</v>
      </c>
      <c r="AB226" s="77" t="s">
        <v>40</v>
      </c>
      <c r="AC226" s="88">
        <v>7550</v>
      </c>
      <c r="AD226" s="88">
        <v>6795</v>
      </c>
      <c r="AE226" s="88">
        <v>5435</v>
      </c>
      <c r="AF226" s="44">
        <f t="shared" si="20"/>
        <v>0</v>
      </c>
      <c r="AG226" s="44" t="str">
        <f t="shared" si="21"/>
        <v>法洛四联症矫治费</v>
      </c>
      <c r="AH226" s="44">
        <f t="shared" si="22"/>
        <v>7200</v>
      </c>
      <c r="AI226" s="44">
        <f t="shared" si="23"/>
        <v>6500</v>
      </c>
      <c r="AJ226" s="44">
        <f t="shared" si="24"/>
        <v>5500</v>
      </c>
    </row>
    <row r="227" s="44" customFormat="1" ht="38" customHeight="1" spans="1:36">
      <c r="A227" s="55"/>
      <c r="B227" s="55"/>
      <c r="C227" s="56" t="s">
        <v>1160</v>
      </c>
      <c r="D227" s="55"/>
      <c r="E227" s="59"/>
      <c r="F227" s="59"/>
      <c r="G227" s="55"/>
      <c r="H227" s="59"/>
      <c r="I227" s="37"/>
      <c r="J227" s="37"/>
      <c r="K227" s="64"/>
      <c r="L227" s="64"/>
      <c r="M227" s="64"/>
      <c r="N227" s="66">
        <v>7200</v>
      </c>
      <c r="O227" s="66">
        <v>6500</v>
      </c>
      <c r="P227" s="66">
        <v>5500</v>
      </c>
      <c r="Q227" s="55"/>
      <c r="R227" s="55"/>
      <c r="S227" s="74"/>
      <c r="T227" s="64"/>
      <c r="U227" s="59"/>
      <c r="V227" s="76" t="s">
        <v>1173</v>
      </c>
      <c r="W227" s="76">
        <v>330801025</v>
      </c>
      <c r="X227" s="77" t="s">
        <v>1174</v>
      </c>
      <c r="Y227" s="77" t="s">
        <v>1175</v>
      </c>
      <c r="Z227" s="77"/>
      <c r="AA227" s="77" t="s">
        <v>54</v>
      </c>
      <c r="AB227" s="77" t="s">
        <v>40</v>
      </c>
      <c r="AC227" s="88">
        <v>6840</v>
      </c>
      <c r="AD227" s="88">
        <v>6150</v>
      </c>
      <c r="AE227" s="88">
        <v>4920</v>
      </c>
      <c r="AF227" s="44">
        <f t="shared" si="20"/>
        <v>0</v>
      </c>
      <c r="AG227" s="44" t="str">
        <f t="shared" si="21"/>
        <v>法洛四联症矫治费</v>
      </c>
      <c r="AH227" s="44">
        <f t="shared" si="22"/>
        <v>7200</v>
      </c>
      <c r="AI227" s="44">
        <f t="shared" si="23"/>
        <v>6500</v>
      </c>
      <c r="AJ227" s="44">
        <f t="shared" si="24"/>
        <v>5500</v>
      </c>
    </row>
    <row r="228" s="44" customFormat="1" ht="38" customHeight="1" spans="1:36">
      <c r="A228" s="55"/>
      <c r="B228" s="55"/>
      <c r="C228" s="56" t="s">
        <v>1160</v>
      </c>
      <c r="D228" s="55"/>
      <c r="E228" s="59"/>
      <c r="F228" s="59"/>
      <c r="G228" s="55"/>
      <c r="H228" s="59"/>
      <c r="I228" s="37"/>
      <c r="J228" s="37"/>
      <c r="K228" s="64"/>
      <c r="L228" s="64"/>
      <c r="M228" s="64"/>
      <c r="N228" s="66">
        <v>7200</v>
      </c>
      <c r="O228" s="66">
        <v>6500</v>
      </c>
      <c r="P228" s="66">
        <v>5500</v>
      </c>
      <c r="Q228" s="55"/>
      <c r="R228" s="55"/>
      <c r="S228" s="74"/>
      <c r="T228" s="64"/>
      <c r="U228" s="59"/>
      <c r="V228" s="76" t="s">
        <v>1176</v>
      </c>
      <c r="W228" s="76">
        <v>330801026</v>
      </c>
      <c r="X228" s="77" t="s">
        <v>1177</v>
      </c>
      <c r="Y228" s="77" t="s">
        <v>1178</v>
      </c>
      <c r="Z228" s="77"/>
      <c r="AA228" s="77" t="s">
        <v>54</v>
      </c>
      <c r="AB228" s="77" t="s">
        <v>40</v>
      </c>
      <c r="AC228" s="88">
        <v>15000</v>
      </c>
      <c r="AD228" s="88">
        <v>13500</v>
      </c>
      <c r="AE228" s="88">
        <v>11475</v>
      </c>
      <c r="AF228" s="44">
        <f t="shared" si="20"/>
        <v>0</v>
      </c>
      <c r="AG228" s="44" t="str">
        <f t="shared" si="21"/>
        <v>法洛四联症矫治费</v>
      </c>
      <c r="AH228" s="44">
        <f t="shared" si="22"/>
        <v>7200</v>
      </c>
      <c r="AI228" s="44">
        <f t="shared" si="23"/>
        <v>6500</v>
      </c>
      <c r="AJ228" s="44">
        <f t="shared" si="24"/>
        <v>5500</v>
      </c>
    </row>
    <row r="229" s="44" customFormat="1" ht="38" customHeight="1" spans="1:36">
      <c r="A229" s="55" t="s">
        <v>55</v>
      </c>
      <c r="B229" s="55" t="s">
        <v>1179</v>
      </c>
      <c r="C229" s="56" t="s">
        <v>1180</v>
      </c>
      <c r="D229" s="55" t="s">
        <v>350</v>
      </c>
      <c r="E229" s="59" t="s">
        <v>40</v>
      </c>
      <c r="F229" s="59" t="s">
        <v>40</v>
      </c>
      <c r="G229" s="55" t="s">
        <v>54</v>
      </c>
      <c r="H229" s="59" t="s">
        <v>40</v>
      </c>
      <c r="I229" s="30">
        <v>2385</v>
      </c>
      <c r="J229" s="30">
        <v>2147</v>
      </c>
      <c r="K229" s="64"/>
      <c r="L229" s="64"/>
      <c r="M229" s="64"/>
      <c r="N229" s="66">
        <v>2160</v>
      </c>
      <c r="O229" s="66">
        <v>1950</v>
      </c>
      <c r="P229" s="66">
        <v>1650</v>
      </c>
      <c r="Q229" s="55" t="s">
        <v>41</v>
      </c>
      <c r="R229" s="55" t="s">
        <v>40</v>
      </c>
      <c r="S229" s="74" t="s">
        <v>40</v>
      </c>
      <c r="T229" s="64"/>
      <c r="U229" s="59" t="s">
        <v>305</v>
      </c>
      <c r="V229" s="76" t="s">
        <v>1181</v>
      </c>
      <c r="W229" s="76">
        <v>33080102201</v>
      </c>
      <c r="X229" s="77" t="s">
        <v>1182</v>
      </c>
      <c r="Y229" s="77"/>
      <c r="Z229" s="77"/>
      <c r="AA229" s="77" t="s">
        <v>54</v>
      </c>
      <c r="AB229" s="77" t="s">
        <v>40</v>
      </c>
      <c r="AC229" s="88">
        <v>8045</v>
      </c>
      <c r="AD229" s="88">
        <v>7240</v>
      </c>
      <c r="AE229" s="88">
        <v>6155</v>
      </c>
      <c r="AF229" s="44">
        <f t="shared" si="20"/>
        <v>9</v>
      </c>
      <c r="AG229" s="44" t="str">
        <f t="shared" si="21"/>
        <v>法洛四联症矫治费</v>
      </c>
      <c r="AH229" s="44">
        <f t="shared" si="22"/>
        <v>9360</v>
      </c>
      <c r="AI229" s="44">
        <f t="shared" si="23"/>
        <v>8450</v>
      </c>
      <c r="AJ229" s="44">
        <f t="shared" si="24"/>
        <v>7150</v>
      </c>
    </row>
    <row r="230" s="44" customFormat="1" ht="38" customHeight="1" spans="1:36">
      <c r="A230" s="55"/>
      <c r="B230" s="55"/>
      <c r="C230" s="56" t="s">
        <v>1180</v>
      </c>
      <c r="D230" s="55"/>
      <c r="E230" s="59"/>
      <c r="F230" s="59"/>
      <c r="G230" s="55"/>
      <c r="H230" s="59"/>
      <c r="I230" s="37"/>
      <c r="J230" s="37"/>
      <c r="K230" s="64"/>
      <c r="L230" s="64"/>
      <c r="M230" s="64"/>
      <c r="N230" s="66">
        <v>2160</v>
      </c>
      <c r="O230" s="66">
        <v>1950</v>
      </c>
      <c r="P230" s="66">
        <v>1650</v>
      </c>
      <c r="Q230" s="55"/>
      <c r="R230" s="55"/>
      <c r="S230" s="74"/>
      <c r="T230" s="64"/>
      <c r="U230" s="59"/>
      <c r="V230" s="76" t="s">
        <v>1183</v>
      </c>
      <c r="W230" s="76">
        <v>33080102301</v>
      </c>
      <c r="X230" s="77" t="s">
        <v>1184</v>
      </c>
      <c r="Y230" s="77"/>
      <c r="Z230" s="77"/>
      <c r="AA230" s="77" t="s">
        <v>54</v>
      </c>
      <c r="AB230" s="77" t="s">
        <v>40</v>
      </c>
      <c r="AC230" s="88">
        <v>10375</v>
      </c>
      <c r="AD230" s="88">
        <v>9335</v>
      </c>
      <c r="AE230" s="88">
        <v>7460</v>
      </c>
      <c r="AF230" s="44">
        <f t="shared" si="20"/>
        <v>9</v>
      </c>
      <c r="AG230" s="44" t="str">
        <f t="shared" si="21"/>
        <v>法洛四联症矫治费</v>
      </c>
      <c r="AH230" s="44">
        <f t="shared" si="22"/>
        <v>9360</v>
      </c>
      <c r="AI230" s="44">
        <f t="shared" si="23"/>
        <v>8450</v>
      </c>
      <c r="AJ230" s="44">
        <f t="shared" si="24"/>
        <v>7150</v>
      </c>
    </row>
    <row r="231" s="44" customFormat="1" ht="38" customHeight="1" spans="1:36">
      <c r="A231" s="55"/>
      <c r="B231" s="55"/>
      <c r="C231" s="56" t="s">
        <v>1180</v>
      </c>
      <c r="D231" s="55"/>
      <c r="E231" s="59"/>
      <c r="F231" s="59"/>
      <c r="G231" s="55"/>
      <c r="H231" s="59"/>
      <c r="I231" s="37"/>
      <c r="J231" s="37"/>
      <c r="K231" s="64"/>
      <c r="L231" s="64"/>
      <c r="M231" s="64"/>
      <c r="N231" s="66">
        <v>2160</v>
      </c>
      <c r="O231" s="66">
        <v>1950</v>
      </c>
      <c r="P231" s="66">
        <v>1650</v>
      </c>
      <c r="Q231" s="55"/>
      <c r="R231" s="55"/>
      <c r="S231" s="74"/>
      <c r="T231" s="64"/>
      <c r="U231" s="59"/>
      <c r="V231" s="76" t="s">
        <v>1185</v>
      </c>
      <c r="W231" s="76">
        <v>33080102401</v>
      </c>
      <c r="X231" s="77" t="s">
        <v>1186</v>
      </c>
      <c r="Y231" s="77"/>
      <c r="Z231" s="77"/>
      <c r="AA231" s="77" t="s">
        <v>54</v>
      </c>
      <c r="AB231" s="77" t="s">
        <v>40</v>
      </c>
      <c r="AC231" s="88">
        <v>9815</v>
      </c>
      <c r="AD231" s="88">
        <v>8835</v>
      </c>
      <c r="AE231" s="88">
        <v>7065</v>
      </c>
      <c r="AF231" s="44">
        <f t="shared" si="20"/>
        <v>9</v>
      </c>
      <c r="AG231" s="44" t="str">
        <f t="shared" si="21"/>
        <v>法洛四联症矫治费</v>
      </c>
      <c r="AH231" s="44">
        <f t="shared" si="22"/>
        <v>9360</v>
      </c>
      <c r="AI231" s="44">
        <f t="shared" si="23"/>
        <v>8450</v>
      </c>
      <c r="AJ231" s="44">
        <f t="shared" si="24"/>
        <v>7150</v>
      </c>
    </row>
    <row r="232" s="44" customFormat="1" ht="38" customHeight="1" spans="1:36">
      <c r="A232" s="55"/>
      <c r="B232" s="55"/>
      <c r="C232" s="56" t="s">
        <v>1180</v>
      </c>
      <c r="D232" s="55"/>
      <c r="E232" s="59"/>
      <c r="F232" s="59"/>
      <c r="G232" s="55"/>
      <c r="H232" s="59"/>
      <c r="I232" s="37"/>
      <c r="J232" s="37"/>
      <c r="K232" s="64"/>
      <c r="L232" s="64"/>
      <c r="M232" s="64"/>
      <c r="N232" s="66">
        <v>2160</v>
      </c>
      <c r="O232" s="66">
        <v>1950</v>
      </c>
      <c r="P232" s="66">
        <v>1650</v>
      </c>
      <c r="Q232" s="55"/>
      <c r="R232" s="55"/>
      <c r="S232" s="74"/>
      <c r="T232" s="64"/>
      <c r="U232" s="59"/>
      <c r="V232" s="76" t="s">
        <v>1187</v>
      </c>
      <c r="W232" s="76">
        <v>33080102501</v>
      </c>
      <c r="X232" s="77" t="s">
        <v>1188</v>
      </c>
      <c r="Y232" s="77"/>
      <c r="Z232" s="77"/>
      <c r="AA232" s="77" t="s">
        <v>54</v>
      </c>
      <c r="AB232" s="77" t="s">
        <v>40</v>
      </c>
      <c r="AC232" s="88">
        <v>8890</v>
      </c>
      <c r="AD232" s="88">
        <v>7995</v>
      </c>
      <c r="AE232" s="88">
        <v>6395</v>
      </c>
      <c r="AF232" s="44">
        <f t="shared" si="20"/>
        <v>9</v>
      </c>
      <c r="AG232" s="44" t="str">
        <f t="shared" si="21"/>
        <v>法洛四联症矫治费</v>
      </c>
      <c r="AH232" s="44">
        <f t="shared" si="22"/>
        <v>9360</v>
      </c>
      <c r="AI232" s="44">
        <f t="shared" si="23"/>
        <v>8450</v>
      </c>
      <c r="AJ232" s="44">
        <f t="shared" si="24"/>
        <v>7150</v>
      </c>
    </row>
    <row r="233" s="44" customFormat="1" ht="38" customHeight="1" spans="1:36">
      <c r="A233" s="55"/>
      <c r="B233" s="55"/>
      <c r="C233" s="56" t="s">
        <v>1180</v>
      </c>
      <c r="D233" s="55"/>
      <c r="E233" s="59"/>
      <c r="F233" s="59"/>
      <c r="G233" s="55"/>
      <c r="H233" s="59"/>
      <c r="I233" s="37"/>
      <c r="J233" s="37"/>
      <c r="K233" s="64"/>
      <c r="L233" s="64"/>
      <c r="M233" s="64"/>
      <c r="N233" s="66">
        <v>2160</v>
      </c>
      <c r="O233" s="66">
        <v>1950</v>
      </c>
      <c r="P233" s="66">
        <v>1650</v>
      </c>
      <c r="Q233" s="55"/>
      <c r="R233" s="55"/>
      <c r="S233" s="74"/>
      <c r="T233" s="64"/>
      <c r="U233" s="59"/>
      <c r="V233" s="76" t="s">
        <v>1189</v>
      </c>
      <c r="W233" s="76">
        <v>33080102601</v>
      </c>
      <c r="X233" s="77" t="s">
        <v>1190</v>
      </c>
      <c r="Y233" s="77"/>
      <c r="Z233" s="77"/>
      <c r="AA233" s="77" t="s">
        <v>54</v>
      </c>
      <c r="AB233" s="77" t="s">
        <v>40</v>
      </c>
      <c r="AC233" s="88">
        <v>19500</v>
      </c>
      <c r="AD233" s="88">
        <v>17550</v>
      </c>
      <c r="AE233" s="88">
        <v>14920</v>
      </c>
      <c r="AF233" s="44">
        <f t="shared" si="20"/>
        <v>9</v>
      </c>
      <c r="AG233" s="44" t="str">
        <f t="shared" si="21"/>
        <v>法洛四联症矫治费</v>
      </c>
      <c r="AH233" s="44">
        <f t="shared" si="22"/>
        <v>9360</v>
      </c>
      <c r="AI233" s="44">
        <f t="shared" si="23"/>
        <v>8450</v>
      </c>
      <c r="AJ233" s="44">
        <f t="shared" si="24"/>
        <v>7150</v>
      </c>
    </row>
    <row r="234" s="44" customFormat="1" ht="38" customHeight="1" spans="1:36">
      <c r="A234" s="55">
        <v>74</v>
      </c>
      <c r="B234" s="55" t="s">
        <v>1191</v>
      </c>
      <c r="C234" s="56" t="s">
        <v>1192</v>
      </c>
      <c r="D234" s="55" t="s">
        <v>350</v>
      </c>
      <c r="E234" s="59" t="s">
        <v>1193</v>
      </c>
      <c r="F234" s="59" t="s">
        <v>1089</v>
      </c>
      <c r="G234" s="55" t="s">
        <v>54</v>
      </c>
      <c r="H234" s="59" t="s">
        <v>40</v>
      </c>
      <c r="I234" s="30">
        <v>3270</v>
      </c>
      <c r="J234" s="30">
        <v>2943</v>
      </c>
      <c r="K234" s="64">
        <v>2940</v>
      </c>
      <c r="L234" s="64"/>
      <c r="M234" s="64"/>
      <c r="N234" s="66">
        <v>2940</v>
      </c>
      <c r="O234" s="66">
        <v>2650</v>
      </c>
      <c r="P234" s="66">
        <v>2250</v>
      </c>
      <c r="Q234" s="55" t="s">
        <v>41</v>
      </c>
      <c r="R234" s="55" t="s">
        <v>40</v>
      </c>
      <c r="S234" s="74" t="s">
        <v>40</v>
      </c>
      <c r="T234" s="64" t="s">
        <v>183</v>
      </c>
      <c r="U234" s="59" t="s">
        <v>1194</v>
      </c>
      <c r="V234" s="76" t="s">
        <v>1195</v>
      </c>
      <c r="W234" s="76">
        <v>330801017</v>
      </c>
      <c r="X234" s="77" t="s">
        <v>1196</v>
      </c>
      <c r="Y234" s="77" t="s">
        <v>1197</v>
      </c>
      <c r="Z234" s="77" t="s">
        <v>583</v>
      </c>
      <c r="AA234" s="77" t="s">
        <v>54</v>
      </c>
      <c r="AB234" s="77" t="s">
        <v>40</v>
      </c>
      <c r="AC234" s="88">
        <v>2450</v>
      </c>
      <c r="AD234" s="88">
        <v>2280</v>
      </c>
      <c r="AE234" s="88">
        <v>1938</v>
      </c>
      <c r="AF234" s="44">
        <f t="shared" si="20"/>
        <v>0</v>
      </c>
      <c r="AG234" s="44" t="str">
        <f t="shared" si="21"/>
        <v>房间隔缺损修补费</v>
      </c>
      <c r="AH234" s="44">
        <f t="shared" si="22"/>
        <v>2940</v>
      </c>
      <c r="AI234" s="44">
        <f t="shared" si="23"/>
        <v>2650</v>
      </c>
      <c r="AJ234" s="44">
        <f t="shared" si="24"/>
        <v>2250</v>
      </c>
    </row>
    <row r="235" s="44" customFormat="1" ht="38" customHeight="1" spans="1:36">
      <c r="A235" s="55"/>
      <c r="B235" s="55"/>
      <c r="C235" s="56" t="s">
        <v>1192</v>
      </c>
      <c r="D235" s="55"/>
      <c r="E235" s="59"/>
      <c r="F235" s="59"/>
      <c r="G235" s="55"/>
      <c r="H235" s="59"/>
      <c r="I235" s="37"/>
      <c r="J235" s="37"/>
      <c r="K235" s="64"/>
      <c r="L235" s="64"/>
      <c r="M235" s="64"/>
      <c r="N235" s="66">
        <v>2940</v>
      </c>
      <c r="O235" s="66">
        <v>2650</v>
      </c>
      <c r="P235" s="66">
        <v>2250</v>
      </c>
      <c r="Q235" s="55"/>
      <c r="R235" s="55"/>
      <c r="S235" s="74"/>
      <c r="T235" s="64"/>
      <c r="U235" s="59"/>
      <c r="V235" s="76" t="s">
        <v>1198</v>
      </c>
      <c r="W235" s="76">
        <v>330802010</v>
      </c>
      <c r="X235" s="77" t="s">
        <v>1199</v>
      </c>
      <c r="Y235" s="77"/>
      <c r="Z235" s="77"/>
      <c r="AA235" s="77" t="s">
        <v>54</v>
      </c>
      <c r="AB235" s="77" t="s">
        <v>40</v>
      </c>
      <c r="AC235" s="88">
        <v>5060</v>
      </c>
      <c r="AD235" s="88">
        <v>4550</v>
      </c>
      <c r="AE235" s="88">
        <v>3870</v>
      </c>
      <c r="AF235" s="44">
        <f t="shared" si="20"/>
        <v>0</v>
      </c>
      <c r="AG235" s="44" t="str">
        <f t="shared" si="21"/>
        <v>房间隔缺损修补费</v>
      </c>
      <c r="AH235" s="44">
        <f t="shared" si="22"/>
        <v>2940</v>
      </c>
      <c r="AI235" s="44">
        <f t="shared" si="23"/>
        <v>2650</v>
      </c>
      <c r="AJ235" s="44">
        <f t="shared" si="24"/>
        <v>2250</v>
      </c>
    </row>
    <row r="236" s="44" customFormat="1" ht="38" customHeight="1" spans="1:36">
      <c r="A236" s="55"/>
      <c r="B236" s="55"/>
      <c r="C236" s="56" t="s">
        <v>1192</v>
      </c>
      <c r="D236" s="55"/>
      <c r="E236" s="59"/>
      <c r="F236" s="59"/>
      <c r="G236" s="55"/>
      <c r="H236" s="59"/>
      <c r="I236" s="37"/>
      <c r="J236" s="37"/>
      <c r="K236" s="64"/>
      <c r="L236" s="64"/>
      <c r="M236" s="64"/>
      <c r="N236" s="66">
        <v>2940</v>
      </c>
      <c r="O236" s="66">
        <v>2650</v>
      </c>
      <c r="P236" s="66">
        <v>2250</v>
      </c>
      <c r="Q236" s="55"/>
      <c r="R236" s="55"/>
      <c r="S236" s="74"/>
      <c r="T236" s="64"/>
      <c r="U236" s="59"/>
      <c r="V236" s="76" t="s">
        <v>1200</v>
      </c>
      <c r="W236" s="76">
        <v>330801021</v>
      </c>
      <c r="X236" s="77" t="s">
        <v>1201</v>
      </c>
      <c r="Y236" s="77"/>
      <c r="Z236" s="77"/>
      <c r="AA236" s="77" t="s">
        <v>54</v>
      </c>
      <c r="AB236" s="77" t="s">
        <v>40</v>
      </c>
      <c r="AC236" s="88">
        <v>3150</v>
      </c>
      <c r="AD236" s="88">
        <v>2850</v>
      </c>
      <c r="AE236" s="88">
        <v>2420</v>
      </c>
      <c r="AF236" s="44">
        <f t="shared" si="20"/>
        <v>0</v>
      </c>
      <c r="AG236" s="44" t="str">
        <f t="shared" si="21"/>
        <v>房间隔缺损修补费</v>
      </c>
      <c r="AH236" s="44">
        <f t="shared" si="22"/>
        <v>2940</v>
      </c>
      <c r="AI236" s="44">
        <f t="shared" si="23"/>
        <v>2650</v>
      </c>
      <c r="AJ236" s="44">
        <f t="shared" si="24"/>
        <v>2250</v>
      </c>
    </row>
    <row r="237" s="44" customFormat="1" ht="38" customHeight="1" spans="1:36">
      <c r="A237" s="55" t="s">
        <v>55</v>
      </c>
      <c r="B237" s="55" t="s">
        <v>1202</v>
      </c>
      <c r="C237" s="56" t="s">
        <v>1203</v>
      </c>
      <c r="D237" s="55" t="s">
        <v>350</v>
      </c>
      <c r="E237" s="59" t="s">
        <v>40</v>
      </c>
      <c r="F237" s="59" t="s">
        <v>40</v>
      </c>
      <c r="G237" s="55" t="s">
        <v>54</v>
      </c>
      <c r="H237" s="59" t="s">
        <v>40</v>
      </c>
      <c r="I237" s="30">
        <v>981</v>
      </c>
      <c r="J237" s="30">
        <v>883</v>
      </c>
      <c r="K237" s="64">
        <v>735</v>
      </c>
      <c r="L237" s="64"/>
      <c r="M237" s="64"/>
      <c r="N237" s="91">
        <v>880</v>
      </c>
      <c r="O237" s="91">
        <v>795</v>
      </c>
      <c r="P237" s="91">
        <v>675</v>
      </c>
      <c r="Q237" s="55" t="s">
        <v>41</v>
      </c>
      <c r="R237" s="55" t="s">
        <v>40</v>
      </c>
      <c r="S237" s="74" t="s">
        <v>40</v>
      </c>
      <c r="T237" s="64"/>
      <c r="U237" s="59" t="s">
        <v>305</v>
      </c>
      <c r="V237" s="76" t="s">
        <v>1204</v>
      </c>
      <c r="W237" s="76">
        <v>33080101701</v>
      </c>
      <c r="X237" s="77" t="s">
        <v>1205</v>
      </c>
      <c r="Y237" s="77"/>
      <c r="Z237" s="77"/>
      <c r="AA237" s="77" t="s">
        <v>54</v>
      </c>
      <c r="AB237" s="77" t="s">
        <v>40</v>
      </c>
      <c r="AC237" s="88">
        <v>3185</v>
      </c>
      <c r="AD237" s="88">
        <v>2965</v>
      </c>
      <c r="AE237" s="88">
        <v>2520</v>
      </c>
      <c r="AF237" s="44">
        <f t="shared" si="20"/>
        <v>9</v>
      </c>
      <c r="AG237" s="44" t="str">
        <f t="shared" si="21"/>
        <v>房间隔缺损修补费</v>
      </c>
      <c r="AH237" s="44">
        <f t="shared" si="22"/>
        <v>3820</v>
      </c>
      <c r="AI237" s="44">
        <f t="shared" si="23"/>
        <v>3445</v>
      </c>
      <c r="AJ237" s="44">
        <f t="shared" si="24"/>
        <v>2925</v>
      </c>
    </row>
    <row r="238" s="44" customFormat="1" ht="38" customHeight="1" spans="1:36">
      <c r="A238" s="55"/>
      <c r="B238" s="55"/>
      <c r="C238" s="56" t="s">
        <v>1203</v>
      </c>
      <c r="D238" s="55"/>
      <c r="E238" s="59"/>
      <c r="F238" s="59"/>
      <c r="G238" s="55"/>
      <c r="H238" s="59"/>
      <c r="I238" s="37"/>
      <c r="J238" s="37"/>
      <c r="K238" s="64"/>
      <c r="L238" s="64"/>
      <c r="M238" s="64"/>
      <c r="N238" s="91">
        <v>880</v>
      </c>
      <c r="O238" s="91">
        <v>795</v>
      </c>
      <c r="P238" s="91">
        <v>675</v>
      </c>
      <c r="Q238" s="55"/>
      <c r="R238" s="55"/>
      <c r="S238" s="74"/>
      <c r="T238" s="64"/>
      <c r="U238" s="59"/>
      <c r="V238" s="76" t="s">
        <v>1206</v>
      </c>
      <c r="W238" s="76">
        <v>33080201001</v>
      </c>
      <c r="X238" s="77" t="s">
        <v>1207</v>
      </c>
      <c r="Y238" s="77"/>
      <c r="Z238" s="77"/>
      <c r="AA238" s="77" t="s">
        <v>54</v>
      </c>
      <c r="AB238" s="77" t="s">
        <v>40</v>
      </c>
      <c r="AC238" s="88">
        <v>6580</v>
      </c>
      <c r="AD238" s="88">
        <v>5915</v>
      </c>
      <c r="AE238" s="88">
        <v>5030</v>
      </c>
      <c r="AF238" s="44">
        <f t="shared" si="20"/>
        <v>9</v>
      </c>
      <c r="AG238" s="44" t="str">
        <f t="shared" si="21"/>
        <v>房间隔缺损修补费</v>
      </c>
      <c r="AH238" s="44">
        <f t="shared" si="22"/>
        <v>3820</v>
      </c>
      <c r="AI238" s="44">
        <f t="shared" si="23"/>
        <v>3445</v>
      </c>
      <c r="AJ238" s="44">
        <f t="shared" si="24"/>
        <v>2925</v>
      </c>
    </row>
    <row r="239" s="44" customFormat="1" ht="38" customHeight="1" spans="1:36">
      <c r="A239" s="55">
        <v>75</v>
      </c>
      <c r="B239" s="55" t="s">
        <v>1211</v>
      </c>
      <c r="C239" s="56" t="s">
        <v>1212</v>
      </c>
      <c r="D239" s="55" t="s">
        <v>350</v>
      </c>
      <c r="E239" s="59" t="s">
        <v>1213</v>
      </c>
      <c r="F239" s="59" t="s">
        <v>1214</v>
      </c>
      <c r="G239" s="55" t="s">
        <v>54</v>
      </c>
      <c r="H239" s="59" t="s">
        <v>40</v>
      </c>
      <c r="I239" s="30">
        <v>3510</v>
      </c>
      <c r="J239" s="30">
        <v>3159</v>
      </c>
      <c r="K239" s="64"/>
      <c r="L239" s="64"/>
      <c r="M239" s="64"/>
      <c r="N239" s="66">
        <v>3200</v>
      </c>
      <c r="O239" s="66">
        <v>2900</v>
      </c>
      <c r="P239" s="66">
        <v>2450</v>
      </c>
      <c r="Q239" s="55" t="s">
        <v>41</v>
      </c>
      <c r="R239" s="55" t="s">
        <v>40</v>
      </c>
      <c r="S239" s="74" t="s">
        <v>40</v>
      </c>
      <c r="T239" s="64" t="s">
        <v>355</v>
      </c>
      <c r="U239" s="59" t="s">
        <v>1011</v>
      </c>
      <c r="V239" s="76" t="s">
        <v>1215</v>
      </c>
      <c r="W239" s="76">
        <v>330801016</v>
      </c>
      <c r="X239" s="77" t="s">
        <v>1216</v>
      </c>
      <c r="Y239" s="77" t="s">
        <v>1217</v>
      </c>
      <c r="Z239" s="77" t="s">
        <v>1218</v>
      </c>
      <c r="AA239" s="77" t="s">
        <v>54</v>
      </c>
      <c r="AB239" s="77" t="s">
        <v>40</v>
      </c>
      <c r="AC239" s="88">
        <v>3250</v>
      </c>
      <c r="AD239" s="88">
        <v>3120</v>
      </c>
      <c r="AE239" s="88">
        <v>2652</v>
      </c>
      <c r="AF239" s="44">
        <f t="shared" si="20"/>
        <v>0</v>
      </c>
      <c r="AG239" s="44" t="str">
        <f t="shared" si="21"/>
        <v>房间隔造口/房间隔缺损扩大费</v>
      </c>
      <c r="AH239" s="44">
        <f t="shared" si="22"/>
        <v>3200</v>
      </c>
      <c r="AI239" s="44">
        <f t="shared" si="23"/>
        <v>2900</v>
      </c>
      <c r="AJ239" s="44">
        <f t="shared" si="24"/>
        <v>2450</v>
      </c>
    </row>
    <row r="240" s="44" customFormat="1" ht="38" customHeight="1" spans="1:36">
      <c r="A240" s="55"/>
      <c r="B240" s="55"/>
      <c r="C240" s="56" t="s">
        <v>1212</v>
      </c>
      <c r="D240" s="55"/>
      <c r="E240" s="59"/>
      <c r="F240" s="59"/>
      <c r="G240" s="55"/>
      <c r="H240" s="59"/>
      <c r="I240" s="37"/>
      <c r="J240" s="37"/>
      <c r="K240" s="64"/>
      <c r="L240" s="64"/>
      <c r="M240" s="64"/>
      <c r="N240" s="66">
        <v>3200</v>
      </c>
      <c r="O240" s="66">
        <v>2900</v>
      </c>
      <c r="P240" s="66">
        <v>2450</v>
      </c>
      <c r="Q240" s="55"/>
      <c r="R240" s="55"/>
      <c r="S240" s="74"/>
      <c r="T240" s="64"/>
      <c r="U240" s="59"/>
      <c r="V240" s="76" t="s">
        <v>1219</v>
      </c>
      <c r="W240" s="76">
        <v>330802039</v>
      </c>
      <c r="X240" s="77" t="s">
        <v>1220</v>
      </c>
      <c r="Y240" s="77" t="s">
        <v>1221</v>
      </c>
      <c r="Z240" s="77"/>
      <c r="AA240" s="77" t="s">
        <v>54</v>
      </c>
      <c r="AB240" s="77" t="s">
        <v>40</v>
      </c>
      <c r="AC240" s="88">
        <v>9280</v>
      </c>
      <c r="AD240" s="88">
        <v>8350</v>
      </c>
      <c r="AE240" s="88">
        <v>7100</v>
      </c>
      <c r="AF240" s="44">
        <f t="shared" si="20"/>
        <v>0</v>
      </c>
      <c r="AG240" s="44" t="str">
        <f t="shared" si="21"/>
        <v>房间隔造口/房间隔缺损扩大费</v>
      </c>
      <c r="AH240" s="44">
        <f t="shared" si="22"/>
        <v>3200</v>
      </c>
      <c r="AI240" s="44">
        <f t="shared" si="23"/>
        <v>2900</v>
      </c>
      <c r="AJ240" s="44">
        <f t="shared" si="24"/>
        <v>2450</v>
      </c>
    </row>
    <row r="241" s="44" customFormat="1" ht="38" customHeight="1" spans="1:36">
      <c r="A241" s="55"/>
      <c r="B241" s="55"/>
      <c r="C241" s="56" t="s">
        <v>1212</v>
      </c>
      <c r="D241" s="55"/>
      <c r="E241" s="59"/>
      <c r="F241" s="59"/>
      <c r="G241" s="55"/>
      <c r="H241" s="59"/>
      <c r="I241" s="37"/>
      <c r="J241" s="37"/>
      <c r="K241" s="64"/>
      <c r="L241" s="64"/>
      <c r="M241" s="64"/>
      <c r="N241" s="66">
        <v>3200</v>
      </c>
      <c r="O241" s="66">
        <v>2900</v>
      </c>
      <c r="P241" s="66">
        <v>2450</v>
      </c>
      <c r="Q241" s="55"/>
      <c r="R241" s="55"/>
      <c r="S241" s="74"/>
      <c r="T241" s="64"/>
      <c r="U241" s="59"/>
      <c r="V241" s="76" t="s">
        <v>1222</v>
      </c>
      <c r="W241" s="76">
        <v>330802045</v>
      </c>
      <c r="X241" s="77" t="s">
        <v>1223</v>
      </c>
      <c r="Y241" s="77" t="s">
        <v>1224</v>
      </c>
      <c r="Z241" s="77"/>
      <c r="AA241" s="77" t="s">
        <v>54</v>
      </c>
      <c r="AB241" s="77" t="s">
        <v>40</v>
      </c>
      <c r="AC241" s="88">
        <v>7260</v>
      </c>
      <c r="AD241" s="88">
        <v>6530</v>
      </c>
      <c r="AE241" s="88">
        <v>5550</v>
      </c>
      <c r="AF241" s="44">
        <f t="shared" si="20"/>
        <v>0</v>
      </c>
      <c r="AG241" s="44" t="str">
        <f t="shared" si="21"/>
        <v>房间隔造口/房间隔缺损扩大费</v>
      </c>
      <c r="AH241" s="44">
        <f t="shared" si="22"/>
        <v>3200</v>
      </c>
      <c r="AI241" s="44">
        <f t="shared" si="23"/>
        <v>2900</v>
      </c>
      <c r="AJ241" s="44">
        <f t="shared" si="24"/>
        <v>2450</v>
      </c>
    </row>
    <row r="242" s="44" customFormat="1" ht="38" customHeight="1" spans="1:36">
      <c r="A242" s="55" t="s">
        <v>55</v>
      </c>
      <c r="B242" s="55" t="s">
        <v>1225</v>
      </c>
      <c r="C242" s="56" t="s">
        <v>1226</v>
      </c>
      <c r="D242" s="55" t="s">
        <v>350</v>
      </c>
      <c r="E242" s="59" t="s">
        <v>40</v>
      </c>
      <c r="F242" s="59" t="s">
        <v>40</v>
      </c>
      <c r="G242" s="55" t="s">
        <v>54</v>
      </c>
      <c r="H242" s="59" t="s">
        <v>40</v>
      </c>
      <c r="I242" s="30">
        <v>1053</v>
      </c>
      <c r="J242" s="30">
        <v>948</v>
      </c>
      <c r="K242" s="64"/>
      <c r="L242" s="64"/>
      <c r="M242" s="64"/>
      <c r="N242" s="66">
        <v>960</v>
      </c>
      <c r="O242" s="66">
        <v>870</v>
      </c>
      <c r="P242" s="66">
        <v>735</v>
      </c>
      <c r="Q242" s="55" t="s">
        <v>41</v>
      </c>
      <c r="R242" s="55" t="s">
        <v>40</v>
      </c>
      <c r="S242" s="74" t="s">
        <v>40</v>
      </c>
      <c r="T242" s="64"/>
      <c r="U242" s="59" t="s">
        <v>305</v>
      </c>
      <c r="V242" s="76" t="s">
        <v>1227</v>
      </c>
      <c r="W242" s="76">
        <v>33080101601</v>
      </c>
      <c r="X242" s="77" t="s">
        <v>1228</v>
      </c>
      <c r="Y242" s="77"/>
      <c r="Z242" s="77"/>
      <c r="AA242" s="77" t="s">
        <v>54</v>
      </c>
      <c r="AB242" s="77" t="s">
        <v>40</v>
      </c>
      <c r="AC242" s="88">
        <v>4225</v>
      </c>
      <c r="AD242" s="88">
        <v>4055</v>
      </c>
      <c r="AE242" s="88">
        <v>3445</v>
      </c>
      <c r="AF242" s="44">
        <f t="shared" si="20"/>
        <v>15</v>
      </c>
      <c r="AG242" s="44" t="str">
        <f t="shared" si="21"/>
        <v>房间隔造口/房间隔缺损扩大费</v>
      </c>
      <c r="AH242" s="44">
        <f t="shared" si="22"/>
        <v>4160</v>
      </c>
      <c r="AI242" s="44">
        <f t="shared" si="23"/>
        <v>3770</v>
      </c>
      <c r="AJ242" s="44">
        <f t="shared" si="24"/>
        <v>3185</v>
      </c>
    </row>
    <row r="243" s="44" customFormat="1" ht="38" customHeight="1" spans="1:36">
      <c r="A243" s="55"/>
      <c r="B243" s="55"/>
      <c r="C243" s="56" t="s">
        <v>1226</v>
      </c>
      <c r="D243" s="55"/>
      <c r="E243" s="59"/>
      <c r="F243" s="59"/>
      <c r="G243" s="55"/>
      <c r="H243" s="59"/>
      <c r="I243" s="37"/>
      <c r="J243" s="37"/>
      <c r="K243" s="64"/>
      <c r="L243" s="64"/>
      <c r="M243" s="64"/>
      <c r="N243" s="66">
        <v>960</v>
      </c>
      <c r="O243" s="66">
        <v>870</v>
      </c>
      <c r="P243" s="66">
        <v>735</v>
      </c>
      <c r="Q243" s="55"/>
      <c r="R243" s="55"/>
      <c r="S243" s="74"/>
      <c r="T243" s="64"/>
      <c r="U243" s="59"/>
      <c r="V243" s="76" t="s">
        <v>1229</v>
      </c>
      <c r="W243" s="76">
        <v>33080203901</v>
      </c>
      <c r="X243" s="77" t="s">
        <v>1230</v>
      </c>
      <c r="Y243" s="77"/>
      <c r="Z243" s="77"/>
      <c r="AA243" s="77" t="s">
        <v>54</v>
      </c>
      <c r="AB243" s="77" t="s">
        <v>40</v>
      </c>
      <c r="AC243" s="88">
        <v>12065</v>
      </c>
      <c r="AD243" s="88">
        <v>10855</v>
      </c>
      <c r="AE243" s="88">
        <v>9225</v>
      </c>
      <c r="AF243" s="44">
        <f t="shared" si="20"/>
        <v>15</v>
      </c>
      <c r="AG243" s="44" t="str">
        <f t="shared" si="21"/>
        <v>房间隔造口/房间隔缺损扩大费</v>
      </c>
      <c r="AH243" s="44">
        <f t="shared" si="22"/>
        <v>4160</v>
      </c>
      <c r="AI243" s="44">
        <f t="shared" si="23"/>
        <v>3770</v>
      </c>
      <c r="AJ243" s="44">
        <f t="shared" si="24"/>
        <v>3185</v>
      </c>
    </row>
    <row r="244" s="44" customFormat="1" ht="38" customHeight="1" spans="1:36">
      <c r="A244" s="55"/>
      <c r="B244" s="55"/>
      <c r="C244" s="56" t="s">
        <v>1226</v>
      </c>
      <c r="D244" s="55"/>
      <c r="E244" s="59"/>
      <c r="F244" s="59"/>
      <c r="G244" s="55"/>
      <c r="H244" s="59"/>
      <c r="I244" s="37"/>
      <c r="J244" s="37"/>
      <c r="K244" s="64"/>
      <c r="L244" s="64"/>
      <c r="M244" s="64"/>
      <c r="N244" s="66">
        <v>960</v>
      </c>
      <c r="O244" s="66">
        <v>870</v>
      </c>
      <c r="P244" s="66">
        <v>735</v>
      </c>
      <c r="Q244" s="55"/>
      <c r="R244" s="55"/>
      <c r="S244" s="74"/>
      <c r="T244" s="64"/>
      <c r="U244" s="59"/>
      <c r="V244" s="76" t="s">
        <v>1231</v>
      </c>
      <c r="W244" s="76">
        <v>33080204501</v>
      </c>
      <c r="X244" s="77" t="s">
        <v>1232</v>
      </c>
      <c r="Y244" s="77"/>
      <c r="Z244" s="77"/>
      <c r="AA244" s="77" t="s">
        <v>54</v>
      </c>
      <c r="AB244" s="77" t="s">
        <v>40</v>
      </c>
      <c r="AC244" s="88">
        <v>9440</v>
      </c>
      <c r="AD244" s="88">
        <v>8490</v>
      </c>
      <c r="AE244" s="88">
        <v>7215</v>
      </c>
      <c r="AF244" s="44">
        <f t="shared" si="20"/>
        <v>15</v>
      </c>
      <c r="AG244" s="44" t="str">
        <f t="shared" si="21"/>
        <v>房间隔造口/房间隔缺损扩大费</v>
      </c>
      <c r="AH244" s="44">
        <f t="shared" si="22"/>
        <v>4160</v>
      </c>
      <c r="AI244" s="44">
        <f t="shared" si="23"/>
        <v>3770</v>
      </c>
      <c r="AJ244" s="44">
        <f t="shared" si="24"/>
        <v>3185</v>
      </c>
    </row>
    <row r="245" s="44" customFormat="1" ht="38" customHeight="1" spans="1:36">
      <c r="A245" s="55">
        <v>76</v>
      </c>
      <c r="B245" s="55" t="s">
        <v>1233</v>
      </c>
      <c r="C245" s="56" t="s">
        <v>1234</v>
      </c>
      <c r="D245" s="55" t="s">
        <v>350</v>
      </c>
      <c r="E245" s="59" t="s">
        <v>1235</v>
      </c>
      <c r="F245" s="59" t="s">
        <v>1089</v>
      </c>
      <c r="G245" s="55" t="s">
        <v>54</v>
      </c>
      <c r="H245" s="59"/>
      <c r="I245" s="30">
        <v>4660</v>
      </c>
      <c r="J245" s="30">
        <v>4194</v>
      </c>
      <c r="K245" s="64">
        <v>3850</v>
      </c>
      <c r="L245" s="64"/>
      <c r="M245" s="64"/>
      <c r="N245" s="67">
        <v>4190</v>
      </c>
      <c r="O245" s="66">
        <v>3770</v>
      </c>
      <c r="P245" s="66">
        <v>3200</v>
      </c>
      <c r="Q245" s="55" t="s">
        <v>41</v>
      </c>
      <c r="R245" s="55" t="s">
        <v>40</v>
      </c>
      <c r="S245" s="74" t="s">
        <v>40</v>
      </c>
      <c r="T245" s="64" t="s">
        <v>698</v>
      </c>
      <c r="U245" s="59" t="s">
        <v>1236</v>
      </c>
      <c r="V245" s="76" t="s">
        <v>1237</v>
      </c>
      <c r="W245" s="76">
        <v>330801018</v>
      </c>
      <c r="X245" s="77" t="s">
        <v>1238</v>
      </c>
      <c r="Y245" s="77" t="s">
        <v>1239</v>
      </c>
      <c r="Z245" s="77" t="s">
        <v>583</v>
      </c>
      <c r="AA245" s="77" t="s">
        <v>54</v>
      </c>
      <c r="AB245" s="77" t="s">
        <v>1240</v>
      </c>
      <c r="AC245" s="88">
        <v>3850</v>
      </c>
      <c r="AD245" s="88">
        <v>3465</v>
      </c>
      <c r="AE245" s="88">
        <v>2770</v>
      </c>
      <c r="AF245" s="44">
        <f t="shared" si="20"/>
        <v>0</v>
      </c>
      <c r="AG245" s="44" t="str">
        <f t="shared" si="21"/>
        <v>室间隔缺损修补费</v>
      </c>
      <c r="AH245" s="44">
        <f t="shared" si="22"/>
        <v>4190</v>
      </c>
      <c r="AI245" s="44">
        <f t="shared" si="23"/>
        <v>3770</v>
      </c>
      <c r="AJ245" s="44">
        <f t="shared" si="24"/>
        <v>3200</v>
      </c>
    </row>
    <row r="246" s="44" customFormat="1" ht="38" customHeight="1" spans="1:36">
      <c r="A246" s="55"/>
      <c r="B246" s="55"/>
      <c r="C246" s="56" t="s">
        <v>1234</v>
      </c>
      <c r="D246" s="55"/>
      <c r="E246" s="59"/>
      <c r="F246" s="59"/>
      <c r="G246" s="55"/>
      <c r="H246" s="59"/>
      <c r="I246" s="37"/>
      <c r="J246" s="37"/>
      <c r="K246" s="64"/>
      <c r="L246" s="64"/>
      <c r="M246" s="64"/>
      <c r="N246" s="67">
        <v>4190</v>
      </c>
      <c r="O246" s="66">
        <v>3770</v>
      </c>
      <c r="P246" s="66">
        <v>3200</v>
      </c>
      <c r="Q246" s="55"/>
      <c r="R246" s="55"/>
      <c r="S246" s="74"/>
      <c r="T246" s="64"/>
      <c r="U246" s="59"/>
      <c r="V246" s="76" t="s">
        <v>1241</v>
      </c>
      <c r="W246" s="76">
        <v>33080101801</v>
      </c>
      <c r="X246" s="77" t="s">
        <v>1242</v>
      </c>
      <c r="Y246" s="77"/>
      <c r="Z246" s="77"/>
      <c r="AA246" s="77" t="s">
        <v>54</v>
      </c>
      <c r="AB246" s="77" t="s">
        <v>1243</v>
      </c>
      <c r="AC246" s="88">
        <v>3250</v>
      </c>
      <c r="AD246" s="88">
        <v>2925</v>
      </c>
      <c r="AE246" s="88">
        <v>2340</v>
      </c>
      <c r="AF246" s="44">
        <f t="shared" si="20"/>
        <v>0</v>
      </c>
      <c r="AG246" s="44" t="str">
        <f t="shared" si="21"/>
        <v>室间隔缺损修补费</v>
      </c>
      <c r="AH246" s="44">
        <f t="shared" si="22"/>
        <v>4190</v>
      </c>
      <c r="AI246" s="44">
        <f t="shared" si="23"/>
        <v>3770</v>
      </c>
      <c r="AJ246" s="44">
        <f t="shared" si="24"/>
        <v>3200</v>
      </c>
    </row>
    <row r="247" s="44" customFormat="1" ht="38" customHeight="1" spans="1:36">
      <c r="A247" s="55"/>
      <c r="B247" s="55"/>
      <c r="C247" s="56" t="s">
        <v>1234</v>
      </c>
      <c r="D247" s="55"/>
      <c r="E247" s="59"/>
      <c r="F247" s="59"/>
      <c r="G247" s="55"/>
      <c r="H247" s="59"/>
      <c r="I247" s="37"/>
      <c r="J247" s="37"/>
      <c r="K247" s="64"/>
      <c r="L247" s="64"/>
      <c r="M247" s="64"/>
      <c r="N247" s="67">
        <v>4190</v>
      </c>
      <c r="O247" s="66">
        <v>3770</v>
      </c>
      <c r="P247" s="66">
        <v>3200</v>
      </c>
      <c r="Q247" s="55"/>
      <c r="R247" s="55"/>
      <c r="S247" s="74"/>
      <c r="T247" s="64"/>
      <c r="U247" s="59"/>
      <c r="V247" s="76" t="s">
        <v>1244</v>
      </c>
      <c r="W247" s="76">
        <v>330802041</v>
      </c>
      <c r="X247" s="77" t="s">
        <v>1245</v>
      </c>
      <c r="Y247" s="77" t="s">
        <v>1246</v>
      </c>
      <c r="Z247" s="77"/>
      <c r="AA247" s="77" t="s">
        <v>1247</v>
      </c>
      <c r="AB247" s="77" t="s">
        <v>40</v>
      </c>
      <c r="AC247" s="88">
        <v>9280</v>
      </c>
      <c r="AD247" s="88">
        <v>8350</v>
      </c>
      <c r="AE247" s="88">
        <v>7100</v>
      </c>
      <c r="AF247" s="44">
        <f t="shared" si="20"/>
        <v>0</v>
      </c>
      <c r="AG247" s="44" t="str">
        <f t="shared" si="21"/>
        <v>室间隔缺损修补费</v>
      </c>
      <c r="AH247" s="44">
        <f t="shared" si="22"/>
        <v>4190</v>
      </c>
      <c r="AI247" s="44">
        <f t="shared" si="23"/>
        <v>3770</v>
      </c>
      <c r="AJ247" s="44">
        <f t="shared" si="24"/>
        <v>3200</v>
      </c>
    </row>
    <row r="248" s="44" customFormat="1" ht="38" customHeight="1" spans="1:36">
      <c r="A248" s="55"/>
      <c r="B248" s="55"/>
      <c r="C248" s="56" t="s">
        <v>1234</v>
      </c>
      <c r="D248" s="55"/>
      <c r="E248" s="59"/>
      <c r="F248" s="59"/>
      <c r="G248" s="55"/>
      <c r="H248" s="59"/>
      <c r="I248" s="37"/>
      <c r="J248" s="37"/>
      <c r="K248" s="64"/>
      <c r="L248" s="64"/>
      <c r="M248" s="64"/>
      <c r="N248" s="67">
        <v>4190</v>
      </c>
      <c r="O248" s="66">
        <v>3770</v>
      </c>
      <c r="P248" s="66">
        <v>3200</v>
      </c>
      <c r="Q248" s="55"/>
      <c r="R248" s="55"/>
      <c r="S248" s="74"/>
      <c r="T248" s="64"/>
      <c r="U248" s="59"/>
      <c r="V248" s="76" t="s">
        <v>1248</v>
      </c>
      <c r="W248" s="76">
        <v>330801028</v>
      </c>
      <c r="X248" s="77" t="s">
        <v>1249</v>
      </c>
      <c r="Y248" s="77"/>
      <c r="Z248" s="77"/>
      <c r="AA248" s="77" t="s">
        <v>54</v>
      </c>
      <c r="AB248" s="77" t="s">
        <v>40</v>
      </c>
      <c r="AC248" s="88">
        <v>6600</v>
      </c>
      <c r="AD248" s="88">
        <v>5940</v>
      </c>
      <c r="AE248" s="88">
        <v>5050</v>
      </c>
      <c r="AF248" s="44">
        <f t="shared" si="20"/>
        <v>0</v>
      </c>
      <c r="AG248" s="44" t="str">
        <f t="shared" si="21"/>
        <v>室间隔缺损修补费</v>
      </c>
      <c r="AH248" s="44">
        <f t="shared" si="22"/>
        <v>4190</v>
      </c>
      <c r="AI248" s="44">
        <f t="shared" si="23"/>
        <v>3770</v>
      </c>
      <c r="AJ248" s="44">
        <f t="shared" si="24"/>
        <v>3200</v>
      </c>
    </row>
    <row r="249" s="44" customFormat="1" ht="38" customHeight="1" spans="1:36">
      <c r="A249" s="55" t="s">
        <v>55</v>
      </c>
      <c r="B249" s="55" t="s">
        <v>1250</v>
      </c>
      <c r="C249" s="56" t="s">
        <v>1251</v>
      </c>
      <c r="D249" s="55" t="s">
        <v>350</v>
      </c>
      <c r="E249" s="59" t="s">
        <v>40</v>
      </c>
      <c r="F249" s="59" t="s">
        <v>40</v>
      </c>
      <c r="G249" s="55" t="s">
        <v>54</v>
      </c>
      <c r="H249" s="59" t="s">
        <v>40</v>
      </c>
      <c r="I249" s="30">
        <v>1398</v>
      </c>
      <c r="J249" s="30">
        <v>1258</v>
      </c>
      <c r="K249" s="64"/>
      <c r="L249" s="64"/>
      <c r="M249" s="64"/>
      <c r="N249" s="66">
        <v>1255</v>
      </c>
      <c r="O249" s="66">
        <v>1130</v>
      </c>
      <c r="P249" s="66">
        <v>960</v>
      </c>
      <c r="Q249" s="55" t="s">
        <v>41</v>
      </c>
      <c r="R249" s="55" t="s">
        <v>40</v>
      </c>
      <c r="S249" s="74" t="s">
        <v>40</v>
      </c>
      <c r="T249" s="64"/>
      <c r="U249" s="59" t="s">
        <v>305</v>
      </c>
      <c r="V249" s="76" t="s">
        <v>1252</v>
      </c>
      <c r="W249" s="76">
        <v>33080101802</v>
      </c>
      <c r="X249" s="77" t="s">
        <v>1253</v>
      </c>
      <c r="Y249" s="77"/>
      <c r="Z249" s="77"/>
      <c r="AA249" s="77" t="s">
        <v>54</v>
      </c>
      <c r="AB249" s="77" t="s">
        <v>40</v>
      </c>
      <c r="AC249" s="88">
        <v>5005</v>
      </c>
      <c r="AD249" s="88">
        <v>4505</v>
      </c>
      <c r="AE249" s="88">
        <v>3600</v>
      </c>
      <c r="AF249" s="44">
        <f t="shared" si="20"/>
        <v>9</v>
      </c>
      <c r="AG249" s="44" t="str">
        <f t="shared" si="21"/>
        <v>室间隔缺损修补费</v>
      </c>
      <c r="AH249" s="44">
        <f t="shared" si="22"/>
        <v>5445</v>
      </c>
      <c r="AI249" s="44">
        <f t="shared" si="23"/>
        <v>4900</v>
      </c>
      <c r="AJ249" s="44">
        <f t="shared" si="24"/>
        <v>4160</v>
      </c>
    </row>
    <row r="250" s="44" customFormat="1" ht="38" customHeight="1" spans="1:36">
      <c r="A250" s="55"/>
      <c r="B250" s="55"/>
      <c r="C250" s="56" t="s">
        <v>1251</v>
      </c>
      <c r="D250" s="55"/>
      <c r="E250" s="59"/>
      <c r="F250" s="59"/>
      <c r="G250" s="55"/>
      <c r="H250" s="59"/>
      <c r="I250" s="37"/>
      <c r="J250" s="37"/>
      <c r="K250" s="64"/>
      <c r="L250" s="64"/>
      <c r="M250" s="64"/>
      <c r="N250" s="66">
        <v>1255</v>
      </c>
      <c r="O250" s="66">
        <v>1130</v>
      </c>
      <c r="P250" s="66">
        <v>960</v>
      </c>
      <c r="Q250" s="55"/>
      <c r="R250" s="55"/>
      <c r="S250" s="74"/>
      <c r="T250" s="64"/>
      <c r="U250" s="59"/>
      <c r="V250" s="76" t="s">
        <v>1254</v>
      </c>
      <c r="W250" s="76">
        <v>33080101803</v>
      </c>
      <c r="X250" s="77" t="s">
        <v>1255</v>
      </c>
      <c r="Y250" s="77"/>
      <c r="Z250" s="77"/>
      <c r="AA250" s="77" t="s">
        <v>54</v>
      </c>
      <c r="AB250" s="77" t="s">
        <v>1243</v>
      </c>
      <c r="AC250" s="88">
        <v>4225</v>
      </c>
      <c r="AD250" s="88">
        <v>3800</v>
      </c>
      <c r="AE250" s="88">
        <v>3040</v>
      </c>
      <c r="AF250" s="44">
        <f t="shared" si="20"/>
        <v>9</v>
      </c>
      <c r="AG250" s="44" t="str">
        <f t="shared" si="21"/>
        <v>室间隔缺损修补费</v>
      </c>
      <c r="AH250" s="44">
        <f t="shared" si="22"/>
        <v>5445</v>
      </c>
      <c r="AI250" s="44">
        <f t="shared" si="23"/>
        <v>4900</v>
      </c>
      <c r="AJ250" s="44">
        <f t="shared" si="24"/>
        <v>4160</v>
      </c>
    </row>
    <row r="251" s="44" customFormat="1" ht="38" customHeight="1" spans="1:36">
      <c r="A251" s="55"/>
      <c r="B251" s="55"/>
      <c r="C251" s="56" t="s">
        <v>1251</v>
      </c>
      <c r="D251" s="55"/>
      <c r="E251" s="59"/>
      <c r="F251" s="59"/>
      <c r="G251" s="55"/>
      <c r="H251" s="59"/>
      <c r="I251" s="37"/>
      <c r="J251" s="37"/>
      <c r="K251" s="64"/>
      <c r="L251" s="64"/>
      <c r="M251" s="64"/>
      <c r="N251" s="66">
        <v>1255</v>
      </c>
      <c r="O251" s="66">
        <v>1130</v>
      </c>
      <c r="P251" s="66">
        <v>960</v>
      </c>
      <c r="Q251" s="55"/>
      <c r="R251" s="55"/>
      <c r="S251" s="74"/>
      <c r="T251" s="64"/>
      <c r="U251" s="59"/>
      <c r="V251" s="76" t="s">
        <v>1256</v>
      </c>
      <c r="W251" s="76">
        <v>33080204101</v>
      </c>
      <c r="X251" s="77" t="s">
        <v>1257</v>
      </c>
      <c r="Y251" s="77"/>
      <c r="Z251" s="77"/>
      <c r="AA251" s="77" t="s">
        <v>1247</v>
      </c>
      <c r="AB251" s="77" t="s">
        <v>40</v>
      </c>
      <c r="AC251" s="88">
        <v>12065</v>
      </c>
      <c r="AD251" s="88">
        <v>10855</v>
      </c>
      <c r="AE251" s="88">
        <v>9225</v>
      </c>
      <c r="AF251" s="44">
        <f t="shared" si="20"/>
        <v>9</v>
      </c>
      <c r="AG251" s="44" t="str">
        <f t="shared" si="21"/>
        <v>室间隔缺损修补费</v>
      </c>
      <c r="AH251" s="44">
        <f t="shared" si="22"/>
        <v>5445</v>
      </c>
      <c r="AI251" s="44">
        <f t="shared" si="23"/>
        <v>4900</v>
      </c>
      <c r="AJ251" s="44">
        <f t="shared" si="24"/>
        <v>4160</v>
      </c>
    </row>
    <row r="252" s="44" customFormat="1" ht="38" customHeight="1" spans="1:36">
      <c r="A252" s="55"/>
      <c r="B252" s="55"/>
      <c r="C252" s="56" t="s">
        <v>1251</v>
      </c>
      <c r="D252" s="55"/>
      <c r="E252" s="59"/>
      <c r="F252" s="59"/>
      <c r="G252" s="55"/>
      <c r="H252" s="59"/>
      <c r="I252" s="37"/>
      <c r="J252" s="37"/>
      <c r="K252" s="64"/>
      <c r="L252" s="64"/>
      <c r="M252" s="64"/>
      <c r="N252" s="66">
        <v>1255</v>
      </c>
      <c r="O252" s="66">
        <v>1130</v>
      </c>
      <c r="P252" s="66">
        <v>960</v>
      </c>
      <c r="Q252" s="55"/>
      <c r="R252" s="55"/>
      <c r="S252" s="74"/>
      <c r="T252" s="64"/>
      <c r="U252" s="59"/>
      <c r="V252" s="76" t="s">
        <v>1258</v>
      </c>
      <c r="W252" s="76">
        <v>33080102801</v>
      </c>
      <c r="X252" s="77" t="s">
        <v>1259</v>
      </c>
      <c r="Y252" s="77"/>
      <c r="Z252" s="77"/>
      <c r="AA252" s="77" t="s">
        <v>54</v>
      </c>
      <c r="AB252" s="77" t="s">
        <v>40</v>
      </c>
      <c r="AC252" s="88">
        <v>8580</v>
      </c>
      <c r="AD252" s="88">
        <v>7720</v>
      </c>
      <c r="AE252" s="88">
        <v>6560</v>
      </c>
      <c r="AF252" s="44">
        <f t="shared" si="20"/>
        <v>9</v>
      </c>
      <c r="AG252" s="44" t="str">
        <f t="shared" si="21"/>
        <v>室间隔缺损修补费</v>
      </c>
      <c r="AH252" s="44">
        <f t="shared" si="22"/>
        <v>5445</v>
      </c>
      <c r="AI252" s="44">
        <f t="shared" si="23"/>
        <v>4900</v>
      </c>
      <c r="AJ252" s="44">
        <f t="shared" si="24"/>
        <v>4160</v>
      </c>
    </row>
    <row r="253" s="44" customFormat="1" ht="38" customHeight="1" spans="1:36">
      <c r="A253" s="55">
        <v>77</v>
      </c>
      <c r="B253" s="55" t="s">
        <v>1262</v>
      </c>
      <c r="C253" s="55" t="s">
        <v>1263</v>
      </c>
      <c r="D253" s="55" t="s">
        <v>350</v>
      </c>
      <c r="E253" s="59" t="s">
        <v>1264</v>
      </c>
      <c r="F253" s="59" t="s">
        <v>1265</v>
      </c>
      <c r="G253" s="55" t="s">
        <v>54</v>
      </c>
      <c r="H253" s="59" t="s">
        <v>40</v>
      </c>
      <c r="I253" s="30">
        <v>6975</v>
      </c>
      <c r="J253" s="30">
        <v>6278</v>
      </c>
      <c r="K253" s="64">
        <v>6400</v>
      </c>
      <c r="L253" s="64">
        <v>5760</v>
      </c>
      <c r="M253" s="64">
        <v>4600</v>
      </c>
      <c r="N253" s="35">
        <v>6400</v>
      </c>
      <c r="O253" s="35">
        <v>5760</v>
      </c>
      <c r="P253" s="68">
        <v>4900</v>
      </c>
      <c r="Q253" s="55" t="s">
        <v>41</v>
      </c>
      <c r="R253" s="55" t="s">
        <v>40</v>
      </c>
      <c r="S253" s="74" t="s">
        <v>40</v>
      </c>
      <c r="T253" s="64" t="s">
        <v>183</v>
      </c>
      <c r="U253" s="59" t="s">
        <v>973</v>
      </c>
      <c r="V253" s="76" t="s">
        <v>1266</v>
      </c>
      <c r="W253" s="76">
        <v>330801019</v>
      </c>
      <c r="X253" s="77" t="s">
        <v>1267</v>
      </c>
      <c r="Y253" s="77" t="s">
        <v>1268</v>
      </c>
      <c r="Z253" s="77" t="s">
        <v>1218</v>
      </c>
      <c r="AA253" s="77" t="s">
        <v>54</v>
      </c>
      <c r="AB253" s="77" t="s">
        <v>40</v>
      </c>
      <c r="AC253" s="88">
        <v>6400</v>
      </c>
      <c r="AD253" s="88">
        <v>5760</v>
      </c>
      <c r="AE253" s="88">
        <v>4600</v>
      </c>
      <c r="AF253" s="44">
        <f t="shared" si="20"/>
        <v>0</v>
      </c>
      <c r="AG253" s="44" t="str">
        <f t="shared" si="21"/>
        <v>部分型心内膜垫缺损矫治费</v>
      </c>
      <c r="AH253" s="44">
        <f t="shared" si="22"/>
        <v>6400</v>
      </c>
      <c r="AI253" s="44">
        <f t="shared" si="23"/>
        <v>5760</v>
      </c>
      <c r="AJ253" s="44">
        <f t="shared" si="24"/>
        <v>4900</v>
      </c>
    </row>
    <row r="254" s="44" customFormat="1" ht="38" customHeight="1" spans="1:36">
      <c r="A254" s="55" t="s">
        <v>55</v>
      </c>
      <c r="B254" s="55" t="s">
        <v>1269</v>
      </c>
      <c r="C254" s="55" t="s">
        <v>1270</v>
      </c>
      <c r="D254" s="55" t="s">
        <v>350</v>
      </c>
      <c r="E254" s="59" t="s">
        <v>40</v>
      </c>
      <c r="F254" s="59" t="s">
        <v>40</v>
      </c>
      <c r="G254" s="55" t="s">
        <v>54</v>
      </c>
      <c r="H254" s="59" t="s">
        <v>40</v>
      </c>
      <c r="I254" s="30">
        <v>2093</v>
      </c>
      <c r="J254" s="30">
        <v>1883</v>
      </c>
      <c r="K254" s="64"/>
      <c r="L254" s="64"/>
      <c r="M254" s="64"/>
      <c r="N254" s="35">
        <v>1920</v>
      </c>
      <c r="O254" s="35">
        <v>1728</v>
      </c>
      <c r="P254" s="35">
        <v>1470</v>
      </c>
      <c r="Q254" s="55" t="s">
        <v>41</v>
      </c>
      <c r="R254" s="55" t="s">
        <v>40</v>
      </c>
      <c r="S254" s="74" t="s">
        <v>40</v>
      </c>
      <c r="T254" s="64"/>
      <c r="U254" s="59" t="s">
        <v>305</v>
      </c>
      <c r="V254" s="76" t="s">
        <v>1271</v>
      </c>
      <c r="W254" s="76">
        <v>33080101901</v>
      </c>
      <c r="X254" s="77" t="s">
        <v>1272</v>
      </c>
      <c r="Y254" s="77"/>
      <c r="Z254" s="77"/>
      <c r="AA254" s="77" t="s">
        <v>54</v>
      </c>
      <c r="AB254" s="77" t="s">
        <v>40</v>
      </c>
      <c r="AC254" s="88">
        <v>8320</v>
      </c>
      <c r="AD254" s="88">
        <v>7490</v>
      </c>
      <c r="AE254" s="88">
        <v>5980</v>
      </c>
      <c r="AF254" s="44">
        <f t="shared" si="20"/>
        <v>13</v>
      </c>
      <c r="AG254" s="44" t="str">
        <f t="shared" si="21"/>
        <v>部分型心内膜垫缺损矫治费</v>
      </c>
      <c r="AH254" s="44">
        <f t="shared" si="22"/>
        <v>8320</v>
      </c>
      <c r="AI254" s="44">
        <f t="shared" si="23"/>
        <v>7488</v>
      </c>
      <c r="AJ254" s="44">
        <f t="shared" si="24"/>
        <v>6370</v>
      </c>
    </row>
    <row r="255" s="44" customFormat="1" ht="38" customHeight="1" spans="1:36">
      <c r="A255" s="55">
        <v>78</v>
      </c>
      <c r="B255" s="55" t="s">
        <v>1275</v>
      </c>
      <c r="C255" s="56" t="s">
        <v>1276</v>
      </c>
      <c r="D255" s="55" t="s">
        <v>350</v>
      </c>
      <c r="E255" s="59" t="s">
        <v>1277</v>
      </c>
      <c r="F255" s="59" t="s">
        <v>1278</v>
      </c>
      <c r="G255" s="55" t="s">
        <v>54</v>
      </c>
      <c r="H255" s="59" t="s">
        <v>40</v>
      </c>
      <c r="I255" s="30">
        <v>8160</v>
      </c>
      <c r="J255" s="30">
        <v>7344</v>
      </c>
      <c r="K255" s="64"/>
      <c r="L255" s="64"/>
      <c r="M255" s="64"/>
      <c r="N255" s="66">
        <v>7400</v>
      </c>
      <c r="O255" s="66">
        <v>6660</v>
      </c>
      <c r="P255" s="66">
        <v>5660</v>
      </c>
      <c r="Q255" s="55" t="s">
        <v>41</v>
      </c>
      <c r="R255" s="55" t="s">
        <v>40</v>
      </c>
      <c r="S255" s="74" t="s">
        <v>40</v>
      </c>
      <c r="T255" s="64" t="s">
        <v>355</v>
      </c>
      <c r="U255" s="59" t="s">
        <v>1011</v>
      </c>
      <c r="V255" s="76" t="s">
        <v>1279</v>
      </c>
      <c r="W255" s="76">
        <v>330801020</v>
      </c>
      <c r="X255" s="77" t="s">
        <v>1280</v>
      </c>
      <c r="Y255" s="77"/>
      <c r="Z255" s="77"/>
      <c r="AA255" s="77" t="s">
        <v>54</v>
      </c>
      <c r="AB255" s="77" t="s">
        <v>40</v>
      </c>
      <c r="AC255" s="88">
        <v>7010</v>
      </c>
      <c r="AD255" s="88">
        <v>6310</v>
      </c>
      <c r="AE255" s="88">
        <v>5360</v>
      </c>
      <c r="AF255" s="44">
        <f t="shared" si="20"/>
        <v>0</v>
      </c>
      <c r="AG255" s="44" t="str">
        <f t="shared" si="21"/>
        <v>完全型心内膜垫缺损矫治费</v>
      </c>
      <c r="AH255" s="44">
        <f t="shared" si="22"/>
        <v>7400</v>
      </c>
      <c r="AI255" s="44">
        <f t="shared" si="23"/>
        <v>6660</v>
      </c>
      <c r="AJ255" s="44">
        <f t="shared" si="24"/>
        <v>5660</v>
      </c>
    </row>
    <row r="256" s="44" customFormat="1" ht="38" customHeight="1" spans="1:36">
      <c r="A256" s="55"/>
      <c r="B256" s="55"/>
      <c r="C256" s="56" t="s">
        <v>1276</v>
      </c>
      <c r="D256" s="55"/>
      <c r="E256" s="59"/>
      <c r="F256" s="59"/>
      <c r="G256" s="55"/>
      <c r="H256" s="59"/>
      <c r="I256" s="37"/>
      <c r="J256" s="37"/>
      <c r="K256" s="64"/>
      <c r="L256" s="64"/>
      <c r="M256" s="64"/>
      <c r="N256" s="66">
        <v>7400</v>
      </c>
      <c r="O256" s="66">
        <v>6660</v>
      </c>
      <c r="P256" s="66">
        <v>5660</v>
      </c>
      <c r="Q256" s="55"/>
      <c r="R256" s="55"/>
      <c r="S256" s="74"/>
      <c r="T256" s="64"/>
      <c r="U256" s="59"/>
      <c r="V256" s="76" t="s">
        <v>1176</v>
      </c>
      <c r="W256" s="76">
        <v>330801026</v>
      </c>
      <c r="X256" s="77" t="s">
        <v>1177</v>
      </c>
      <c r="Y256" s="77" t="s">
        <v>1178</v>
      </c>
      <c r="Z256" s="77"/>
      <c r="AA256" s="77" t="s">
        <v>54</v>
      </c>
      <c r="AB256" s="77" t="s">
        <v>40</v>
      </c>
      <c r="AC256" s="88">
        <v>15000</v>
      </c>
      <c r="AD256" s="88">
        <v>13500</v>
      </c>
      <c r="AE256" s="88">
        <v>11475</v>
      </c>
      <c r="AF256" s="44">
        <f t="shared" si="20"/>
        <v>0</v>
      </c>
      <c r="AG256" s="44" t="str">
        <f t="shared" si="21"/>
        <v>完全型心内膜垫缺损矫治费</v>
      </c>
      <c r="AH256" s="44">
        <f t="shared" si="22"/>
        <v>7400</v>
      </c>
      <c r="AI256" s="44">
        <f t="shared" si="23"/>
        <v>6660</v>
      </c>
      <c r="AJ256" s="44">
        <f t="shared" si="24"/>
        <v>5660</v>
      </c>
    </row>
    <row r="257" s="44" customFormat="1" ht="38" customHeight="1" spans="1:36">
      <c r="A257" s="55" t="s">
        <v>55</v>
      </c>
      <c r="B257" s="55" t="s">
        <v>1281</v>
      </c>
      <c r="C257" s="56" t="s">
        <v>1282</v>
      </c>
      <c r="D257" s="55" t="s">
        <v>350</v>
      </c>
      <c r="E257" s="59" t="s">
        <v>40</v>
      </c>
      <c r="F257" s="59" t="s">
        <v>40</v>
      </c>
      <c r="G257" s="55" t="s">
        <v>54</v>
      </c>
      <c r="H257" s="59" t="s">
        <v>40</v>
      </c>
      <c r="I257" s="30">
        <v>2448</v>
      </c>
      <c r="J257" s="30">
        <v>2203</v>
      </c>
      <c r="K257" s="64"/>
      <c r="L257" s="64"/>
      <c r="M257" s="64"/>
      <c r="N257" s="66">
        <v>2220</v>
      </c>
      <c r="O257" s="66">
        <v>2000</v>
      </c>
      <c r="P257" s="66">
        <v>1700</v>
      </c>
      <c r="Q257" s="55" t="s">
        <v>41</v>
      </c>
      <c r="R257" s="55" t="s">
        <v>40</v>
      </c>
      <c r="S257" s="74" t="s">
        <v>40</v>
      </c>
      <c r="T257" s="64"/>
      <c r="U257" s="59" t="s">
        <v>305</v>
      </c>
      <c r="V257" s="76" t="s">
        <v>1283</v>
      </c>
      <c r="W257" s="76">
        <v>33080102001</v>
      </c>
      <c r="X257" s="77" t="s">
        <v>1284</v>
      </c>
      <c r="Y257" s="77"/>
      <c r="Z257" s="77"/>
      <c r="AA257" s="77" t="s">
        <v>54</v>
      </c>
      <c r="AB257" s="77" t="s">
        <v>40</v>
      </c>
      <c r="AC257" s="88">
        <v>9115</v>
      </c>
      <c r="AD257" s="88">
        <v>8205</v>
      </c>
      <c r="AE257" s="88">
        <v>6975</v>
      </c>
      <c r="AF257" s="44">
        <f t="shared" si="20"/>
        <v>13</v>
      </c>
      <c r="AG257" s="44" t="str">
        <f t="shared" si="21"/>
        <v>完全型心内膜垫缺损矫治费</v>
      </c>
      <c r="AH257" s="44">
        <f t="shared" si="22"/>
        <v>9620</v>
      </c>
      <c r="AI257" s="44">
        <f t="shared" si="23"/>
        <v>8660</v>
      </c>
      <c r="AJ257" s="44">
        <f t="shared" si="24"/>
        <v>7360</v>
      </c>
    </row>
    <row r="258" s="44" customFormat="1" ht="38" customHeight="1" spans="1:36">
      <c r="A258" s="55"/>
      <c r="B258" s="55"/>
      <c r="C258" s="56" t="s">
        <v>1282</v>
      </c>
      <c r="D258" s="55"/>
      <c r="E258" s="59"/>
      <c r="F258" s="59"/>
      <c r="G258" s="55"/>
      <c r="H258" s="59"/>
      <c r="I258" s="37"/>
      <c r="J258" s="37"/>
      <c r="K258" s="64"/>
      <c r="L258" s="64"/>
      <c r="M258" s="64"/>
      <c r="N258" s="66">
        <v>2220</v>
      </c>
      <c r="O258" s="66">
        <v>2000</v>
      </c>
      <c r="P258" s="66">
        <v>1700</v>
      </c>
      <c r="Q258" s="55"/>
      <c r="R258" s="55"/>
      <c r="S258" s="74"/>
      <c r="T258" s="64"/>
      <c r="U258" s="59"/>
      <c r="V258" s="76" t="s">
        <v>1189</v>
      </c>
      <c r="W258" s="76">
        <v>33080102601</v>
      </c>
      <c r="X258" s="77" t="s">
        <v>1190</v>
      </c>
      <c r="Y258" s="77"/>
      <c r="Z258" s="77"/>
      <c r="AA258" s="77" t="s">
        <v>54</v>
      </c>
      <c r="AB258" s="77" t="s">
        <v>40</v>
      </c>
      <c r="AC258" s="88">
        <v>19500</v>
      </c>
      <c r="AD258" s="88">
        <v>17550</v>
      </c>
      <c r="AE258" s="88">
        <v>14920</v>
      </c>
      <c r="AF258" s="44">
        <f t="shared" si="20"/>
        <v>13</v>
      </c>
      <c r="AG258" s="44" t="str">
        <f t="shared" si="21"/>
        <v>完全型心内膜垫缺损矫治费</v>
      </c>
      <c r="AH258" s="44">
        <f t="shared" si="22"/>
        <v>9620</v>
      </c>
      <c r="AI258" s="44">
        <f t="shared" si="23"/>
        <v>8660</v>
      </c>
      <c r="AJ258" s="44">
        <f t="shared" si="24"/>
        <v>7360</v>
      </c>
    </row>
    <row r="259" s="44" customFormat="1" ht="38" customHeight="1" spans="1:36">
      <c r="A259" s="55">
        <v>79</v>
      </c>
      <c r="B259" s="55" t="s">
        <v>1285</v>
      </c>
      <c r="C259" s="56" t="s">
        <v>1286</v>
      </c>
      <c r="D259" s="55" t="s">
        <v>350</v>
      </c>
      <c r="E259" s="59" t="s">
        <v>1287</v>
      </c>
      <c r="F259" s="59" t="s">
        <v>1288</v>
      </c>
      <c r="G259" s="55" t="s">
        <v>54</v>
      </c>
      <c r="H259" s="59" t="s">
        <v>40</v>
      </c>
      <c r="I259" s="30">
        <v>2455</v>
      </c>
      <c r="J259" s="30">
        <v>2210</v>
      </c>
      <c r="K259" s="64"/>
      <c r="L259" s="64"/>
      <c r="M259" s="64"/>
      <c r="N259" s="66">
        <v>2310</v>
      </c>
      <c r="O259" s="66">
        <v>2160</v>
      </c>
      <c r="P259" s="66">
        <v>1836</v>
      </c>
      <c r="Q259" s="55" t="s">
        <v>41</v>
      </c>
      <c r="R259" s="55" t="s">
        <v>40</v>
      </c>
      <c r="S259" s="74" t="s">
        <v>40</v>
      </c>
      <c r="T259" s="64" t="s">
        <v>183</v>
      </c>
      <c r="U259" s="59" t="s">
        <v>183</v>
      </c>
      <c r="V259" s="76" t="s">
        <v>1289</v>
      </c>
      <c r="W259" s="76">
        <v>330802014</v>
      </c>
      <c r="X259" s="77" t="s">
        <v>1290</v>
      </c>
      <c r="Y259" s="77" t="s">
        <v>1291</v>
      </c>
      <c r="Z259" s="77"/>
      <c r="AA259" s="77" t="s">
        <v>54</v>
      </c>
      <c r="AB259" s="77" t="s">
        <v>1292</v>
      </c>
      <c r="AC259" s="88">
        <v>2310</v>
      </c>
      <c r="AD259" s="88">
        <v>2160</v>
      </c>
      <c r="AE259" s="88">
        <v>1836</v>
      </c>
      <c r="AF259" s="44">
        <f t="shared" si="20"/>
        <v>0</v>
      </c>
      <c r="AG259" s="44" t="str">
        <f t="shared" si="21"/>
        <v>动脉导管闭合费</v>
      </c>
      <c r="AH259" s="44">
        <f t="shared" si="22"/>
        <v>2310</v>
      </c>
      <c r="AI259" s="44">
        <f t="shared" si="23"/>
        <v>2160</v>
      </c>
      <c r="AJ259" s="44">
        <f t="shared" si="24"/>
        <v>1836</v>
      </c>
    </row>
    <row r="260" s="44" customFormat="1" ht="38" customHeight="1" spans="1:36">
      <c r="A260" s="55"/>
      <c r="B260" s="55"/>
      <c r="C260" s="56" t="s">
        <v>1286</v>
      </c>
      <c r="D260" s="55"/>
      <c r="E260" s="59"/>
      <c r="F260" s="59"/>
      <c r="G260" s="55"/>
      <c r="H260" s="59"/>
      <c r="I260" s="37"/>
      <c r="J260" s="37"/>
      <c r="K260" s="64"/>
      <c r="L260" s="64"/>
      <c r="M260" s="64"/>
      <c r="N260" s="66">
        <v>2310</v>
      </c>
      <c r="O260" s="66">
        <v>2160</v>
      </c>
      <c r="P260" s="66">
        <v>1836</v>
      </c>
      <c r="Q260" s="55"/>
      <c r="R260" s="55"/>
      <c r="S260" s="74"/>
      <c r="T260" s="64"/>
      <c r="U260" s="59"/>
      <c r="V260" s="76" t="s">
        <v>1293</v>
      </c>
      <c r="W260" s="76">
        <v>33080201401</v>
      </c>
      <c r="X260" s="77" t="s">
        <v>1294</v>
      </c>
      <c r="Y260" s="77"/>
      <c r="Z260" s="77"/>
      <c r="AA260" s="77" t="s">
        <v>54</v>
      </c>
      <c r="AB260" s="77" t="s">
        <v>1295</v>
      </c>
      <c r="AC260" s="88">
        <v>2950</v>
      </c>
      <c r="AD260" s="88">
        <v>2760</v>
      </c>
      <c r="AE260" s="88">
        <v>2346</v>
      </c>
      <c r="AF260" s="44">
        <f t="shared" si="20"/>
        <v>0</v>
      </c>
      <c r="AG260" s="44" t="str">
        <f t="shared" si="21"/>
        <v>动脉导管闭合费</v>
      </c>
      <c r="AH260" s="44">
        <f t="shared" si="22"/>
        <v>2310</v>
      </c>
      <c r="AI260" s="44">
        <f t="shared" si="23"/>
        <v>2160</v>
      </c>
      <c r="AJ260" s="44">
        <f t="shared" si="24"/>
        <v>1836</v>
      </c>
    </row>
    <row r="261" s="44" customFormat="1" ht="38" customHeight="1" spans="1:36">
      <c r="A261" s="55" t="s">
        <v>55</v>
      </c>
      <c r="B261" s="55" t="s">
        <v>1296</v>
      </c>
      <c r="C261" s="56" t="s">
        <v>1297</v>
      </c>
      <c r="D261" s="55" t="s">
        <v>350</v>
      </c>
      <c r="E261" s="59" t="s">
        <v>40</v>
      </c>
      <c r="F261" s="59" t="s">
        <v>40</v>
      </c>
      <c r="G261" s="55" t="s">
        <v>54</v>
      </c>
      <c r="H261" s="59" t="s">
        <v>40</v>
      </c>
      <c r="I261" s="30">
        <v>737</v>
      </c>
      <c r="J261" s="30">
        <v>663</v>
      </c>
      <c r="K261" s="64"/>
      <c r="L261" s="64"/>
      <c r="M261" s="64"/>
      <c r="N261" s="66">
        <v>695</v>
      </c>
      <c r="O261" s="66">
        <v>650</v>
      </c>
      <c r="P261" s="66">
        <v>550</v>
      </c>
      <c r="Q261" s="55" t="s">
        <v>41</v>
      </c>
      <c r="R261" s="55" t="s">
        <v>40</v>
      </c>
      <c r="S261" s="74" t="s">
        <v>40</v>
      </c>
      <c r="T261" s="64"/>
      <c r="U261" s="59" t="s">
        <v>305</v>
      </c>
      <c r="V261" s="76" t="s">
        <v>1298</v>
      </c>
      <c r="W261" s="76">
        <v>33080201402</v>
      </c>
      <c r="X261" s="77" t="s">
        <v>1299</v>
      </c>
      <c r="Y261" s="77"/>
      <c r="Z261" s="77"/>
      <c r="AA261" s="77" t="s">
        <v>54</v>
      </c>
      <c r="AB261" s="77" t="s">
        <v>40</v>
      </c>
      <c r="AC261" s="88">
        <v>3005</v>
      </c>
      <c r="AD261" s="88">
        <v>2810</v>
      </c>
      <c r="AE261" s="88">
        <v>2385</v>
      </c>
      <c r="AF261" s="44">
        <f t="shared" ref="AF261:AF324" si="25">IFERROR(FIND("-儿童（加收）",C261,1),0)</f>
        <v>8</v>
      </c>
      <c r="AG261" s="44" t="str">
        <f t="shared" ref="AG261:AG324" si="26">SUBSTITUTE(C261,"-儿童（加收）","")</f>
        <v>动脉导管闭合费</v>
      </c>
      <c r="AH261" s="44">
        <f t="shared" ref="AH261:AH324" si="27">IF(AF261&gt;0,_xlfn.MAXIFS(N:N,C:C,SUBSTITUTE(C261,"-儿童（加收）","")),0)+N261</f>
        <v>3005</v>
      </c>
      <c r="AI261" s="44">
        <f t="shared" ref="AI261:AI324" si="28">IF(AF261&gt;0,_xlfn.MAXIFS(O:O,C:C,SUBSTITUTE(C261,"-儿童（加收）","")),0)+O261</f>
        <v>2810</v>
      </c>
      <c r="AJ261" s="44">
        <f t="shared" ref="AJ261:AJ324" si="29">IF(AF261&gt;0,_xlfn.MAXIFS(P:P,C:C,SUBSTITUTE(C261,"-儿童（加收）","")),0)+P261</f>
        <v>2386</v>
      </c>
    </row>
    <row r="262" s="44" customFormat="1" ht="38" customHeight="1" spans="1:36">
      <c r="A262" s="55"/>
      <c r="B262" s="55"/>
      <c r="C262" s="56" t="s">
        <v>1297</v>
      </c>
      <c r="D262" s="55"/>
      <c r="E262" s="59"/>
      <c r="F262" s="59"/>
      <c r="G262" s="55"/>
      <c r="H262" s="59"/>
      <c r="I262" s="37"/>
      <c r="J262" s="37"/>
      <c r="K262" s="64"/>
      <c r="L262" s="64"/>
      <c r="M262" s="64"/>
      <c r="N262" s="66">
        <v>695</v>
      </c>
      <c r="O262" s="66">
        <v>650</v>
      </c>
      <c r="P262" s="66">
        <v>550</v>
      </c>
      <c r="Q262" s="55"/>
      <c r="R262" s="55"/>
      <c r="S262" s="74"/>
      <c r="T262" s="64"/>
      <c r="U262" s="59"/>
      <c r="V262" s="76" t="s">
        <v>1300</v>
      </c>
      <c r="W262" s="76">
        <v>33080201403</v>
      </c>
      <c r="X262" s="77" t="s">
        <v>1301</v>
      </c>
      <c r="Y262" s="77"/>
      <c r="Z262" s="77"/>
      <c r="AA262" s="77" t="s">
        <v>54</v>
      </c>
      <c r="AB262" s="77" t="s">
        <v>1295</v>
      </c>
      <c r="AC262" s="88">
        <v>3835</v>
      </c>
      <c r="AD262" s="88">
        <v>3590</v>
      </c>
      <c r="AE262" s="88">
        <v>3050</v>
      </c>
      <c r="AF262" s="44">
        <f t="shared" si="25"/>
        <v>8</v>
      </c>
      <c r="AG262" s="44" t="str">
        <f t="shared" si="26"/>
        <v>动脉导管闭合费</v>
      </c>
      <c r="AH262" s="44">
        <f t="shared" si="27"/>
        <v>3005</v>
      </c>
      <c r="AI262" s="44">
        <f t="shared" si="28"/>
        <v>2810</v>
      </c>
      <c r="AJ262" s="44">
        <f t="shared" si="29"/>
        <v>2386</v>
      </c>
    </row>
    <row r="263" s="44" customFormat="1" ht="38" customHeight="1" spans="1:36">
      <c r="A263" s="55">
        <v>83</v>
      </c>
      <c r="B263" s="55" t="s">
        <v>1322</v>
      </c>
      <c r="C263" s="56" t="s">
        <v>1323</v>
      </c>
      <c r="D263" s="55" t="s">
        <v>350</v>
      </c>
      <c r="E263" s="59" t="s">
        <v>1324</v>
      </c>
      <c r="F263" s="59" t="s">
        <v>1325</v>
      </c>
      <c r="G263" s="55" t="s">
        <v>54</v>
      </c>
      <c r="H263" s="59" t="s">
        <v>40</v>
      </c>
      <c r="I263" s="30">
        <v>10320</v>
      </c>
      <c r="J263" s="30">
        <v>9288</v>
      </c>
      <c r="K263" s="64"/>
      <c r="L263" s="64"/>
      <c r="M263" s="64"/>
      <c r="N263" s="66">
        <v>9500</v>
      </c>
      <c r="O263" s="66">
        <v>8600</v>
      </c>
      <c r="P263" s="66">
        <v>7300</v>
      </c>
      <c r="Q263" s="55" t="s">
        <v>41</v>
      </c>
      <c r="R263" s="55" t="s">
        <v>40</v>
      </c>
      <c r="S263" s="74" t="s">
        <v>40</v>
      </c>
      <c r="T263" s="64" t="s">
        <v>355</v>
      </c>
      <c r="U263" s="59" t="s">
        <v>1326</v>
      </c>
      <c r="V263" s="76" t="s">
        <v>1327</v>
      </c>
      <c r="W263" s="76">
        <v>330802018</v>
      </c>
      <c r="X263" s="77" t="s">
        <v>1328</v>
      </c>
      <c r="Y263" s="77" t="s">
        <v>1329</v>
      </c>
      <c r="Z263" s="77"/>
      <c r="AA263" s="77" t="s">
        <v>54</v>
      </c>
      <c r="AB263" s="77" t="s">
        <v>40</v>
      </c>
      <c r="AC263" s="88">
        <v>10400</v>
      </c>
      <c r="AD263" s="88">
        <v>9360</v>
      </c>
      <c r="AE263" s="88">
        <v>7960</v>
      </c>
      <c r="AF263" s="44">
        <f t="shared" si="25"/>
        <v>0</v>
      </c>
      <c r="AG263" s="44" t="str">
        <f t="shared" si="26"/>
        <v>右心室双出口矫治费</v>
      </c>
      <c r="AH263" s="44">
        <f t="shared" si="27"/>
        <v>9500</v>
      </c>
      <c r="AI263" s="44">
        <f t="shared" si="28"/>
        <v>8600</v>
      </c>
      <c r="AJ263" s="44">
        <f t="shared" si="29"/>
        <v>7300</v>
      </c>
    </row>
    <row r="264" s="44" customFormat="1" ht="38" customHeight="1" spans="1:36">
      <c r="A264" s="55"/>
      <c r="B264" s="55"/>
      <c r="C264" s="56" t="s">
        <v>1323</v>
      </c>
      <c r="D264" s="55"/>
      <c r="E264" s="59"/>
      <c r="F264" s="59"/>
      <c r="G264" s="55"/>
      <c r="H264" s="59"/>
      <c r="I264" s="37"/>
      <c r="J264" s="37"/>
      <c r="K264" s="64"/>
      <c r="L264" s="64"/>
      <c r="M264" s="64"/>
      <c r="N264" s="66">
        <v>9500</v>
      </c>
      <c r="O264" s="66">
        <v>8600</v>
      </c>
      <c r="P264" s="66">
        <v>7300</v>
      </c>
      <c r="Q264" s="55"/>
      <c r="R264" s="55"/>
      <c r="S264" s="74"/>
      <c r="T264" s="64"/>
      <c r="U264" s="59"/>
      <c r="V264" s="76" t="s">
        <v>1330</v>
      </c>
      <c r="W264" s="76">
        <v>330802036</v>
      </c>
      <c r="X264" s="77" t="s">
        <v>1331</v>
      </c>
      <c r="Y264" s="77" t="s">
        <v>1332</v>
      </c>
      <c r="Z264" s="77"/>
      <c r="AA264" s="77" t="s">
        <v>54</v>
      </c>
      <c r="AB264" s="77" t="s">
        <v>40</v>
      </c>
      <c r="AC264" s="88">
        <v>10400</v>
      </c>
      <c r="AD264" s="88">
        <v>9360</v>
      </c>
      <c r="AE264" s="88">
        <v>7960</v>
      </c>
      <c r="AF264" s="44">
        <f t="shared" si="25"/>
        <v>0</v>
      </c>
      <c r="AG264" s="44" t="str">
        <f t="shared" si="26"/>
        <v>右心室双出口矫治费</v>
      </c>
      <c r="AH264" s="44">
        <f t="shared" si="27"/>
        <v>9500</v>
      </c>
      <c r="AI264" s="44">
        <f t="shared" si="28"/>
        <v>8600</v>
      </c>
      <c r="AJ264" s="44">
        <f t="shared" si="29"/>
        <v>7300</v>
      </c>
    </row>
    <row r="265" s="44" customFormat="1" ht="38" customHeight="1" spans="1:36">
      <c r="A265" s="55" t="s">
        <v>55</v>
      </c>
      <c r="B265" s="55" t="s">
        <v>1333</v>
      </c>
      <c r="C265" s="56" t="s">
        <v>1334</v>
      </c>
      <c r="D265" s="55" t="s">
        <v>350</v>
      </c>
      <c r="E265" s="59" t="s">
        <v>40</v>
      </c>
      <c r="F265" s="59" t="s">
        <v>40</v>
      </c>
      <c r="G265" s="55" t="s">
        <v>54</v>
      </c>
      <c r="H265" s="59" t="s">
        <v>40</v>
      </c>
      <c r="I265" s="30">
        <v>3096</v>
      </c>
      <c r="J265" s="30">
        <v>2786</v>
      </c>
      <c r="K265" s="64"/>
      <c r="L265" s="64"/>
      <c r="M265" s="64"/>
      <c r="N265" s="66">
        <v>2850</v>
      </c>
      <c r="O265" s="66">
        <v>2580</v>
      </c>
      <c r="P265" s="66">
        <v>2190</v>
      </c>
      <c r="Q265" s="35"/>
      <c r="R265" s="35"/>
      <c r="S265" s="35"/>
      <c r="T265" s="64"/>
      <c r="U265" s="59" t="s">
        <v>305</v>
      </c>
      <c r="V265" s="76" t="s">
        <v>1335</v>
      </c>
      <c r="W265" s="76">
        <v>33080201801</v>
      </c>
      <c r="X265" s="77" t="s">
        <v>1336</v>
      </c>
      <c r="Y265" s="77"/>
      <c r="Z265" s="77"/>
      <c r="AA265" s="77" t="s">
        <v>54</v>
      </c>
      <c r="AB265" s="77" t="s">
        <v>40</v>
      </c>
      <c r="AC265" s="88">
        <v>13520</v>
      </c>
      <c r="AD265" s="88">
        <v>12170</v>
      </c>
      <c r="AE265" s="88">
        <v>10345</v>
      </c>
      <c r="AF265" s="44">
        <f t="shared" si="25"/>
        <v>10</v>
      </c>
      <c r="AG265" s="44" t="str">
        <f t="shared" si="26"/>
        <v>右心室双出口矫治费</v>
      </c>
      <c r="AH265" s="44">
        <f t="shared" si="27"/>
        <v>12350</v>
      </c>
      <c r="AI265" s="44">
        <f t="shared" si="28"/>
        <v>11180</v>
      </c>
      <c r="AJ265" s="44">
        <f t="shared" si="29"/>
        <v>9490</v>
      </c>
    </row>
    <row r="266" s="44" customFormat="1" ht="38" customHeight="1" spans="1:36">
      <c r="A266" s="55"/>
      <c r="B266" s="55"/>
      <c r="C266" s="56" t="s">
        <v>1334</v>
      </c>
      <c r="D266" s="55"/>
      <c r="E266" s="59"/>
      <c r="F266" s="59"/>
      <c r="G266" s="55"/>
      <c r="H266" s="59"/>
      <c r="I266" s="37"/>
      <c r="J266" s="37"/>
      <c r="K266" s="64"/>
      <c r="L266" s="64"/>
      <c r="M266" s="64"/>
      <c r="N266" s="66">
        <v>2850</v>
      </c>
      <c r="O266" s="66">
        <v>2580</v>
      </c>
      <c r="P266" s="66">
        <v>2190</v>
      </c>
      <c r="Q266" s="35"/>
      <c r="R266" s="35"/>
      <c r="S266" s="35"/>
      <c r="T266" s="64"/>
      <c r="U266" s="59"/>
      <c r="V266" s="76" t="s">
        <v>1337</v>
      </c>
      <c r="W266" s="76">
        <v>33080203601</v>
      </c>
      <c r="X266" s="77" t="s">
        <v>1338</v>
      </c>
      <c r="Y266" s="77"/>
      <c r="Z266" s="77"/>
      <c r="AA266" s="77" t="s">
        <v>54</v>
      </c>
      <c r="AB266" s="77" t="s">
        <v>40</v>
      </c>
      <c r="AC266" s="88">
        <v>13520</v>
      </c>
      <c r="AD266" s="88">
        <v>12170</v>
      </c>
      <c r="AE266" s="88">
        <v>10345</v>
      </c>
      <c r="AF266" s="44">
        <f t="shared" si="25"/>
        <v>10</v>
      </c>
      <c r="AG266" s="44" t="str">
        <f t="shared" si="26"/>
        <v>右心室双出口矫治费</v>
      </c>
      <c r="AH266" s="44">
        <f t="shared" si="27"/>
        <v>12350</v>
      </c>
      <c r="AI266" s="44">
        <f t="shared" si="28"/>
        <v>11180</v>
      </c>
      <c r="AJ266" s="44">
        <f t="shared" si="29"/>
        <v>9490</v>
      </c>
    </row>
    <row r="267" s="44" customFormat="1" ht="66" customHeight="1" spans="1:36">
      <c r="A267" s="55">
        <v>84</v>
      </c>
      <c r="B267" s="55" t="s">
        <v>1339</v>
      </c>
      <c r="C267" s="55" t="s">
        <v>1340</v>
      </c>
      <c r="D267" s="55" t="s">
        <v>350</v>
      </c>
      <c r="E267" s="59" t="s">
        <v>1341</v>
      </c>
      <c r="F267" s="59" t="s">
        <v>1342</v>
      </c>
      <c r="G267" s="55" t="s">
        <v>54</v>
      </c>
      <c r="H267" s="59"/>
      <c r="I267" s="30">
        <v>10080</v>
      </c>
      <c r="J267" s="30">
        <v>9072</v>
      </c>
      <c r="K267" s="64"/>
      <c r="L267" s="64"/>
      <c r="M267" s="64"/>
      <c r="N267" s="35">
        <v>9200</v>
      </c>
      <c r="O267" s="35">
        <v>8300</v>
      </c>
      <c r="P267" s="35">
        <v>7100</v>
      </c>
      <c r="Q267" s="55" t="s">
        <v>41</v>
      </c>
      <c r="R267" s="55" t="s">
        <v>40</v>
      </c>
      <c r="S267" s="74" t="s">
        <v>40</v>
      </c>
      <c r="T267" s="64" t="s">
        <v>355</v>
      </c>
      <c r="U267" s="59" t="s">
        <v>1343</v>
      </c>
      <c r="V267" s="76" t="s">
        <v>1344</v>
      </c>
      <c r="W267" s="76">
        <v>330802037</v>
      </c>
      <c r="X267" s="77" t="s">
        <v>1345</v>
      </c>
      <c r="Y267" s="77" t="s">
        <v>1346</v>
      </c>
      <c r="Z267" s="77"/>
      <c r="AA267" s="77" t="s">
        <v>54</v>
      </c>
      <c r="AB267" s="77" t="s">
        <v>40</v>
      </c>
      <c r="AC267" s="88">
        <v>8660</v>
      </c>
      <c r="AD267" s="88">
        <v>7790</v>
      </c>
      <c r="AE267" s="88">
        <v>6620</v>
      </c>
      <c r="AF267" s="44">
        <f t="shared" si="25"/>
        <v>0</v>
      </c>
      <c r="AG267" s="44" t="str">
        <f t="shared" si="26"/>
        <v>心房调转费</v>
      </c>
      <c r="AH267" s="44">
        <f t="shared" si="27"/>
        <v>9200</v>
      </c>
      <c r="AI267" s="44">
        <f t="shared" si="28"/>
        <v>8300</v>
      </c>
      <c r="AJ267" s="44">
        <f t="shared" si="29"/>
        <v>7100</v>
      </c>
    </row>
    <row r="268" s="44" customFormat="1" ht="38" customHeight="1" spans="1:36">
      <c r="A268" s="55" t="s">
        <v>55</v>
      </c>
      <c r="B268" s="55" t="s">
        <v>1347</v>
      </c>
      <c r="C268" s="55" t="s">
        <v>1348</v>
      </c>
      <c r="D268" s="55" t="s">
        <v>350</v>
      </c>
      <c r="E268" s="59" t="s">
        <v>40</v>
      </c>
      <c r="F268" s="59" t="s">
        <v>40</v>
      </c>
      <c r="G268" s="55" t="s">
        <v>54</v>
      </c>
      <c r="H268" s="59" t="s">
        <v>40</v>
      </c>
      <c r="I268" s="30">
        <v>3024</v>
      </c>
      <c r="J268" s="30">
        <v>2722</v>
      </c>
      <c r="K268" s="64"/>
      <c r="L268" s="64"/>
      <c r="M268" s="64"/>
      <c r="N268" s="35">
        <v>2760</v>
      </c>
      <c r="O268" s="35">
        <v>2490</v>
      </c>
      <c r="P268" s="35">
        <v>2130</v>
      </c>
      <c r="Q268" s="35"/>
      <c r="R268" s="35"/>
      <c r="S268" s="35"/>
      <c r="T268" s="64"/>
      <c r="U268" s="59" t="s">
        <v>305</v>
      </c>
      <c r="V268" s="76" t="s">
        <v>1349</v>
      </c>
      <c r="W268" s="76">
        <v>33080203701</v>
      </c>
      <c r="X268" s="77" t="s">
        <v>1350</v>
      </c>
      <c r="Y268" s="77"/>
      <c r="Z268" s="77"/>
      <c r="AA268" s="77" t="s">
        <v>54</v>
      </c>
      <c r="AB268" s="77" t="s">
        <v>40</v>
      </c>
      <c r="AC268" s="88">
        <v>11260</v>
      </c>
      <c r="AD268" s="88">
        <v>10125</v>
      </c>
      <c r="AE268" s="88">
        <v>8605</v>
      </c>
      <c r="AF268" s="44">
        <f t="shared" si="25"/>
        <v>6</v>
      </c>
      <c r="AG268" s="44" t="str">
        <f t="shared" si="26"/>
        <v>心房调转费</v>
      </c>
      <c r="AH268" s="44">
        <f t="shared" si="27"/>
        <v>11960</v>
      </c>
      <c r="AI268" s="44">
        <f t="shared" si="28"/>
        <v>10790</v>
      </c>
      <c r="AJ268" s="44">
        <f t="shared" si="29"/>
        <v>9230</v>
      </c>
    </row>
    <row r="269" s="44" customFormat="1" ht="38" customHeight="1" spans="1:36">
      <c r="A269" s="55">
        <v>85</v>
      </c>
      <c r="B269" s="55" t="s">
        <v>1351</v>
      </c>
      <c r="C269" s="55" t="s">
        <v>1352</v>
      </c>
      <c r="D269" s="55" t="s">
        <v>350</v>
      </c>
      <c r="E269" s="59" t="s">
        <v>1353</v>
      </c>
      <c r="F269" s="59" t="s">
        <v>1354</v>
      </c>
      <c r="G269" s="55" t="s">
        <v>54</v>
      </c>
      <c r="H269" s="59" t="s">
        <v>40</v>
      </c>
      <c r="I269" s="30">
        <v>6720</v>
      </c>
      <c r="J269" s="30">
        <v>6048</v>
      </c>
      <c r="K269" s="64"/>
      <c r="L269" s="64"/>
      <c r="M269" s="64"/>
      <c r="N269" s="35">
        <v>6100</v>
      </c>
      <c r="O269" s="35">
        <v>5500</v>
      </c>
      <c r="P269" s="35">
        <v>4700</v>
      </c>
      <c r="Q269" s="35"/>
      <c r="R269" s="35"/>
      <c r="S269" s="35"/>
      <c r="T269" s="64" t="s">
        <v>355</v>
      </c>
      <c r="U269" s="59" t="s">
        <v>1343</v>
      </c>
      <c r="V269" s="76" t="s">
        <v>1355</v>
      </c>
      <c r="W269" s="76">
        <v>330801027</v>
      </c>
      <c r="X269" s="77" t="s">
        <v>1356</v>
      </c>
      <c r="Y269" s="77" t="s">
        <v>1357</v>
      </c>
      <c r="Z269" s="77"/>
      <c r="AA269" s="77" t="s">
        <v>54</v>
      </c>
      <c r="AB269" s="77"/>
      <c r="AC269" s="88">
        <v>5780</v>
      </c>
      <c r="AD269" s="88">
        <v>5200</v>
      </c>
      <c r="AE269" s="88">
        <v>4420</v>
      </c>
      <c r="AF269" s="44">
        <f t="shared" si="25"/>
        <v>0</v>
      </c>
      <c r="AG269" s="44" t="str">
        <f t="shared" si="26"/>
        <v>三房心矫治费</v>
      </c>
      <c r="AH269" s="44">
        <f t="shared" si="27"/>
        <v>6100</v>
      </c>
      <c r="AI269" s="44">
        <f t="shared" si="28"/>
        <v>5500</v>
      </c>
      <c r="AJ269" s="44">
        <f t="shared" si="29"/>
        <v>4700</v>
      </c>
    </row>
    <row r="270" s="44" customFormat="1" ht="38" customHeight="1" spans="1:36">
      <c r="A270" s="55" t="s">
        <v>55</v>
      </c>
      <c r="B270" s="55" t="s">
        <v>1358</v>
      </c>
      <c r="C270" s="55" t="s">
        <v>1359</v>
      </c>
      <c r="D270" s="55" t="s">
        <v>350</v>
      </c>
      <c r="E270" s="59" t="s">
        <v>40</v>
      </c>
      <c r="F270" s="59" t="s">
        <v>40</v>
      </c>
      <c r="G270" s="55" t="s">
        <v>54</v>
      </c>
      <c r="H270" s="59" t="s">
        <v>40</v>
      </c>
      <c r="I270" s="30">
        <v>2016</v>
      </c>
      <c r="J270" s="30">
        <v>1814</v>
      </c>
      <c r="K270" s="64"/>
      <c r="L270" s="64"/>
      <c r="M270" s="64"/>
      <c r="N270" s="35">
        <v>1830</v>
      </c>
      <c r="O270" s="35">
        <v>1650</v>
      </c>
      <c r="P270" s="35">
        <v>1410</v>
      </c>
      <c r="Q270" s="55" t="s">
        <v>41</v>
      </c>
      <c r="R270" s="55" t="s">
        <v>40</v>
      </c>
      <c r="S270" s="74" t="s">
        <v>40</v>
      </c>
      <c r="T270" s="64"/>
      <c r="U270" s="59" t="s">
        <v>305</v>
      </c>
      <c r="V270" s="76" t="s">
        <v>1360</v>
      </c>
      <c r="W270" s="76">
        <v>33080102701</v>
      </c>
      <c r="X270" s="77" t="s">
        <v>1361</v>
      </c>
      <c r="Y270" s="77"/>
      <c r="Z270" s="77"/>
      <c r="AA270" s="77" t="s">
        <v>54</v>
      </c>
      <c r="AB270" s="77" t="s">
        <v>40</v>
      </c>
      <c r="AC270" s="88">
        <v>7515</v>
      </c>
      <c r="AD270" s="88">
        <v>6760</v>
      </c>
      <c r="AE270" s="88">
        <v>5745</v>
      </c>
      <c r="AF270" s="44">
        <f t="shared" si="25"/>
        <v>7</v>
      </c>
      <c r="AG270" s="44" t="str">
        <f t="shared" si="26"/>
        <v>三房心矫治费</v>
      </c>
      <c r="AH270" s="44">
        <f t="shared" si="27"/>
        <v>7930</v>
      </c>
      <c r="AI270" s="44">
        <f t="shared" si="28"/>
        <v>7150</v>
      </c>
      <c r="AJ270" s="44">
        <f t="shared" si="29"/>
        <v>6110</v>
      </c>
    </row>
    <row r="271" s="44" customFormat="1" ht="38" customHeight="1" spans="1:36">
      <c r="A271" s="55">
        <v>86</v>
      </c>
      <c r="B271" s="55" t="s">
        <v>1362</v>
      </c>
      <c r="C271" s="56" t="s">
        <v>1363</v>
      </c>
      <c r="D271" s="55" t="s">
        <v>350</v>
      </c>
      <c r="E271" s="59" t="s">
        <v>1364</v>
      </c>
      <c r="F271" s="59" t="s">
        <v>1365</v>
      </c>
      <c r="G271" s="55" t="s">
        <v>54</v>
      </c>
      <c r="H271" s="59" t="s">
        <v>40</v>
      </c>
      <c r="I271" s="30">
        <v>6190</v>
      </c>
      <c r="J271" s="30">
        <v>5571</v>
      </c>
      <c r="K271" s="64"/>
      <c r="L271" s="64"/>
      <c r="M271" s="64"/>
      <c r="N271" s="66">
        <v>5600</v>
      </c>
      <c r="O271" s="66">
        <v>5050</v>
      </c>
      <c r="P271" s="66">
        <v>4300</v>
      </c>
      <c r="Q271" s="55" t="s">
        <v>41</v>
      </c>
      <c r="R271" s="55" t="s">
        <v>40</v>
      </c>
      <c r="S271" s="74" t="s">
        <v>40</v>
      </c>
      <c r="T271" s="64" t="s">
        <v>355</v>
      </c>
      <c r="U271" s="59" t="s">
        <v>1011</v>
      </c>
      <c r="V271" s="76" t="s">
        <v>1366</v>
      </c>
      <c r="W271" s="76">
        <v>330801007</v>
      </c>
      <c r="X271" s="77" t="s">
        <v>1367</v>
      </c>
      <c r="Y271" s="77" t="s">
        <v>1368</v>
      </c>
      <c r="Z271" s="77" t="s">
        <v>1218</v>
      </c>
      <c r="AA271" s="77" t="s">
        <v>54</v>
      </c>
      <c r="AB271" s="77" t="s">
        <v>40</v>
      </c>
      <c r="AC271" s="88">
        <v>5060</v>
      </c>
      <c r="AD271" s="88">
        <v>4550</v>
      </c>
      <c r="AE271" s="88">
        <v>3870</v>
      </c>
      <c r="AF271" s="44">
        <f t="shared" si="25"/>
        <v>0</v>
      </c>
      <c r="AG271" s="44" t="str">
        <f t="shared" si="26"/>
        <v>主动脉瓣成形费</v>
      </c>
      <c r="AH271" s="44">
        <f t="shared" si="27"/>
        <v>5600</v>
      </c>
      <c r="AI271" s="44">
        <f t="shared" si="28"/>
        <v>5050</v>
      </c>
      <c r="AJ271" s="44">
        <f t="shared" si="29"/>
        <v>4300</v>
      </c>
    </row>
    <row r="272" s="44" customFormat="1" ht="38" customHeight="1" spans="1:36">
      <c r="A272" s="55"/>
      <c r="B272" s="55"/>
      <c r="C272" s="56" t="s">
        <v>1363</v>
      </c>
      <c r="D272" s="55"/>
      <c r="E272" s="59"/>
      <c r="F272" s="59"/>
      <c r="G272" s="55"/>
      <c r="H272" s="59"/>
      <c r="I272" s="37"/>
      <c r="J272" s="37"/>
      <c r="K272" s="64"/>
      <c r="L272" s="64"/>
      <c r="M272" s="64"/>
      <c r="N272" s="66">
        <v>5600</v>
      </c>
      <c r="O272" s="66">
        <v>5050</v>
      </c>
      <c r="P272" s="66">
        <v>4300</v>
      </c>
      <c r="Q272" s="55"/>
      <c r="R272" s="55"/>
      <c r="S272" s="74"/>
      <c r="T272" s="64"/>
      <c r="U272" s="59"/>
      <c r="V272" s="76" t="s">
        <v>1369</v>
      </c>
      <c r="W272" s="76">
        <v>330801008</v>
      </c>
      <c r="X272" s="77" t="s">
        <v>1370</v>
      </c>
      <c r="Y272" s="77"/>
      <c r="Z272" s="77"/>
      <c r="AA272" s="77" t="s">
        <v>54</v>
      </c>
      <c r="AB272" s="77" t="s">
        <v>40</v>
      </c>
      <c r="AC272" s="88">
        <v>5400</v>
      </c>
      <c r="AD272" s="88">
        <v>4860</v>
      </c>
      <c r="AE272" s="88">
        <v>4130</v>
      </c>
      <c r="AF272" s="44">
        <f t="shared" si="25"/>
        <v>0</v>
      </c>
      <c r="AG272" s="44" t="str">
        <f t="shared" si="26"/>
        <v>主动脉瓣成形费</v>
      </c>
      <c r="AH272" s="44">
        <f t="shared" si="27"/>
        <v>5600</v>
      </c>
      <c r="AI272" s="44">
        <f t="shared" si="28"/>
        <v>5050</v>
      </c>
      <c r="AJ272" s="44">
        <f t="shared" si="29"/>
        <v>4300</v>
      </c>
    </row>
    <row r="273" s="44" customFormat="1" ht="38" customHeight="1" spans="1:36">
      <c r="A273" s="55"/>
      <c r="B273" s="55"/>
      <c r="C273" s="56" t="s">
        <v>1363</v>
      </c>
      <c r="D273" s="55"/>
      <c r="E273" s="59"/>
      <c r="F273" s="59"/>
      <c r="G273" s="55"/>
      <c r="H273" s="59"/>
      <c r="I273" s="37"/>
      <c r="J273" s="37"/>
      <c r="K273" s="64"/>
      <c r="L273" s="64"/>
      <c r="M273" s="64"/>
      <c r="N273" s="66">
        <v>5600</v>
      </c>
      <c r="O273" s="66">
        <v>5050</v>
      </c>
      <c r="P273" s="66">
        <v>4300</v>
      </c>
      <c r="Q273" s="55"/>
      <c r="R273" s="55"/>
      <c r="S273" s="74"/>
      <c r="T273" s="64"/>
      <c r="U273" s="59"/>
      <c r="V273" s="76" t="s">
        <v>1371</v>
      </c>
      <c r="W273" s="76">
        <v>33080100802</v>
      </c>
      <c r="X273" s="77" t="s">
        <v>1372</v>
      </c>
      <c r="Y273" s="77"/>
      <c r="Z273" s="77"/>
      <c r="AA273" s="77" t="s">
        <v>54</v>
      </c>
      <c r="AB273" s="77" t="s">
        <v>40</v>
      </c>
      <c r="AC273" s="88">
        <v>6025</v>
      </c>
      <c r="AD273" s="88">
        <v>5460</v>
      </c>
      <c r="AE273" s="88">
        <v>4640</v>
      </c>
      <c r="AF273" s="44">
        <f t="shared" si="25"/>
        <v>0</v>
      </c>
      <c r="AG273" s="44" t="str">
        <f t="shared" si="26"/>
        <v>主动脉瓣成形费</v>
      </c>
      <c r="AH273" s="44">
        <f t="shared" si="27"/>
        <v>5600</v>
      </c>
      <c r="AI273" s="44">
        <f t="shared" si="28"/>
        <v>5050</v>
      </c>
      <c r="AJ273" s="44">
        <f t="shared" si="29"/>
        <v>4300</v>
      </c>
    </row>
    <row r="274" s="44" customFormat="1" ht="38" customHeight="1" spans="1:36">
      <c r="A274" s="55" t="s">
        <v>55</v>
      </c>
      <c r="B274" s="55" t="s">
        <v>1373</v>
      </c>
      <c r="C274" s="56" t="s">
        <v>1374</v>
      </c>
      <c r="D274" s="55" t="s">
        <v>350</v>
      </c>
      <c r="E274" s="59" t="s">
        <v>40</v>
      </c>
      <c r="F274" s="59" t="s">
        <v>40</v>
      </c>
      <c r="G274" s="55" t="s">
        <v>54</v>
      </c>
      <c r="H274" s="59" t="s">
        <v>40</v>
      </c>
      <c r="I274" s="30">
        <v>1857</v>
      </c>
      <c r="J274" s="30">
        <v>1671</v>
      </c>
      <c r="K274" s="64"/>
      <c r="L274" s="64"/>
      <c r="M274" s="64"/>
      <c r="N274" s="66">
        <v>1680</v>
      </c>
      <c r="O274" s="66">
        <v>1515</v>
      </c>
      <c r="P274" s="66">
        <v>1290</v>
      </c>
      <c r="Q274" s="55" t="s">
        <v>41</v>
      </c>
      <c r="R274" s="55" t="s">
        <v>40</v>
      </c>
      <c r="S274" s="74" t="s">
        <v>40</v>
      </c>
      <c r="T274" s="64"/>
      <c r="U274" s="59" t="s">
        <v>305</v>
      </c>
      <c r="V274" s="76" t="s">
        <v>1375</v>
      </c>
      <c r="W274" s="76">
        <v>33080100701</v>
      </c>
      <c r="X274" s="77" t="s">
        <v>1376</v>
      </c>
      <c r="Y274" s="77"/>
      <c r="Z274" s="77"/>
      <c r="AA274" s="77" t="s">
        <v>54</v>
      </c>
      <c r="AB274" s="77" t="s">
        <v>40</v>
      </c>
      <c r="AC274" s="88">
        <v>6580</v>
      </c>
      <c r="AD274" s="88">
        <v>5915</v>
      </c>
      <c r="AE274" s="88">
        <v>5030</v>
      </c>
      <c r="AF274" s="44">
        <f t="shared" si="25"/>
        <v>8</v>
      </c>
      <c r="AG274" s="44" t="str">
        <f t="shared" si="26"/>
        <v>主动脉瓣成形费</v>
      </c>
      <c r="AH274" s="44">
        <f t="shared" si="27"/>
        <v>7280</v>
      </c>
      <c r="AI274" s="44">
        <f t="shared" si="28"/>
        <v>6565</v>
      </c>
      <c r="AJ274" s="44">
        <f t="shared" si="29"/>
        <v>5590</v>
      </c>
    </row>
    <row r="275" s="44" customFormat="1" ht="38" customHeight="1" spans="1:36">
      <c r="A275" s="55"/>
      <c r="B275" s="55"/>
      <c r="C275" s="56" t="s">
        <v>1374</v>
      </c>
      <c r="D275" s="55"/>
      <c r="E275" s="59"/>
      <c r="F275" s="59"/>
      <c r="G275" s="55"/>
      <c r="H275" s="59"/>
      <c r="I275" s="37"/>
      <c r="J275" s="37"/>
      <c r="K275" s="64"/>
      <c r="L275" s="64"/>
      <c r="M275" s="64"/>
      <c r="N275" s="66">
        <v>1680</v>
      </c>
      <c r="O275" s="66">
        <v>1515</v>
      </c>
      <c r="P275" s="66">
        <v>1290</v>
      </c>
      <c r="Q275" s="55"/>
      <c r="R275" s="55"/>
      <c r="S275" s="74"/>
      <c r="T275" s="64"/>
      <c r="U275" s="59"/>
      <c r="V275" s="76" t="s">
        <v>1377</v>
      </c>
      <c r="W275" s="76">
        <v>33080100801</v>
      </c>
      <c r="X275" s="77" t="s">
        <v>1378</v>
      </c>
      <c r="Y275" s="77"/>
      <c r="Z275" s="77"/>
      <c r="AA275" s="77" t="s">
        <v>54</v>
      </c>
      <c r="AB275" s="77" t="s">
        <v>40</v>
      </c>
      <c r="AC275" s="88">
        <v>7020</v>
      </c>
      <c r="AD275" s="88">
        <v>6320</v>
      </c>
      <c r="AE275" s="88">
        <v>5370</v>
      </c>
      <c r="AF275" s="44">
        <f t="shared" si="25"/>
        <v>8</v>
      </c>
      <c r="AG275" s="44" t="str">
        <f t="shared" si="26"/>
        <v>主动脉瓣成形费</v>
      </c>
      <c r="AH275" s="44">
        <f t="shared" si="27"/>
        <v>7280</v>
      </c>
      <c r="AI275" s="44">
        <f t="shared" si="28"/>
        <v>6565</v>
      </c>
      <c r="AJ275" s="44">
        <f t="shared" si="29"/>
        <v>5590</v>
      </c>
    </row>
    <row r="276" s="44" customFormat="1" ht="38" customHeight="1" spans="1:36">
      <c r="A276" s="55"/>
      <c r="B276" s="55"/>
      <c r="C276" s="56" t="s">
        <v>1374</v>
      </c>
      <c r="D276" s="55"/>
      <c r="E276" s="59"/>
      <c r="F276" s="59"/>
      <c r="G276" s="55"/>
      <c r="H276" s="59"/>
      <c r="I276" s="37"/>
      <c r="J276" s="37"/>
      <c r="K276" s="64"/>
      <c r="L276" s="64"/>
      <c r="M276" s="64"/>
      <c r="N276" s="66">
        <v>1680</v>
      </c>
      <c r="O276" s="66">
        <v>1515</v>
      </c>
      <c r="P276" s="66">
        <v>1290</v>
      </c>
      <c r="Q276" s="55"/>
      <c r="R276" s="55"/>
      <c r="S276" s="74"/>
      <c r="T276" s="64"/>
      <c r="U276" s="59"/>
      <c r="V276" s="76" t="s">
        <v>1379</v>
      </c>
      <c r="W276" s="76">
        <v>33080100803</v>
      </c>
      <c r="X276" s="77" t="s">
        <v>1380</v>
      </c>
      <c r="Y276" s="77"/>
      <c r="Z276" s="77"/>
      <c r="AA276" s="77" t="s">
        <v>54</v>
      </c>
      <c r="AB276" s="77" t="s">
        <v>40</v>
      </c>
      <c r="AC276" s="88">
        <v>7645</v>
      </c>
      <c r="AD276" s="88">
        <v>6920</v>
      </c>
      <c r="AE276" s="88">
        <v>5880</v>
      </c>
      <c r="AF276" s="44">
        <f t="shared" si="25"/>
        <v>8</v>
      </c>
      <c r="AG276" s="44" t="str">
        <f t="shared" si="26"/>
        <v>主动脉瓣成形费</v>
      </c>
      <c r="AH276" s="44">
        <f t="shared" si="27"/>
        <v>7280</v>
      </c>
      <c r="AI276" s="44">
        <f t="shared" si="28"/>
        <v>6565</v>
      </c>
      <c r="AJ276" s="44">
        <f t="shared" si="29"/>
        <v>5590</v>
      </c>
    </row>
    <row r="277" s="44" customFormat="1" ht="38" customHeight="1" spans="1:36">
      <c r="A277" s="55">
        <v>87</v>
      </c>
      <c r="B277" s="55" t="s">
        <v>1381</v>
      </c>
      <c r="C277" s="56" t="s">
        <v>1382</v>
      </c>
      <c r="D277" s="55" t="s">
        <v>350</v>
      </c>
      <c r="E277" s="59" t="s">
        <v>1383</v>
      </c>
      <c r="F277" s="59" t="s">
        <v>1365</v>
      </c>
      <c r="G277" s="55" t="s">
        <v>54</v>
      </c>
      <c r="H277" s="59" t="s">
        <v>40</v>
      </c>
      <c r="I277" s="30">
        <v>5760</v>
      </c>
      <c r="J277" s="30">
        <v>5184</v>
      </c>
      <c r="K277" s="64">
        <v>5500</v>
      </c>
      <c r="L277" s="64"/>
      <c r="M277" s="64"/>
      <c r="N277" s="66">
        <v>5500</v>
      </c>
      <c r="O277" s="66">
        <v>4950</v>
      </c>
      <c r="P277" s="67">
        <v>4200</v>
      </c>
      <c r="Q277" s="55" t="s">
        <v>41</v>
      </c>
      <c r="R277" s="55" t="s">
        <v>40</v>
      </c>
      <c r="S277" s="74" t="s">
        <v>40</v>
      </c>
      <c r="T277" s="64" t="s">
        <v>183</v>
      </c>
      <c r="U277" s="59" t="s">
        <v>973</v>
      </c>
      <c r="V277" s="76" t="s">
        <v>1384</v>
      </c>
      <c r="W277" s="76">
        <v>330801001</v>
      </c>
      <c r="X277" s="77" t="s">
        <v>1385</v>
      </c>
      <c r="Y277" s="77" t="s">
        <v>1386</v>
      </c>
      <c r="Z277" s="77"/>
      <c r="AA277" s="77" t="s">
        <v>54</v>
      </c>
      <c r="AB277" s="77" t="s">
        <v>40</v>
      </c>
      <c r="AC277" s="88">
        <v>2250</v>
      </c>
      <c r="AD277" s="88">
        <v>2160</v>
      </c>
      <c r="AE277" s="88">
        <v>1836</v>
      </c>
      <c r="AF277" s="44">
        <f t="shared" si="25"/>
        <v>0</v>
      </c>
      <c r="AG277" s="44" t="str">
        <f t="shared" si="26"/>
        <v>二尖瓣成形费</v>
      </c>
      <c r="AH277" s="44">
        <f t="shared" si="27"/>
        <v>5500</v>
      </c>
      <c r="AI277" s="44">
        <f t="shared" si="28"/>
        <v>4950</v>
      </c>
      <c r="AJ277" s="44">
        <f t="shared" si="29"/>
        <v>4200</v>
      </c>
    </row>
    <row r="278" s="44" customFormat="1" ht="38" customHeight="1" spans="1:36">
      <c r="A278" s="55"/>
      <c r="B278" s="55"/>
      <c r="C278" s="56" t="s">
        <v>1382</v>
      </c>
      <c r="D278" s="55"/>
      <c r="E278" s="59"/>
      <c r="F278" s="59"/>
      <c r="G278" s="55"/>
      <c r="H278" s="59"/>
      <c r="I278" s="37"/>
      <c r="J278" s="37"/>
      <c r="K278" s="64"/>
      <c r="L278" s="64"/>
      <c r="M278" s="64"/>
      <c r="N278" s="66">
        <v>5500</v>
      </c>
      <c r="O278" s="66">
        <v>4950</v>
      </c>
      <c r="P278" s="67">
        <v>4200</v>
      </c>
      <c r="Q278" s="55"/>
      <c r="R278" s="55"/>
      <c r="S278" s="74"/>
      <c r="T278" s="64"/>
      <c r="U278" s="59"/>
      <c r="V278" s="76" t="s">
        <v>1387</v>
      </c>
      <c r="W278" s="76">
        <v>330801002</v>
      </c>
      <c r="X278" s="77" t="s">
        <v>1388</v>
      </c>
      <c r="Y278" s="77" t="s">
        <v>1389</v>
      </c>
      <c r="Z278" s="77"/>
      <c r="AA278" s="77" t="s">
        <v>54</v>
      </c>
      <c r="AB278" s="77" t="s">
        <v>1390</v>
      </c>
      <c r="AC278" s="88">
        <v>5500</v>
      </c>
      <c r="AD278" s="88">
        <v>4950</v>
      </c>
      <c r="AE278" s="88">
        <v>3960</v>
      </c>
      <c r="AF278" s="44">
        <f t="shared" si="25"/>
        <v>0</v>
      </c>
      <c r="AG278" s="44" t="str">
        <f t="shared" si="26"/>
        <v>二尖瓣成形费</v>
      </c>
      <c r="AH278" s="44">
        <f t="shared" si="27"/>
        <v>5500</v>
      </c>
      <c r="AI278" s="44">
        <f t="shared" si="28"/>
        <v>4950</v>
      </c>
      <c r="AJ278" s="44">
        <f t="shared" si="29"/>
        <v>4200</v>
      </c>
    </row>
    <row r="279" s="44" customFormat="1" ht="38" customHeight="1" spans="1:36">
      <c r="A279" s="55"/>
      <c r="B279" s="55"/>
      <c r="C279" s="56" t="s">
        <v>1382</v>
      </c>
      <c r="D279" s="55"/>
      <c r="E279" s="59"/>
      <c r="F279" s="59"/>
      <c r="G279" s="55"/>
      <c r="H279" s="59"/>
      <c r="I279" s="37"/>
      <c r="J279" s="37"/>
      <c r="K279" s="64"/>
      <c r="L279" s="64"/>
      <c r="M279" s="64"/>
      <c r="N279" s="66">
        <v>5500</v>
      </c>
      <c r="O279" s="66">
        <v>4950</v>
      </c>
      <c r="P279" s="67">
        <v>4200</v>
      </c>
      <c r="Q279" s="55"/>
      <c r="R279" s="55"/>
      <c r="S279" s="74"/>
      <c r="T279" s="64"/>
      <c r="U279" s="59"/>
      <c r="V279" s="76" t="s">
        <v>1391</v>
      </c>
      <c r="W279" s="76">
        <v>330803014</v>
      </c>
      <c r="X279" s="77" t="s">
        <v>1392</v>
      </c>
      <c r="Y279" s="108" t="s">
        <v>1393</v>
      </c>
      <c r="Z279" s="77"/>
      <c r="AA279" s="77" t="s">
        <v>54</v>
      </c>
      <c r="AB279" s="77" t="s">
        <v>1394</v>
      </c>
      <c r="AC279" s="88">
        <v>9120</v>
      </c>
      <c r="AD279" s="88">
        <v>8665</v>
      </c>
      <c r="AE279" s="88">
        <v>7365</v>
      </c>
      <c r="AF279" s="44">
        <f t="shared" si="25"/>
        <v>0</v>
      </c>
      <c r="AG279" s="44" t="str">
        <f t="shared" si="26"/>
        <v>二尖瓣成形费</v>
      </c>
      <c r="AH279" s="44">
        <f t="shared" si="27"/>
        <v>5500</v>
      </c>
      <c r="AI279" s="44">
        <f t="shared" si="28"/>
        <v>4950</v>
      </c>
      <c r="AJ279" s="44">
        <f t="shared" si="29"/>
        <v>4200</v>
      </c>
    </row>
    <row r="280" s="44" customFormat="1" ht="38" customHeight="1" spans="1:36">
      <c r="A280" s="55" t="s">
        <v>55</v>
      </c>
      <c r="B280" s="55" t="s">
        <v>1395</v>
      </c>
      <c r="C280" s="56" t="s">
        <v>1396</v>
      </c>
      <c r="D280" s="55" t="s">
        <v>350</v>
      </c>
      <c r="E280" s="59" t="s">
        <v>40</v>
      </c>
      <c r="F280" s="59" t="s">
        <v>40</v>
      </c>
      <c r="G280" s="55" t="s">
        <v>54</v>
      </c>
      <c r="H280" s="59" t="s">
        <v>40</v>
      </c>
      <c r="I280" s="30">
        <v>1728</v>
      </c>
      <c r="J280" s="30">
        <v>1555</v>
      </c>
      <c r="K280" s="64"/>
      <c r="L280" s="64"/>
      <c r="M280" s="64"/>
      <c r="N280" s="66">
        <v>1650</v>
      </c>
      <c r="O280" s="66">
        <v>1485</v>
      </c>
      <c r="P280" s="66">
        <v>1260</v>
      </c>
      <c r="Q280" s="55" t="s">
        <v>41</v>
      </c>
      <c r="R280" s="55" t="s">
        <v>40</v>
      </c>
      <c r="S280" s="74" t="s">
        <v>40</v>
      </c>
      <c r="T280" s="64"/>
      <c r="U280" s="59" t="s">
        <v>305</v>
      </c>
      <c r="V280" s="76" t="s">
        <v>1397</v>
      </c>
      <c r="W280" s="76">
        <v>33080100101</v>
      </c>
      <c r="X280" s="77" t="s">
        <v>1398</v>
      </c>
      <c r="Y280" s="77"/>
      <c r="Z280" s="77"/>
      <c r="AA280" s="77" t="s">
        <v>54</v>
      </c>
      <c r="AB280" s="77" t="s">
        <v>40</v>
      </c>
      <c r="AC280" s="88">
        <v>2925</v>
      </c>
      <c r="AD280" s="88">
        <v>2810</v>
      </c>
      <c r="AE280" s="88">
        <v>2390</v>
      </c>
      <c r="AF280" s="44">
        <f t="shared" si="25"/>
        <v>7</v>
      </c>
      <c r="AG280" s="44" t="str">
        <f t="shared" si="26"/>
        <v>二尖瓣成形费</v>
      </c>
      <c r="AH280" s="44">
        <f t="shared" si="27"/>
        <v>7150</v>
      </c>
      <c r="AI280" s="44">
        <f t="shared" si="28"/>
        <v>6435</v>
      </c>
      <c r="AJ280" s="44">
        <f t="shared" si="29"/>
        <v>5460</v>
      </c>
    </row>
    <row r="281" s="44" customFormat="1" ht="38" customHeight="1" spans="1:36">
      <c r="A281" s="55"/>
      <c r="B281" s="55"/>
      <c r="C281" s="56" t="s">
        <v>1396</v>
      </c>
      <c r="D281" s="55"/>
      <c r="E281" s="59"/>
      <c r="F281" s="59"/>
      <c r="G281" s="55"/>
      <c r="H281" s="59"/>
      <c r="I281" s="37"/>
      <c r="J281" s="37"/>
      <c r="K281" s="64"/>
      <c r="L281" s="64"/>
      <c r="M281" s="64"/>
      <c r="N281" s="66">
        <v>1650</v>
      </c>
      <c r="O281" s="66">
        <v>1485</v>
      </c>
      <c r="P281" s="66">
        <v>1260</v>
      </c>
      <c r="Q281" s="55"/>
      <c r="R281" s="55"/>
      <c r="S281" s="74"/>
      <c r="T281" s="64"/>
      <c r="U281" s="59"/>
      <c r="V281" s="76" t="s">
        <v>1399</v>
      </c>
      <c r="W281" s="76">
        <v>33080100201</v>
      </c>
      <c r="X281" s="77" t="s">
        <v>1400</v>
      </c>
      <c r="Y281" s="77"/>
      <c r="Z281" s="77"/>
      <c r="AA281" s="77" t="s">
        <v>54</v>
      </c>
      <c r="AB281" s="77" t="s">
        <v>40</v>
      </c>
      <c r="AC281" s="88">
        <v>7150</v>
      </c>
      <c r="AD281" s="88">
        <v>6435</v>
      </c>
      <c r="AE281" s="88">
        <v>5150</v>
      </c>
      <c r="AF281" s="44">
        <f t="shared" si="25"/>
        <v>7</v>
      </c>
      <c r="AG281" s="44" t="str">
        <f t="shared" si="26"/>
        <v>二尖瓣成形费</v>
      </c>
      <c r="AH281" s="44">
        <f t="shared" si="27"/>
        <v>7150</v>
      </c>
      <c r="AI281" s="44">
        <f t="shared" si="28"/>
        <v>6435</v>
      </c>
      <c r="AJ281" s="44">
        <f t="shared" si="29"/>
        <v>5460</v>
      </c>
    </row>
    <row r="282" s="44" customFormat="1" ht="38" customHeight="1" spans="1:36">
      <c r="A282" s="55"/>
      <c r="B282" s="55"/>
      <c r="C282" s="56" t="s">
        <v>1396</v>
      </c>
      <c r="D282" s="55"/>
      <c r="E282" s="59"/>
      <c r="F282" s="59"/>
      <c r="G282" s="55"/>
      <c r="H282" s="59"/>
      <c r="I282" s="37"/>
      <c r="J282" s="37"/>
      <c r="K282" s="64"/>
      <c r="L282" s="64"/>
      <c r="M282" s="64"/>
      <c r="N282" s="66">
        <v>1650</v>
      </c>
      <c r="O282" s="66">
        <v>1485</v>
      </c>
      <c r="P282" s="66">
        <v>1260</v>
      </c>
      <c r="Q282" s="55"/>
      <c r="R282" s="55"/>
      <c r="S282" s="74"/>
      <c r="T282" s="64"/>
      <c r="U282" s="59"/>
      <c r="V282" s="76" t="s">
        <v>1401</v>
      </c>
      <c r="W282" s="76">
        <v>33080301401</v>
      </c>
      <c r="X282" s="77" t="s">
        <v>1402</v>
      </c>
      <c r="Y282" s="77"/>
      <c r="Z282" s="77"/>
      <c r="AA282" s="77" t="s">
        <v>54</v>
      </c>
      <c r="AB282" s="77" t="s">
        <v>40</v>
      </c>
      <c r="AC282" s="88">
        <v>11855</v>
      </c>
      <c r="AD282" s="88">
        <v>11265</v>
      </c>
      <c r="AE282" s="88">
        <v>9575</v>
      </c>
      <c r="AF282" s="44">
        <f t="shared" si="25"/>
        <v>7</v>
      </c>
      <c r="AG282" s="44" t="str">
        <f t="shared" si="26"/>
        <v>二尖瓣成形费</v>
      </c>
      <c r="AH282" s="44">
        <f t="shared" si="27"/>
        <v>7150</v>
      </c>
      <c r="AI282" s="44">
        <f t="shared" si="28"/>
        <v>6435</v>
      </c>
      <c r="AJ282" s="44">
        <f t="shared" si="29"/>
        <v>5460</v>
      </c>
    </row>
    <row r="283" s="44" customFormat="1" ht="38" customHeight="1" spans="1:36">
      <c r="A283" s="55">
        <v>88</v>
      </c>
      <c r="B283" s="55" t="s">
        <v>1405</v>
      </c>
      <c r="C283" s="55" t="s">
        <v>1406</v>
      </c>
      <c r="D283" s="55" t="s">
        <v>350</v>
      </c>
      <c r="E283" s="59" t="s">
        <v>1407</v>
      </c>
      <c r="F283" s="59" t="s">
        <v>1365</v>
      </c>
      <c r="G283" s="55" t="s">
        <v>54</v>
      </c>
      <c r="H283" s="59" t="s">
        <v>40</v>
      </c>
      <c r="I283" s="30">
        <v>5010</v>
      </c>
      <c r="J283" s="30">
        <v>4509</v>
      </c>
      <c r="K283" s="64">
        <v>4750</v>
      </c>
      <c r="L283" s="64">
        <v>4275</v>
      </c>
      <c r="M283" s="64">
        <v>3420</v>
      </c>
      <c r="N283" s="35">
        <v>4750</v>
      </c>
      <c r="O283" s="35">
        <v>4275</v>
      </c>
      <c r="P283" s="68">
        <v>3650</v>
      </c>
      <c r="Q283" s="55" t="s">
        <v>41</v>
      </c>
      <c r="R283" s="55" t="s">
        <v>40</v>
      </c>
      <c r="S283" s="74" t="s">
        <v>40</v>
      </c>
      <c r="T283" s="64" t="s">
        <v>183</v>
      </c>
      <c r="U283" s="59" t="s">
        <v>973</v>
      </c>
      <c r="V283" s="76" t="s">
        <v>1408</v>
      </c>
      <c r="W283" s="76">
        <v>330801004</v>
      </c>
      <c r="X283" s="77" t="s">
        <v>1409</v>
      </c>
      <c r="Y283" s="77" t="s">
        <v>1410</v>
      </c>
      <c r="Z283" s="77"/>
      <c r="AA283" s="77" t="s">
        <v>54</v>
      </c>
      <c r="AB283" s="77" t="s">
        <v>40</v>
      </c>
      <c r="AC283" s="88">
        <v>4750</v>
      </c>
      <c r="AD283" s="88">
        <v>4275</v>
      </c>
      <c r="AE283" s="88">
        <v>3420</v>
      </c>
      <c r="AF283" s="44">
        <f t="shared" si="25"/>
        <v>0</v>
      </c>
      <c r="AG283" s="44" t="str">
        <f t="shared" si="26"/>
        <v>三尖瓣成形费</v>
      </c>
      <c r="AH283" s="44">
        <f t="shared" si="27"/>
        <v>4750</v>
      </c>
      <c r="AI283" s="44">
        <f t="shared" si="28"/>
        <v>4275</v>
      </c>
      <c r="AJ283" s="44">
        <f t="shared" si="29"/>
        <v>3650</v>
      </c>
    </row>
    <row r="284" s="44" customFormat="1" ht="38" customHeight="1" spans="1:36">
      <c r="A284" s="55" t="s">
        <v>55</v>
      </c>
      <c r="B284" s="55" t="s">
        <v>1411</v>
      </c>
      <c r="C284" s="55" t="s">
        <v>1412</v>
      </c>
      <c r="D284" s="55" t="s">
        <v>350</v>
      </c>
      <c r="E284" s="59" t="s">
        <v>40</v>
      </c>
      <c r="F284" s="59" t="s">
        <v>40</v>
      </c>
      <c r="G284" s="55" t="s">
        <v>54</v>
      </c>
      <c r="H284" s="59" t="s">
        <v>40</v>
      </c>
      <c r="I284" s="30">
        <v>1503</v>
      </c>
      <c r="J284" s="30">
        <v>1353</v>
      </c>
      <c r="K284" s="64"/>
      <c r="L284" s="64"/>
      <c r="M284" s="64"/>
      <c r="N284" s="35">
        <v>1425</v>
      </c>
      <c r="O284" s="35">
        <v>1285</v>
      </c>
      <c r="P284" s="35">
        <v>1095</v>
      </c>
      <c r="Q284" s="55" t="s">
        <v>41</v>
      </c>
      <c r="R284" s="55" t="s">
        <v>40</v>
      </c>
      <c r="S284" s="74" t="s">
        <v>40</v>
      </c>
      <c r="T284" s="64"/>
      <c r="U284" s="59" t="s">
        <v>305</v>
      </c>
      <c r="V284" s="76" t="s">
        <v>1413</v>
      </c>
      <c r="W284" s="76">
        <v>33080100401</v>
      </c>
      <c r="X284" s="77" t="s">
        <v>1414</v>
      </c>
      <c r="Y284" s="77"/>
      <c r="Z284" s="77"/>
      <c r="AA284" s="77" t="s">
        <v>54</v>
      </c>
      <c r="AB284" s="77" t="s">
        <v>40</v>
      </c>
      <c r="AC284" s="88">
        <v>6175</v>
      </c>
      <c r="AD284" s="88">
        <v>5555</v>
      </c>
      <c r="AE284" s="88">
        <v>4445</v>
      </c>
      <c r="AF284" s="44">
        <f t="shared" si="25"/>
        <v>7</v>
      </c>
      <c r="AG284" s="44" t="str">
        <f t="shared" si="26"/>
        <v>三尖瓣成形费</v>
      </c>
      <c r="AH284" s="44">
        <f t="shared" si="27"/>
        <v>6175</v>
      </c>
      <c r="AI284" s="44">
        <f t="shared" si="28"/>
        <v>5560</v>
      </c>
      <c r="AJ284" s="44">
        <f t="shared" si="29"/>
        <v>4745</v>
      </c>
    </row>
    <row r="285" s="44" customFormat="1" ht="38" customHeight="1" spans="1:36">
      <c r="A285" s="55" t="s">
        <v>55</v>
      </c>
      <c r="B285" s="55" t="s">
        <v>1415</v>
      </c>
      <c r="C285" s="56" t="s">
        <v>1416</v>
      </c>
      <c r="D285" s="55" t="s">
        <v>350</v>
      </c>
      <c r="E285" s="59" t="s">
        <v>40</v>
      </c>
      <c r="F285" s="59" t="s">
        <v>40</v>
      </c>
      <c r="G285" s="55" t="s">
        <v>54</v>
      </c>
      <c r="H285" s="59" t="s">
        <v>40</v>
      </c>
      <c r="I285" s="30">
        <v>800</v>
      </c>
      <c r="J285" s="30">
        <v>720</v>
      </c>
      <c r="K285" s="64">
        <v>625</v>
      </c>
      <c r="L285" s="64">
        <v>600</v>
      </c>
      <c r="M285" s="64">
        <v>510</v>
      </c>
      <c r="N285" s="71">
        <v>720</v>
      </c>
      <c r="O285" s="71">
        <v>650</v>
      </c>
      <c r="P285" s="71">
        <v>550</v>
      </c>
      <c r="Q285" s="55" t="s">
        <v>41</v>
      </c>
      <c r="R285" s="55" t="s">
        <v>40</v>
      </c>
      <c r="S285" s="74" t="s">
        <v>40</v>
      </c>
      <c r="T285" s="64"/>
      <c r="U285" s="59" t="s">
        <v>1210</v>
      </c>
      <c r="V285" s="76" t="s">
        <v>1417</v>
      </c>
      <c r="W285" s="76">
        <v>33080100402</v>
      </c>
      <c r="X285" s="77" t="s">
        <v>1418</v>
      </c>
      <c r="Y285" s="77"/>
      <c r="Z285" s="77"/>
      <c r="AA285" s="77" t="s">
        <v>54</v>
      </c>
      <c r="AB285" s="77" t="s">
        <v>40</v>
      </c>
      <c r="AC285" s="88">
        <v>5375</v>
      </c>
      <c r="AD285" s="88">
        <v>4875</v>
      </c>
      <c r="AE285" s="88">
        <v>3930</v>
      </c>
      <c r="AF285" s="44">
        <f t="shared" si="25"/>
        <v>0</v>
      </c>
      <c r="AG285" s="44" t="str">
        <f t="shared" si="26"/>
        <v>三尖瓣成形费-微创手术（加收）</v>
      </c>
      <c r="AH285" s="44">
        <f t="shared" si="27"/>
        <v>720</v>
      </c>
      <c r="AI285" s="44">
        <f t="shared" si="28"/>
        <v>650</v>
      </c>
      <c r="AJ285" s="44">
        <f t="shared" si="29"/>
        <v>550</v>
      </c>
    </row>
    <row r="286" s="44" customFormat="1" ht="38" customHeight="1" spans="1:36">
      <c r="A286" s="55"/>
      <c r="B286" s="55"/>
      <c r="C286" s="56" t="s">
        <v>1416</v>
      </c>
      <c r="D286" s="55"/>
      <c r="E286" s="59"/>
      <c r="F286" s="59"/>
      <c r="G286" s="55"/>
      <c r="H286" s="59"/>
      <c r="I286" s="37"/>
      <c r="J286" s="37"/>
      <c r="K286" s="64"/>
      <c r="L286" s="64"/>
      <c r="M286" s="64"/>
      <c r="N286" s="71">
        <v>720</v>
      </c>
      <c r="O286" s="71">
        <v>650</v>
      </c>
      <c r="P286" s="71">
        <v>550</v>
      </c>
      <c r="Q286" s="55"/>
      <c r="R286" s="55"/>
      <c r="S286" s="74"/>
      <c r="T286" s="64"/>
      <c r="U286" s="59"/>
      <c r="V286" s="76" t="s">
        <v>1419</v>
      </c>
      <c r="W286" s="76">
        <v>33080100403</v>
      </c>
      <c r="X286" s="77" t="s">
        <v>1420</v>
      </c>
      <c r="Y286" s="77"/>
      <c r="Z286" s="77"/>
      <c r="AA286" s="77" t="s">
        <v>54</v>
      </c>
      <c r="AB286" s="77" t="s">
        <v>40</v>
      </c>
      <c r="AC286" s="88">
        <v>6800</v>
      </c>
      <c r="AD286" s="88">
        <v>6155</v>
      </c>
      <c r="AE286" s="88">
        <v>4955</v>
      </c>
      <c r="AF286" s="44">
        <f t="shared" si="25"/>
        <v>0</v>
      </c>
      <c r="AG286" s="44" t="str">
        <f t="shared" si="26"/>
        <v>三尖瓣成形费-微创手术（加收）</v>
      </c>
      <c r="AH286" s="44">
        <f t="shared" si="27"/>
        <v>720</v>
      </c>
      <c r="AI286" s="44">
        <f t="shared" si="28"/>
        <v>650</v>
      </c>
      <c r="AJ286" s="44">
        <f t="shared" si="29"/>
        <v>550</v>
      </c>
    </row>
    <row r="287" s="44" customFormat="1" ht="81" customHeight="1" spans="1:36">
      <c r="A287" s="55">
        <v>89</v>
      </c>
      <c r="B287" s="55" t="s">
        <v>1421</v>
      </c>
      <c r="C287" s="55" t="s">
        <v>1422</v>
      </c>
      <c r="D287" s="55" t="s">
        <v>350</v>
      </c>
      <c r="E287" s="59" t="s">
        <v>1423</v>
      </c>
      <c r="F287" s="59" t="s">
        <v>1365</v>
      </c>
      <c r="G287" s="55" t="s">
        <v>54</v>
      </c>
      <c r="H287" s="59" t="s">
        <v>40</v>
      </c>
      <c r="I287" s="30">
        <v>3260</v>
      </c>
      <c r="J287" s="30">
        <v>2934</v>
      </c>
      <c r="K287" s="64">
        <v>2875</v>
      </c>
      <c r="L287" s="64">
        <v>2760</v>
      </c>
      <c r="M287" s="64">
        <v>2346</v>
      </c>
      <c r="N287" s="68">
        <v>2950</v>
      </c>
      <c r="O287" s="35">
        <v>2760</v>
      </c>
      <c r="P287" s="35">
        <v>2346</v>
      </c>
      <c r="Q287" s="55" t="s">
        <v>41</v>
      </c>
      <c r="R287" s="55" t="s">
        <v>40</v>
      </c>
      <c r="S287" s="74" t="s">
        <v>40</v>
      </c>
      <c r="T287" s="64" t="s">
        <v>994</v>
      </c>
      <c r="U287" s="59" t="s">
        <v>1424</v>
      </c>
      <c r="V287" s="76" t="s">
        <v>1425</v>
      </c>
      <c r="W287" s="76">
        <v>330801012</v>
      </c>
      <c r="X287" s="77" t="s">
        <v>1426</v>
      </c>
      <c r="Y287" s="77" t="s">
        <v>1427</v>
      </c>
      <c r="Z287" s="77" t="s">
        <v>1218</v>
      </c>
      <c r="AA287" s="77" t="s">
        <v>54</v>
      </c>
      <c r="AB287" s="77" t="s">
        <v>40</v>
      </c>
      <c r="AC287" s="88">
        <v>2875</v>
      </c>
      <c r="AD287" s="88">
        <v>2760</v>
      </c>
      <c r="AE287" s="88">
        <v>2346</v>
      </c>
      <c r="AF287" s="44">
        <f t="shared" si="25"/>
        <v>0</v>
      </c>
      <c r="AG287" s="44" t="str">
        <f t="shared" si="26"/>
        <v>肺动脉瓣成形费</v>
      </c>
      <c r="AH287" s="44">
        <f t="shared" si="27"/>
        <v>2950</v>
      </c>
      <c r="AI287" s="44">
        <f t="shared" si="28"/>
        <v>2760</v>
      </c>
      <c r="AJ287" s="44">
        <f t="shared" si="29"/>
        <v>2346</v>
      </c>
    </row>
    <row r="288" s="44" customFormat="1" ht="38" customHeight="1" spans="1:36">
      <c r="A288" s="55" t="s">
        <v>55</v>
      </c>
      <c r="B288" s="55" t="s">
        <v>1428</v>
      </c>
      <c r="C288" s="55" t="s">
        <v>1429</v>
      </c>
      <c r="D288" s="55" t="s">
        <v>350</v>
      </c>
      <c r="E288" s="59" t="s">
        <v>40</v>
      </c>
      <c r="F288" s="59" t="s">
        <v>40</v>
      </c>
      <c r="G288" s="55" t="s">
        <v>54</v>
      </c>
      <c r="H288" s="59" t="s">
        <v>40</v>
      </c>
      <c r="I288" s="30">
        <v>978</v>
      </c>
      <c r="J288" s="30">
        <v>880</v>
      </c>
      <c r="K288" s="64"/>
      <c r="L288" s="64"/>
      <c r="M288" s="64"/>
      <c r="N288" s="35">
        <v>885</v>
      </c>
      <c r="O288" s="35">
        <v>830</v>
      </c>
      <c r="P288" s="35">
        <v>705</v>
      </c>
      <c r="Q288" s="55" t="s">
        <v>41</v>
      </c>
      <c r="R288" s="55" t="s">
        <v>40</v>
      </c>
      <c r="S288" s="74" t="s">
        <v>40</v>
      </c>
      <c r="T288" s="64"/>
      <c r="U288" s="59"/>
      <c r="V288" s="76" t="s">
        <v>1430</v>
      </c>
      <c r="W288" s="76">
        <v>33080101201</v>
      </c>
      <c r="X288" s="77" t="s">
        <v>1431</v>
      </c>
      <c r="Y288" s="77"/>
      <c r="Z288" s="77"/>
      <c r="AA288" s="77" t="s">
        <v>54</v>
      </c>
      <c r="AB288" s="77" t="s">
        <v>40</v>
      </c>
      <c r="AC288" s="88">
        <v>3740</v>
      </c>
      <c r="AD288" s="88">
        <v>3590</v>
      </c>
      <c r="AE288" s="88">
        <v>3050</v>
      </c>
      <c r="AF288" s="44">
        <f t="shared" si="25"/>
        <v>8</v>
      </c>
      <c r="AG288" s="44" t="str">
        <f t="shared" si="26"/>
        <v>肺动脉瓣成形费</v>
      </c>
      <c r="AH288" s="44">
        <f t="shared" si="27"/>
        <v>3835</v>
      </c>
      <c r="AI288" s="44">
        <f t="shared" si="28"/>
        <v>3590</v>
      </c>
      <c r="AJ288" s="44">
        <f t="shared" si="29"/>
        <v>3051</v>
      </c>
    </row>
    <row r="289" s="44" customFormat="1" ht="64" customHeight="1" spans="1:36">
      <c r="A289" s="55">
        <v>90</v>
      </c>
      <c r="B289" s="122" t="s">
        <v>1432</v>
      </c>
      <c r="C289" s="55" t="s">
        <v>1433</v>
      </c>
      <c r="D289" s="55" t="s">
        <v>350</v>
      </c>
      <c r="E289" s="59" t="s">
        <v>1434</v>
      </c>
      <c r="F289" s="59" t="s">
        <v>1435</v>
      </c>
      <c r="G289" s="55" t="s">
        <v>54</v>
      </c>
      <c r="H289" s="59" t="s">
        <v>1436</v>
      </c>
      <c r="I289" s="30">
        <v>5760</v>
      </c>
      <c r="J289" s="30">
        <v>5184</v>
      </c>
      <c r="K289" s="64">
        <v>5500</v>
      </c>
      <c r="L289" s="64">
        <v>4950</v>
      </c>
      <c r="M289" s="64">
        <v>3960</v>
      </c>
      <c r="N289" s="35">
        <v>5500</v>
      </c>
      <c r="O289" s="35">
        <v>4950</v>
      </c>
      <c r="P289" s="68">
        <v>4200</v>
      </c>
      <c r="Q289" s="55" t="s">
        <v>41</v>
      </c>
      <c r="R289" s="55" t="s">
        <v>40</v>
      </c>
      <c r="S289" s="74" t="s">
        <v>40</v>
      </c>
      <c r="T289" s="64" t="s">
        <v>183</v>
      </c>
      <c r="U289" s="59" t="s">
        <v>973</v>
      </c>
      <c r="V289" s="76" t="s">
        <v>1437</v>
      </c>
      <c r="W289" s="76">
        <v>330801009</v>
      </c>
      <c r="X289" s="77" t="s">
        <v>1438</v>
      </c>
      <c r="Y289" s="77"/>
      <c r="Z289" s="77" t="s">
        <v>1439</v>
      </c>
      <c r="AA289" s="77" t="s">
        <v>54</v>
      </c>
      <c r="AB289" s="77" t="s">
        <v>1440</v>
      </c>
      <c r="AC289" s="88">
        <v>5500</v>
      </c>
      <c r="AD289" s="88">
        <v>4950</v>
      </c>
      <c r="AE289" s="88">
        <v>3960</v>
      </c>
      <c r="AF289" s="44">
        <f t="shared" si="25"/>
        <v>0</v>
      </c>
      <c r="AG289" s="44" t="str">
        <f t="shared" si="26"/>
        <v>主动脉瓣置换费</v>
      </c>
      <c r="AH289" s="44">
        <f t="shared" si="27"/>
        <v>5500</v>
      </c>
      <c r="AI289" s="44">
        <f t="shared" si="28"/>
        <v>4950</v>
      </c>
      <c r="AJ289" s="44">
        <f t="shared" si="29"/>
        <v>4200</v>
      </c>
    </row>
    <row r="290" s="44" customFormat="1" ht="26" customHeight="1" spans="1:36">
      <c r="A290" s="55" t="s">
        <v>895</v>
      </c>
      <c r="B290" s="122" t="s">
        <v>1432</v>
      </c>
      <c r="C290" s="56" t="s">
        <v>1441</v>
      </c>
      <c r="D290" s="55" t="s">
        <v>350</v>
      </c>
      <c r="E290" s="59" t="s">
        <v>40</v>
      </c>
      <c r="F290" s="59" t="s">
        <v>40</v>
      </c>
      <c r="G290" s="55" t="s">
        <v>54</v>
      </c>
      <c r="H290" s="59"/>
      <c r="I290" s="30">
        <v>12000</v>
      </c>
      <c r="J290" s="30">
        <v>10800</v>
      </c>
      <c r="K290" s="64">
        <v>10977.7777777778</v>
      </c>
      <c r="L290" s="64"/>
      <c r="M290" s="64"/>
      <c r="N290" s="66">
        <v>11000</v>
      </c>
      <c r="O290" s="66">
        <v>9900</v>
      </c>
      <c r="P290" s="66">
        <v>8400</v>
      </c>
      <c r="Q290" s="55" t="s">
        <v>41</v>
      </c>
      <c r="R290" s="55" t="s">
        <v>40</v>
      </c>
      <c r="S290" s="74" t="s">
        <v>40</v>
      </c>
      <c r="T290" s="64"/>
      <c r="U290" s="59" t="s">
        <v>42</v>
      </c>
      <c r="V290" s="76" t="s">
        <v>1442</v>
      </c>
      <c r="W290" s="76">
        <v>330801014</v>
      </c>
      <c r="X290" s="77" t="s">
        <v>1443</v>
      </c>
      <c r="Y290" s="77"/>
      <c r="Z290" s="77"/>
      <c r="AA290" s="77" t="s">
        <v>54</v>
      </c>
      <c r="AB290" s="77" t="s">
        <v>1444</v>
      </c>
      <c r="AC290" s="88">
        <v>10400</v>
      </c>
      <c r="AD290" s="88">
        <v>9280</v>
      </c>
      <c r="AE290" s="88">
        <v>7890</v>
      </c>
      <c r="AF290" s="44">
        <f t="shared" si="25"/>
        <v>0</v>
      </c>
      <c r="AG290" s="44" t="str">
        <f t="shared" si="26"/>
        <v>主动脉瓣置换费（双瓣置换术）</v>
      </c>
      <c r="AH290" s="44">
        <f t="shared" si="27"/>
        <v>11000</v>
      </c>
      <c r="AI290" s="44">
        <f t="shared" si="28"/>
        <v>9900</v>
      </c>
      <c r="AJ290" s="44">
        <f t="shared" si="29"/>
        <v>8400</v>
      </c>
    </row>
    <row r="291" s="44" customFormat="1" ht="26" customHeight="1" spans="1:36">
      <c r="A291" s="55"/>
      <c r="B291" s="55"/>
      <c r="C291" s="56" t="s">
        <v>1441</v>
      </c>
      <c r="D291" s="55"/>
      <c r="E291" s="59"/>
      <c r="F291" s="59"/>
      <c r="G291" s="55"/>
      <c r="H291" s="59"/>
      <c r="I291" s="37"/>
      <c r="J291" s="37"/>
      <c r="K291" s="64"/>
      <c r="L291" s="64"/>
      <c r="M291" s="64"/>
      <c r="N291" s="66">
        <v>11000</v>
      </c>
      <c r="O291" s="66">
        <v>9900</v>
      </c>
      <c r="P291" s="66">
        <v>8400</v>
      </c>
      <c r="Q291" s="55"/>
      <c r="R291" s="55"/>
      <c r="S291" s="74"/>
      <c r="T291" s="64"/>
      <c r="U291" s="59"/>
      <c r="V291" s="76" t="s">
        <v>1445</v>
      </c>
      <c r="W291" s="76">
        <v>33080101401</v>
      </c>
      <c r="X291" s="77" t="s">
        <v>1446</v>
      </c>
      <c r="Y291" s="77" t="s">
        <v>40</v>
      </c>
      <c r="Z291" s="77"/>
      <c r="AA291" s="77" t="s">
        <v>54</v>
      </c>
      <c r="AB291" s="77" t="s">
        <v>1447</v>
      </c>
      <c r="AC291" s="88">
        <v>11700</v>
      </c>
      <c r="AD291" s="88">
        <v>10530</v>
      </c>
      <c r="AE291" s="88">
        <v>8950</v>
      </c>
      <c r="AF291" s="44">
        <f t="shared" si="25"/>
        <v>0</v>
      </c>
      <c r="AG291" s="44" t="str">
        <f t="shared" si="26"/>
        <v>主动脉瓣置换费（双瓣置换术）</v>
      </c>
      <c r="AH291" s="44">
        <f t="shared" si="27"/>
        <v>11000</v>
      </c>
      <c r="AI291" s="44">
        <f t="shared" si="28"/>
        <v>9900</v>
      </c>
      <c r="AJ291" s="44">
        <f t="shared" si="29"/>
        <v>8400</v>
      </c>
    </row>
    <row r="292" s="44" customFormat="1" ht="26" customHeight="1" spans="1:36">
      <c r="A292" s="55"/>
      <c r="B292" s="55"/>
      <c r="C292" s="56" t="s">
        <v>1441</v>
      </c>
      <c r="D292" s="55"/>
      <c r="E292" s="59"/>
      <c r="F292" s="59"/>
      <c r="G292" s="55"/>
      <c r="H292" s="59"/>
      <c r="I292" s="37"/>
      <c r="J292" s="37"/>
      <c r="K292" s="64"/>
      <c r="L292" s="64"/>
      <c r="M292" s="64"/>
      <c r="N292" s="66">
        <v>11000</v>
      </c>
      <c r="O292" s="66">
        <v>9900</v>
      </c>
      <c r="P292" s="66">
        <v>8400</v>
      </c>
      <c r="Q292" s="55"/>
      <c r="R292" s="55"/>
      <c r="S292" s="74"/>
      <c r="T292" s="64"/>
      <c r="U292" s="59"/>
      <c r="V292" s="76" t="s">
        <v>1448</v>
      </c>
      <c r="W292" s="76">
        <v>33080101402</v>
      </c>
      <c r="X292" s="77" t="s">
        <v>1449</v>
      </c>
      <c r="Y292" s="77"/>
      <c r="Z292" s="77"/>
      <c r="AA292" s="77" t="s">
        <v>54</v>
      </c>
      <c r="AB292" s="77" t="s">
        <v>40</v>
      </c>
      <c r="AC292" s="88">
        <v>13405</v>
      </c>
      <c r="AD292" s="88">
        <v>12065</v>
      </c>
      <c r="AE292" s="88">
        <v>10255</v>
      </c>
      <c r="AF292" s="44">
        <f t="shared" si="25"/>
        <v>0</v>
      </c>
      <c r="AG292" s="44" t="str">
        <f t="shared" si="26"/>
        <v>主动脉瓣置换费（双瓣置换术）</v>
      </c>
      <c r="AH292" s="44">
        <f t="shared" si="27"/>
        <v>11000</v>
      </c>
      <c r="AI292" s="44">
        <f t="shared" si="28"/>
        <v>9900</v>
      </c>
      <c r="AJ292" s="44">
        <f t="shared" si="29"/>
        <v>8400</v>
      </c>
    </row>
    <row r="293" s="44" customFormat="1" ht="26" customHeight="1" spans="1:36">
      <c r="A293" s="55"/>
      <c r="B293" s="55"/>
      <c r="C293" s="56" t="s">
        <v>1441</v>
      </c>
      <c r="D293" s="55"/>
      <c r="E293" s="59"/>
      <c r="F293" s="59"/>
      <c r="G293" s="55"/>
      <c r="H293" s="59"/>
      <c r="I293" s="37"/>
      <c r="J293" s="37"/>
      <c r="K293" s="64"/>
      <c r="L293" s="64"/>
      <c r="M293" s="64"/>
      <c r="N293" s="66">
        <v>11000</v>
      </c>
      <c r="O293" s="66">
        <v>9900</v>
      </c>
      <c r="P293" s="66">
        <v>8400</v>
      </c>
      <c r="Q293" s="55"/>
      <c r="R293" s="55"/>
      <c r="S293" s="74"/>
      <c r="T293" s="64"/>
      <c r="U293" s="59"/>
      <c r="V293" s="76" t="s">
        <v>1450</v>
      </c>
      <c r="W293" s="76">
        <v>33080101403</v>
      </c>
      <c r="X293" s="77" t="s">
        <v>1451</v>
      </c>
      <c r="Y293" s="77" t="s">
        <v>40</v>
      </c>
      <c r="Z293" s="77"/>
      <c r="AA293" s="77" t="s">
        <v>54</v>
      </c>
      <c r="AB293" s="77" t="s">
        <v>1447</v>
      </c>
      <c r="AC293" s="88">
        <v>15210</v>
      </c>
      <c r="AD293" s="88">
        <v>13690</v>
      </c>
      <c r="AE293" s="88">
        <v>11635</v>
      </c>
      <c r="AF293" s="44">
        <f t="shared" si="25"/>
        <v>0</v>
      </c>
      <c r="AG293" s="44" t="str">
        <f t="shared" si="26"/>
        <v>主动脉瓣置换费（双瓣置换术）</v>
      </c>
      <c r="AH293" s="44">
        <f t="shared" si="27"/>
        <v>11000</v>
      </c>
      <c r="AI293" s="44">
        <f t="shared" si="28"/>
        <v>9900</v>
      </c>
      <c r="AJ293" s="44">
        <f t="shared" si="29"/>
        <v>8400</v>
      </c>
    </row>
    <row r="294" s="44" customFormat="1" ht="26" customHeight="1" spans="1:36">
      <c r="A294" s="55" t="s">
        <v>55</v>
      </c>
      <c r="B294" s="55" t="s">
        <v>1452</v>
      </c>
      <c r="C294" s="55" t="s">
        <v>1453</v>
      </c>
      <c r="D294" s="55" t="s">
        <v>350</v>
      </c>
      <c r="E294" s="59" t="s">
        <v>40</v>
      </c>
      <c r="F294" s="59" t="s">
        <v>40</v>
      </c>
      <c r="G294" s="55" t="s">
        <v>54</v>
      </c>
      <c r="H294" s="59" t="s">
        <v>40</v>
      </c>
      <c r="I294" s="30">
        <v>1728</v>
      </c>
      <c r="J294" s="30">
        <v>1555</v>
      </c>
      <c r="K294" s="64"/>
      <c r="L294" s="64"/>
      <c r="M294" s="64"/>
      <c r="N294" s="35">
        <v>1650</v>
      </c>
      <c r="O294" s="35">
        <v>1485</v>
      </c>
      <c r="P294" s="35">
        <v>1260</v>
      </c>
      <c r="Q294" s="35" t="e">
        <f t="shared" ref="Q294:S294" si="30">Q289*0.3</f>
        <v>#VALUE!</v>
      </c>
      <c r="R294" s="35" t="e">
        <f t="shared" si="30"/>
        <v>#VALUE!</v>
      </c>
      <c r="S294" s="35" t="e">
        <f t="shared" si="30"/>
        <v>#VALUE!</v>
      </c>
      <c r="T294" s="64"/>
      <c r="U294" s="59" t="s">
        <v>305</v>
      </c>
      <c r="V294" s="76" t="s">
        <v>1454</v>
      </c>
      <c r="W294" s="76">
        <v>33080100901</v>
      </c>
      <c r="X294" s="77" t="s">
        <v>1455</v>
      </c>
      <c r="Y294" s="77"/>
      <c r="Z294" s="77"/>
      <c r="AA294" s="77" t="s">
        <v>54</v>
      </c>
      <c r="AB294" s="77" t="s">
        <v>40</v>
      </c>
      <c r="AC294" s="88">
        <v>7150</v>
      </c>
      <c r="AD294" s="88">
        <v>6435</v>
      </c>
      <c r="AE294" s="88">
        <v>5150</v>
      </c>
      <c r="AF294" s="44">
        <f t="shared" si="25"/>
        <v>8</v>
      </c>
      <c r="AG294" s="44" t="str">
        <f t="shared" si="26"/>
        <v>主动脉瓣置换费</v>
      </c>
      <c r="AH294" s="44">
        <f t="shared" si="27"/>
        <v>7150</v>
      </c>
      <c r="AI294" s="44">
        <f t="shared" si="28"/>
        <v>6435</v>
      </c>
      <c r="AJ294" s="44">
        <f t="shared" si="29"/>
        <v>5460</v>
      </c>
    </row>
    <row r="295" s="44" customFormat="1" ht="26" customHeight="1" spans="1:36">
      <c r="A295" s="55" t="s">
        <v>55</v>
      </c>
      <c r="B295" s="55" t="s">
        <v>1456</v>
      </c>
      <c r="C295" s="56" t="s">
        <v>1457</v>
      </c>
      <c r="D295" s="55" t="s">
        <v>350</v>
      </c>
      <c r="E295" s="59" t="s">
        <v>40</v>
      </c>
      <c r="F295" s="59" t="s">
        <v>40</v>
      </c>
      <c r="G295" s="55" t="s">
        <v>54</v>
      </c>
      <c r="H295" s="59" t="s">
        <v>40</v>
      </c>
      <c r="I295" s="30">
        <v>800</v>
      </c>
      <c r="J295" s="30">
        <v>720</v>
      </c>
      <c r="K295" s="64">
        <v>625</v>
      </c>
      <c r="L295" s="64">
        <v>600</v>
      </c>
      <c r="M295" s="64">
        <v>510</v>
      </c>
      <c r="N295" s="66">
        <v>720</v>
      </c>
      <c r="O295" s="66">
        <v>650</v>
      </c>
      <c r="P295" s="66">
        <v>550</v>
      </c>
      <c r="Q295" s="55" t="s">
        <v>41</v>
      </c>
      <c r="R295" s="55" t="s">
        <v>40</v>
      </c>
      <c r="S295" s="74" t="s">
        <v>40</v>
      </c>
      <c r="T295" s="64"/>
      <c r="U295" s="59" t="s">
        <v>1156</v>
      </c>
      <c r="V295" s="76" t="s">
        <v>1458</v>
      </c>
      <c r="W295" s="76">
        <v>33080100902</v>
      </c>
      <c r="X295" s="77" t="s">
        <v>1459</v>
      </c>
      <c r="Y295" s="77"/>
      <c r="Z295" s="77"/>
      <c r="AA295" s="77" t="s">
        <v>54</v>
      </c>
      <c r="AB295" s="77" t="s">
        <v>40</v>
      </c>
      <c r="AC295" s="88">
        <v>6125</v>
      </c>
      <c r="AD295" s="88">
        <v>5550</v>
      </c>
      <c r="AE295" s="88">
        <v>4470</v>
      </c>
      <c r="AF295" s="44">
        <f t="shared" si="25"/>
        <v>0</v>
      </c>
      <c r="AG295" s="44" t="str">
        <f t="shared" si="26"/>
        <v>主动脉瓣置换费-微创手术（加收）</v>
      </c>
      <c r="AH295" s="44">
        <f t="shared" si="27"/>
        <v>720</v>
      </c>
      <c r="AI295" s="44">
        <f t="shared" si="28"/>
        <v>650</v>
      </c>
      <c r="AJ295" s="44">
        <f t="shared" si="29"/>
        <v>550</v>
      </c>
    </row>
    <row r="296" s="44" customFormat="1" ht="26" customHeight="1" spans="1:36">
      <c r="A296" s="55"/>
      <c r="B296" s="55"/>
      <c r="C296" s="56" t="s">
        <v>1457</v>
      </c>
      <c r="D296" s="55"/>
      <c r="E296" s="59"/>
      <c r="F296" s="59"/>
      <c r="G296" s="55"/>
      <c r="H296" s="59"/>
      <c r="I296" s="37"/>
      <c r="J296" s="37"/>
      <c r="K296" s="64"/>
      <c r="L296" s="64"/>
      <c r="M296" s="64"/>
      <c r="N296" s="66">
        <v>720</v>
      </c>
      <c r="O296" s="66">
        <v>650</v>
      </c>
      <c r="P296" s="66">
        <v>550</v>
      </c>
      <c r="Q296" s="55"/>
      <c r="R296" s="55"/>
      <c r="S296" s="74"/>
      <c r="T296" s="64"/>
      <c r="U296" s="59"/>
      <c r="V296" s="76" t="s">
        <v>1460</v>
      </c>
      <c r="W296" s="76">
        <v>33080100903</v>
      </c>
      <c r="X296" s="77" t="s">
        <v>1461</v>
      </c>
      <c r="Y296" s="77"/>
      <c r="Z296" s="77"/>
      <c r="AA296" s="77" t="s">
        <v>54</v>
      </c>
      <c r="AB296" s="77" t="s">
        <v>40</v>
      </c>
      <c r="AC296" s="88">
        <v>7775</v>
      </c>
      <c r="AD296" s="88">
        <v>7035</v>
      </c>
      <c r="AE296" s="88">
        <v>5660</v>
      </c>
      <c r="AF296" s="44">
        <f t="shared" si="25"/>
        <v>0</v>
      </c>
      <c r="AG296" s="44" t="str">
        <f t="shared" si="26"/>
        <v>主动脉瓣置换费-微创手术（加收）</v>
      </c>
      <c r="AH296" s="44">
        <f t="shared" si="27"/>
        <v>720</v>
      </c>
      <c r="AI296" s="44">
        <f t="shared" si="28"/>
        <v>650</v>
      </c>
      <c r="AJ296" s="44">
        <f t="shared" si="29"/>
        <v>550</v>
      </c>
    </row>
    <row r="297" s="44" customFormat="1" ht="26" customHeight="1" spans="1:36">
      <c r="A297" s="55"/>
      <c r="B297" s="55"/>
      <c r="C297" s="56" t="s">
        <v>1457</v>
      </c>
      <c r="D297" s="55"/>
      <c r="E297" s="59"/>
      <c r="F297" s="59"/>
      <c r="G297" s="55"/>
      <c r="H297" s="59"/>
      <c r="I297" s="37"/>
      <c r="J297" s="37"/>
      <c r="K297" s="64"/>
      <c r="L297" s="64"/>
      <c r="M297" s="64"/>
      <c r="N297" s="66">
        <v>720</v>
      </c>
      <c r="O297" s="66">
        <v>650</v>
      </c>
      <c r="P297" s="66">
        <v>550</v>
      </c>
      <c r="Q297" s="55"/>
      <c r="R297" s="55"/>
      <c r="S297" s="74"/>
      <c r="T297" s="64"/>
      <c r="U297" s="59"/>
      <c r="V297" s="76" t="s">
        <v>1462</v>
      </c>
      <c r="W297" s="76">
        <v>330801013</v>
      </c>
      <c r="X297" s="77" t="s">
        <v>1463</v>
      </c>
      <c r="Y297" s="77"/>
      <c r="Z297" s="77"/>
      <c r="AA297" s="77" t="s">
        <v>54</v>
      </c>
      <c r="AB297" s="77" t="s">
        <v>40</v>
      </c>
      <c r="AC297" s="88">
        <v>5570</v>
      </c>
      <c r="AD297" s="88">
        <v>5010</v>
      </c>
      <c r="AE297" s="88">
        <v>4260</v>
      </c>
      <c r="AF297" s="44">
        <f t="shared" si="25"/>
        <v>0</v>
      </c>
      <c r="AG297" s="44" t="str">
        <f t="shared" si="26"/>
        <v>主动脉瓣置换费-微创手术（加收）</v>
      </c>
      <c r="AH297" s="44">
        <f t="shared" si="27"/>
        <v>720</v>
      </c>
      <c r="AI297" s="44">
        <f t="shared" si="28"/>
        <v>650</v>
      </c>
      <c r="AJ297" s="44">
        <f t="shared" si="29"/>
        <v>550</v>
      </c>
    </row>
    <row r="298" s="44" customFormat="1" ht="26" customHeight="1" spans="1:36">
      <c r="A298" s="55"/>
      <c r="B298" s="55"/>
      <c r="C298" s="56" t="s">
        <v>1457</v>
      </c>
      <c r="D298" s="55"/>
      <c r="E298" s="59"/>
      <c r="F298" s="59"/>
      <c r="G298" s="55"/>
      <c r="H298" s="59"/>
      <c r="I298" s="37"/>
      <c r="J298" s="37"/>
      <c r="K298" s="64"/>
      <c r="L298" s="64"/>
      <c r="M298" s="64"/>
      <c r="N298" s="66">
        <v>720</v>
      </c>
      <c r="O298" s="66">
        <v>650</v>
      </c>
      <c r="P298" s="66">
        <v>550</v>
      </c>
      <c r="Q298" s="55"/>
      <c r="R298" s="55"/>
      <c r="S298" s="74"/>
      <c r="T298" s="64"/>
      <c r="U298" s="59"/>
      <c r="V298" s="76" t="s">
        <v>1464</v>
      </c>
      <c r="W298" s="76">
        <v>33080101301</v>
      </c>
      <c r="X298" s="77" t="s">
        <v>1465</v>
      </c>
      <c r="Y298" s="77"/>
      <c r="Z298" s="77"/>
      <c r="AA298" s="77" t="s">
        <v>54</v>
      </c>
      <c r="AB298" s="77" t="s">
        <v>40</v>
      </c>
      <c r="AC298" s="88">
        <v>7240</v>
      </c>
      <c r="AD298" s="88">
        <v>6515</v>
      </c>
      <c r="AE298" s="88">
        <v>5540</v>
      </c>
      <c r="AF298" s="44">
        <f t="shared" si="25"/>
        <v>0</v>
      </c>
      <c r="AG298" s="44" t="str">
        <f t="shared" si="26"/>
        <v>主动脉瓣置换费-微创手术（加收）</v>
      </c>
      <c r="AH298" s="44">
        <f t="shared" si="27"/>
        <v>720</v>
      </c>
      <c r="AI298" s="44">
        <f t="shared" si="28"/>
        <v>650</v>
      </c>
      <c r="AJ298" s="44">
        <f t="shared" si="29"/>
        <v>550</v>
      </c>
    </row>
    <row r="299" s="44" customFormat="1" ht="26" customHeight="1" spans="1:36">
      <c r="A299" s="55" t="s">
        <v>55</v>
      </c>
      <c r="B299" s="55" t="s">
        <v>1466</v>
      </c>
      <c r="C299" s="56" t="s">
        <v>1467</v>
      </c>
      <c r="D299" s="55" t="s">
        <v>350</v>
      </c>
      <c r="E299" s="59" t="s">
        <v>40</v>
      </c>
      <c r="F299" s="59" t="s">
        <v>40</v>
      </c>
      <c r="G299" s="55" t="s">
        <v>54</v>
      </c>
      <c r="H299" s="59"/>
      <c r="I299" s="30">
        <v>1545</v>
      </c>
      <c r="J299" s="30">
        <v>1391</v>
      </c>
      <c r="K299" s="64"/>
      <c r="L299" s="64"/>
      <c r="M299" s="64"/>
      <c r="N299" s="66">
        <v>1475</v>
      </c>
      <c r="O299" s="66">
        <v>1328</v>
      </c>
      <c r="P299" s="66">
        <v>1127</v>
      </c>
      <c r="Q299" s="55" t="s">
        <v>41</v>
      </c>
      <c r="R299" s="55" t="s">
        <v>40</v>
      </c>
      <c r="S299" s="74" t="s">
        <v>40</v>
      </c>
      <c r="T299" s="64"/>
      <c r="U299" s="59" t="s">
        <v>1468</v>
      </c>
      <c r="V299" s="76" t="s">
        <v>1469</v>
      </c>
      <c r="W299" s="76">
        <v>330802027</v>
      </c>
      <c r="X299" s="77" t="s">
        <v>1470</v>
      </c>
      <c r="Y299" s="77" t="s">
        <v>1471</v>
      </c>
      <c r="Z299" s="77"/>
      <c r="AA299" s="77" t="s">
        <v>54</v>
      </c>
      <c r="AB299" s="77" t="s">
        <v>40</v>
      </c>
      <c r="AC299" s="88">
        <v>6190</v>
      </c>
      <c r="AD299" s="88">
        <v>5570</v>
      </c>
      <c r="AE299" s="88">
        <v>4730</v>
      </c>
      <c r="AF299" s="44">
        <f t="shared" si="25"/>
        <v>0</v>
      </c>
      <c r="AG299" s="44" t="str">
        <f t="shared" si="26"/>
        <v>主动脉瓣置换费-根部加宽（加收）</v>
      </c>
      <c r="AH299" s="44">
        <f t="shared" si="27"/>
        <v>1475</v>
      </c>
      <c r="AI299" s="44">
        <f t="shared" si="28"/>
        <v>1328</v>
      </c>
      <c r="AJ299" s="44">
        <f t="shared" si="29"/>
        <v>1127</v>
      </c>
    </row>
    <row r="300" s="44" customFormat="1" ht="26" customHeight="1" spans="1:36">
      <c r="A300" s="55"/>
      <c r="B300" s="55"/>
      <c r="C300" s="56" t="s">
        <v>1467</v>
      </c>
      <c r="D300" s="55"/>
      <c r="E300" s="59"/>
      <c r="F300" s="59"/>
      <c r="G300" s="55"/>
      <c r="H300" s="59"/>
      <c r="I300" s="37"/>
      <c r="J300" s="37"/>
      <c r="K300" s="64"/>
      <c r="L300" s="64"/>
      <c r="M300" s="64"/>
      <c r="N300" s="66">
        <v>1475</v>
      </c>
      <c r="O300" s="66">
        <v>1328</v>
      </c>
      <c r="P300" s="66">
        <v>1127</v>
      </c>
      <c r="Q300" s="55"/>
      <c r="R300" s="55"/>
      <c r="S300" s="74"/>
      <c r="T300" s="64"/>
      <c r="U300" s="59"/>
      <c r="V300" s="76" t="s">
        <v>1472</v>
      </c>
      <c r="W300" s="76">
        <v>33080202701</v>
      </c>
      <c r="X300" s="77" t="s">
        <v>1473</v>
      </c>
      <c r="Y300" s="77"/>
      <c r="Z300" s="77"/>
      <c r="AA300" s="77" t="s">
        <v>54</v>
      </c>
      <c r="AB300" s="77" t="s">
        <v>40</v>
      </c>
      <c r="AC300" s="88">
        <v>8045</v>
      </c>
      <c r="AD300" s="88">
        <v>7240</v>
      </c>
      <c r="AE300" s="88">
        <v>6155</v>
      </c>
      <c r="AF300" s="44">
        <f t="shared" si="25"/>
        <v>0</v>
      </c>
      <c r="AG300" s="44" t="str">
        <f t="shared" si="26"/>
        <v>主动脉瓣置换费-根部加宽（加收）</v>
      </c>
      <c r="AH300" s="44">
        <f t="shared" si="27"/>
        <v>1475</v>
      </c>
      <c r="AI300" s="44">
        <f t="shared" si="28"/>
        <v>1328</v>
      </c>
      <c r="AJ300" s="44">
        <f t="shared" si="29"/>
        <v>1127</v>
      </c>
    </row>
    <row r="301" s="44" customFormat="1" ht="38" customHeight="1" spans="1:36">
      <c r="A301" s="55">
        <v>91</v>
      </c>
      <c r="B301" s="55" t="s">
        <v>1474</v>
      </c>
      <c r="C301" s="56" t="s">
        <v>1475</v>
      </c>
      <c r="D301" s="55" t="s">
        <v>350</v>
      </c>
      <c r="E301" s="59" t="s">
        <v>1476</v>
      </c>
      <c r="F301" s="59" t="s">
        <v>1477</v>
      </c>
      <c r="G301" s="55" t="s">
        <v>54</v>
      </c>
      <c r="H301" s="59"/>
      <c r="I301" s="30">
        <v>7890</v>
      </c>
      <c r="J301" s="30">
        <v>7101</v>
      </c>
      <c r="K301" s="64">
        <v>6600</v>
      </c>
      <c r="L301" s="64"/>
      <c r="M301" s="64">
        <v>0.91254752851711</v>
      </c>
      <c r="N301" s="66">
        <v>7200</v>
      </c>
      <c r="O301" s="66">
        <v>6500</v>
      </c>
      <c r="P301" s="66">
        <v>5500</v>
      </c>
      <c r="Q301" s="55" t="s">
        <v>41</v>
      </c>
      <c r="R301" s="55" t="s">
        <v>40</v>
      </c>
      <c r="S301" s="74" t="s">
        <v>40</v>
      </c>
      <c r="T301" s="64" t="s">
        <v>994</v>
      </c>
      <c r="U301" s="59" t="s">
        <v>1478</v>
      </c>
      <c r="V301" s="76" t="s">
        <v>1479</v>
      </c>
      <c r="W301" s="76">
        <v>330802044</v>
      </c>
      <c r="X301" s="77" t="s">
        <v>1480</v>
      </c>
      <c r="Y301" s="77" t="s">
        <v>1481</v>
      </c>
      <c r="Z301" s="77"/>
      <c r="AA301" s="77" t="s">
        <v>54</v>
      </c>
      <c r="AB301" s="77" t="s">
        <v>40</v>
      </c>
      <c r="AC301" s="88">
        <v>11100</v>
      </c>
      <c r="AD301" s="88">
        <v>9990</v>
      </c>
      <c r="AE301" s="88">
        <v>8490</v>
      </c>
      <c r="AF301" s="44">
        <f t="shared" si="25"/>
        <v>0</v>
      </c>
      <c r="AG301" s="44" t="str">
        <f t="shared" si="26"/>
        <v>左室流出道扩大费</v>
      </c>
      <c r="AH301" s="44">
        <f t="shared" si="27"/>
        <v>7200</v>
      </c>
      <c r="AI301" s="44">
        <f t="shared" si="28"/>
        <v>6500</v>
      </c>
      <c r="AJ301" s="44">
        <f t="shared" si="29"/>
        <v>5500</v>
      </c>
    </row>
    <row r="302" s="44" customFormat="1" ht="38" customHeight="1" spans="1:36">
      <c r="A302" s="55"/>
      <c r="B302" s="55"/>
      <c r="C302" s="56" t="s">
        <v>1475</v>
      </c>
      <c r="D302" s="55"/>
      <c r="E302" s="59"/>
      <c r="F302" s="59"/>
      <c r="G302" s="55"/>
      <c r="H302" s="59"/>
      <c r="I302" s="37"/>
      <c r="J302" s="37"/>
      <c r="K302" s="64"/>
      <c r="L302" s="64"/>
      <c r="M302" s="64"/>
      <c r="N302" s="66">
        <v>7200</v>
      </c>
      <c r="O302" s="66">
        <v>6500</v>
      </c>
      <c r="P302" s="66">
        <v>5500</v>
      </c>
      <c r="Q302" s="55"/>
      <c r="R302" s="55"/>
      <c r="S302" s="74"/>
      <c r="T302" s="64"/>
      <c r="U302" s="59"/>
      <c r="V302" s="76" t="s">
        <v>1327</v>
      </c>
      <c r="W302" s="76">
        <v>330802018</v>
      </c>
      <c r="X302" s="77" t="s">
        <v>1328</v>
      </c>
      <c r="Y302" s="77" t="s">
        <v>1329</v>
      </c>
      <c r="Z302" s="77"/>
      <c r="AA302" s="77" t="s">
        <v>54</v>
      </c>
      <c r="AB302" s="77" t="s">
        <v>40</v>
      </c>
      <c r="AC302" s="88">
        <v>10400</v>
      </c>
      <c r="AD302" s="88">
        <v>9360</v>
      </c>
      <c r="AE302" s="88">
        <v>7960</v>
      </c>
      <c r="AF302" s="44">
        <f t="shared" si="25"/>
        <v>0</v>
      </c>
      <c r="AG302" s="44" t="str">
        <f t="shared" si="26"/>
        <v>左室流出道扩大费</v>
      </c>
      <c r="AH302" s="44">
        <f t="shared" si="27"/>
        <v>7200</v>
      </c>
      <c r="AI302" s="44">
        <f t="shared" si="28"/>
        <v>6500</v>
      </c>
      <c r="AJ302" s="44">
        <f t="shared" si="29"/>
        <v>5500</v>
      </c>
    </row>
    <row r="303" s="44" customFormat="1" ht="38" customHeight="1" spans="1:36">
      <c r="A303" s="55"/>
      <c r="B303" s="55"/>
      <c r="C303" s="56" t="s">
        <v>1475</v>
      </c>
      <c r="D303" s="55"/>
      <c r="E303" s="59"/>
      <c r="F303" s="59"/>
      <c r="G303" s="55"/>
      <c r="H303" s="59"/>
      <c r="I303" s="37"/>
      <c r="J303" s="37"/>
      <c r="K303" s="64"/>
      <c r="L303" s="64"/>
      <c r="M303" s="64"/>
      <c r="N303" s="66">
        <v>7200</v>
      </c>
      <c r="O303" s="66">
        <v>6500</v>
      </c>
      <c r="P303" s="66">
        <v>5500</v>
      </c>
      <c r="Q303" s="55"/>
      <c r="R303" s="55"/>
      <c r="S303" s="74"/>
      <c r="T303" s="64"/>
      <c r="U303" s="59"/>
      <c r="V303" s="76" t="s">
        <v>1112</v>
      </c>
      <c r="W303" s="76">
        <v>330802024</v>
      </c>
      <c r="X303" s="77" t="s">
        <v>1113</v>
      </c>
      <c r="Y303" s="77" t="s">
        <v>1114</v>
      </c>
      <c r="Z303" s="77"/>
      <c r="AA303" s="77" t="s">
        <v>54</v>
      </c>
      <c r="AB303" s="77" t="s">
        <v>40</v>
      </c>
      <c r="AC303" s="88">
        <v>6600</v>
      </c>
      <c r="AD303" s="88">
        <v>5940</v>
      </c>
      <c r="AE303" s="88">
        <v>5050</v>
      </c>
      <c r="AF303" s="44">
        <f t="shared" si="25"/>
        <v>0</v>
      </c>
      <c r="AG303" s="44" t="str">
        <f t="shared" si="26"/>
        <v>左室流出道扩大费</v>
      </c>
      <c r="AH303" s="44">
        <f t="shared" si="27"/>
        <v>7200</v>
      </c>
      <c r="AI303" s="44">
        <f t="shared" si="28"/>
        <v>6500</v>
      </c>
      <c r="AJ303" s="44">
        <f t="shared" si="29"/>
        <v>5500</v>
      </c>
    </row>
    <row r="304" s="44" customFormat="1" ht="38" customHeight="1" spans="1:36">
      <c r="A304" s="55" t="s">
        <v>55</v>
      </c>
      <c r="B304" s="55" t="s">
        <v>1482</v>
      </c>
      <c r="C304" s="56" t="s">
        <v>1483</v>
      </c>
      <c r="D304" s="55" t="s">
        <v>350</v>
      </c>
      <c r="E304" s="59" t="s">
        <v>40</v>
      </c>
      <c r="F304" s="59" t="s">
        <v>40</v>
      </c>
      <c r="G304" s="55" t="s">
        <v>54</v>
      </c>
      <c r="H304" s="59" t="s">
        <v>40</v>
      </c>
      <c r="I304" s="30">
        <v>2367</v>
      </c>
      <c r="J304" s="30">
        <v>2130</v>
      </c>
      <c r="K304" s="64"/>
      <c r="L304" s="64"/>
      <c r="M304" s="64"/>
      <c r="N304" s="66">
        <v>2160</v>
      </c>
      <c r="O304" s="66">
        <v>1950</v>
      </c>
      <c r="P304" s="66">
        <v>1650</v>
      </c>
      <c r="Q304" s="55" t="s">
        <v>41</v>
      </c>
      <c r="R304" s="55" t="s">
        <v>40</v>
      </c>
      <c r="S304" s="74" t="s">
        <v>40</v>
      </c>
      <c r="T304" s="64"/>
      <c r="U304" s="59" t="s">
        <v>305</v>
      </c>
      <c r="V304" s="76" t="s">
        <v>1484</v>
      </c>
      <c r="W304" s="76">
        <v>33080204401</v>
      </c>
      <c r="X304" s="77" t="s">
        <v>1485</v>
      </c>
      <c r="Y304" s="77"/>
      <c r="Z304" s="77"/>
      <c r="AA304" s="77" t="s">
        <v>54</v>
      </c>
      <c r="AB304" s="77" t="s">
        <v>40</v>
      </c>
      <c r="AC304" s="88">
        <v>14430</v>
      </c>
      <c r="AD304" s="88">
        <v>12985</v>
      </c>
      <c r="AE304" s="88">
        <v>11035</v>
      </c>
      <c r="AF304" s="44">
        <f t="shared" si="25"/>
        <v>9</v>
      </c>
      <c r="AG304" s="44" t="str">
        <f t="shared" si="26"/>
        <v>左室流出道扩大费</v>
      </c>
      <c r="AH304" s="44">
        <f t="shared" si="27"/>
        <v>9360</v>
      </c>
      <c r="AI304" s="44">
        <f t="shared" si="28"/>
        <v>8450</v>
      </c>
      <c r="AJ304" s="44">
        <f t="shared" si="29"/>
        <v>7150</v>
      </c>
    </row>
    <row r="305" s="44" customFormat="1" ht="38" customHeight="1" spans="1:36">
      <c r="A305" s="55"/>
      <c r="B305" s="55"/>
      <c r="C305" s="56" t="s">
        <v>1483</v>
      </c>
      <c r="D305" s="55"/>
      <c r="E305" s="59"/>
      <c r="F305" s="59"/>
      <c r="G305" s="55"/>
      <c r="H305" s="59"/>
      <c r="I305" s="37"/>
      <c r="J305" s="37"/>
      <c r="K305" s="64"/>
      <c r="L305" s="64"/>
      <c r="M305" s="64"/>
      <c r="N305" s="66">
        <v>2160</v>
      </c>
      <c r="O305" s="66">
        <v>1950</v>
      </c>
      <c r="P305" s="66">
        <v>1650</v>
      </c>
      <c r="Q305" s="55"/>
      <c r="R305" s="55"/>
      <c r="S305" s="74"/>
      <c r="T305" s="64"/>
      <c r="U305" s="59"/>
      <c r="V305" s="76" t="s">
        <v>1335</v>
      </c>
      <c r="W305" s="76">
        <v>33080201801</v>
      </c>
      <c r="X305" s="77" t="s">
        <v>1336</v>
      </c>
      <c r="Y305" s="77"/>
      <c r="Z305" s="77"/>
      <c r="AA305" s="77" t="s">
        <v>54</v>
      </c>
      <c r="AB305" s="77" t="s">
        <v>40</v>
      </c>
      <c r="AC305" s="88">
        <v>13520</v>
      </c>
      <c r="AD305" s="88">
        <v>12170</v>
      </c>
      <c r="AE305" s="88">
        <v>10345</v>
      </c>
      <c r="AF305" s="44">
        <f t="shared" si="25"/>
        <v>9</v>
      </c>
      <c r="AG305" s="44" t="str">
        <f t="shared" si="26"/>
        <v>左室流出道扩大费</v>
      </c>
      <c r="AH305" s="44">
        <f t="shared" si="27"/>
        <v>9360</v>
      </c>
      <c r="AI305" s="44">
        <f t="shared" si="28"/>
        <v>8450</v>
      </c>
      <c r="AJ305" s="44">
        <f t="shared" si="29"/>
        <v>7150</v>
      </c>
    </row>
    <row r="306" s="44" customFormat="1" ht="38" customHeight="1" spans="1:36">
      <c r="A306" s="55"/>
      <c r="B306" s="55"/>
      <c r="C306" s="56" t="s">
        <v>1483</v>
      </c>
      <c r="D306" s="55"/>
      <c r="E306" s="59"/>
      <c r="F306" s="59"/>
      <c r="G306" s="55"/>
      <c r="H306" s="59"/>
      <c r="I306" s="37"/>
      <c r="J306" s="37"/>
      <c r="K306" s="64"/>
      <c r="L306" s="64"/>
      <c r="M306" s="64"/>
      <c r="N306" s="66">
        <v>2160</v>
      </c>
      <c r="O306" s="66">
        <v>1950</v>
      </c>
      <c r="P306" s="66">
        <v>1650</v>
      </c>
      <c r="Q306" s="55"/>
      <c r="R306" s="55"/>
      <c r="S306" s="74"/>
      <c r="T306" s="64"/>
      <c r="U306" s="59"/>
      <c r="V306" s="76" t="s">
        <v>1117</v>
      </c>
      <c r="W306" s="76">
        <v>33080202401</v>
      </c>
      <c r="X306" s="77" t="s">
        <v>1118</v>
      </c>
      <c r="Y306" s="77"/>
      <c r="Z306" s="77"/>
      <c r="AA306" s="77" t="s">
        <v>54</v>
      </c>
      <c r="AB306" s="77" t="s">
        <v>40</v>
      </c>
      <c r="AC306" s="88">
        <v>8580</v>
      </c>
      <c r="AD306" s="88">
        <v>7720</v>
      </c>
      <c r="AE306" s="88">
        <v>6560</v>
      </c>
      <c r="AF306" s="44">
        <f t="shared" si="25"/>
        <v>9</v>
      </c>
      <c r="AG306" s="44" t="str">
        <f t="shared" si="26"/>
        <v>左室流出道扩大费</v>
      </c>
      <c r="AH306" s="44">
        <f t="shared" si="27"/>
        <v>9360</v>
      </c>
      <c r="AI306" s="44">
        <f t="shared" si="28"/>
        <v>8450</v>
      </c>
      <c r="AJ306" s="44">
        <f t="shared" si="29"/>
        <v>7150</v>
      </c>
    </row>
    <row r="307" s="44" customFormat="1" ht="38" customHeight="1" spans="1:36">
      <c r="A307" s="55">
        <v>92</v>
      </c>
      <c r="B307" s="55" t="s">
        <v>1486</v>
      </c>
      <c r="C307" s="55" t="s">
        <v>1487</v>
      </c>
      <c r="D307" s="55" t="s">
        <v>350</v>
      </c>
      <c r="E307" s="59" t="s">
        <v>1488</v>
      </c>
      <c r="F307" s="59" t="s">
        <v>1435</v>
      </c>
      <c r="G307" s="55" t="s">
        <v>54</v>
      </c>
      <c r="H307" s="59" t="s">
        <v>40</v>
      </c>
      <c r="I307" s="30">
        <v>5570</v>
      </c>
      <c r="J307" s="30">
        <v>5013</v>
      </c>
      <c r="K307" s="64">
        <v>5300</v>
      </c>
      <c r="L307" s="64">
        <v>4770</v>
      </c>
      <c r="M307" s="64">
        <v>3815</v>
      </c>
      <c r="N307" s="35">
        <v>5300</v>
      </c>
      <c r="O307" s="35">
        <v>4770</v>
      </c>
      <c r="P307" s="68">
        <v>4050</v>
      </c>
      <c r="Q307" s="55" t="s">
        <v>41</v>
      </c>
      <c r="R307" s="55" t="s">
        <v>40</v>
      </c>
      <c r="S307" s="74" t="s">
        <v>40</v>
      </c>
      <c r="T307" s="64" t="s">
        <v>183</v>
      </c>
      <c r="U307" s="59" t="s">
        <v>973</v>
      </c>
      <c r="V307" s="76" t="s">
        <v>1489</v>
      </c>
      <c r="W307" s="76">
        <v>330801003</v>
      </c>
      <c r="X307" s="77" t="s">
        <v>1490</v>
      </c>
      <c r="Y307" s="77" t="s">
        <v>1491</v>
      </c>
      <c r="Z307" s="77"/>
      <c r="AA307" s="77" t="s">
        <v>54</v>
      </c>
      <c r="AB307" s="77" t="s">
        <v>1492</v>
      </c>
      <c r="AC307" s="88">
        <v>5300</v>
      </c>
      <c r="AD307" s="88">
        <v>4770</v>
      </c>
      <c r="AE307" s="88">
        <v>3815</v>
      </c>
      <c r="AF307" s="44">
        <f t="shared" si="25"/>
        <v>0</v>
      </c>
      <c r="AG307" s="44" t="str">
        <f t="shared" si="26"/>
        <v>二尖瓣置换费</v>
      </c>
      <c r="AH307" s="44">
        <f t="shared" si="27"/>
        <v>5300</v>
      </c>
      <c r="AI307" s="44">
        <f t="shared" si="28"/>
        <v>4770</v>
      </c>
      <c r="AJ307" s="44">
        <f t="shared" si="29"/>
        <v>4050</v>
      </c>
    </row>
    <row r="308" s="44" customFormat="1" ht="38" customHeight="1" spans="1:36">
      <c r="A308" s="55" t="s">
        <v>55</v>
      </c>
      <c r="B308" s="55" t="s">
        <v>1493</v>
      </c>
      <c r="C308" s="55" t="s">
        <v>1494</v>
      </c>
      <c r="D308" s="55" t="s">
        <v>350</v>
      </c>
      <c r="E308" s="59" t="s">
        <v>40</v>
      </c>
      <c r="F308" s="59" t="s">
        <v>40</v>
      </c>
      <c r="G308" s="55" t="s">
        <v>54</v>
      </c>
      <c r="H308" s="59" t="s">
        <v>40</v>
      </c>
      <c r="I308" s="30">
        <v>1671</v>
      </c>
      <c r="J308" s="30">
        <v>1504</v>
      </c>
      <c r="K308" s="64"/>
      <c r="L308" s="64"/>
      <c r="M308" s="64"/>
      <c r="N308" s="35">
        <v>1590</v>
      </c>
      <c r="O308" s="35">
        <v>1430</v>
      </c>
      <c r="P308" s="35">
        <v>1215</v>
      </c>
      <c r="Q308" s="55" t="s">
        <v>41</v>
      </c>
      <c r="R308" s="55" t="s">
        <v>40</v>
      </c>
      <c r="S308" s="74" t="s">
        <v>40</v>
      </c>
      <c r="T308" s="64"/>
      <c r="U308" s="59" t="s">
        <v>305</v>
      </c>
      <c r="V308" s="76" t="s">
        <v>1495</v>
      </c>
      <c r="W308" s="76">
        <v>33080100301</v>
      </c>
      <c r="X308" s="77" t="s">
        <v>1496</v>
      </c>
      <c r="Y308" s="77"/>
      <c r="Z308" s="77"/>
      <c r="AA308" s="77" t="s">
        <v>54</v>
      </c>
      <c r="AB308" s="77" t="s">
        <v>40</v>
      </c>
      <c r="AC308" s="88">
        <v>6890</v>
      </c>
      <c r="AD308" s="88">
        <v>6200</v>
      </c>
      <c r="AE308" s="88">
        <v>4960</v>
      </c>
      <c r="AF308" s="44">
        <f t="shared" si="25"/>
        <v>7</v>
      </c>
      <c r="AG308" s="44" t="str">
        <f t="shared" si="26"/>
        <v>二尖瓣置换费</v>
      </c>
      <c r="AH308" s="44">
        <f t="shared" si="27"/>
        <v>6890</v>
      </c>
      <c r="AI308" s="44">
        <f t="shared" si="28"/>
        <v>6200</v>
      </c>
      <c r="AJ308" s="44">
        <f t="shared" si="29"/>
        <v>5265</v>
      </c>
    </row>
    <row r="309" s="44" customFormat="1" ht="38" customHeight="1" spans="1:36">
      <c r="A309" s="55" t="s">
        <v>55</v>
      </c>
      <c r="B309" s="55" t="s">
        <v>1497</v>
      </c>
      <c r="C309" s="56" t="s">
        <v>1498</v>
      </c>
      <c r="D309" s="55" t="s">
        <v>350</v>
      </c>
      <c r="E309" s="59" t="s">
        <v>40</v>
      </c>
      <c r="F309" s="59" t="s">
        <v>40</v>
      </c>
      <c r="G309" s="55" t="s">
        <v>54</v>
      </c>
      <c r="H309" s="59" t="s">
        <v>40</v>
      </c>
      <c r="I309" s="30">
        <v>800</v>
      </c>
      <c r="J309" s="30">
        <v>720</v>
      </c>
      <c r="K309" s="64">
        <v>625</v>
      </c>
      <c r="L309" s="64">
        <v>600</v>
      </c>
      <c r="M309" s="64">
        <v>510</v>
      </c>
      <c r="N309" s="71">
        <v>720</v>
      </c>
      <c r="O309" s="71">
        <v>650</v>
      </c>
      <c r="P309" s="71">
        <v>550</v>
      </c>
      <c r="Q309" s="55" t="s">
        <v>41</v>
      </c>
      <c r="R309" s="55" t="s">
        <v>40</v>
      </c>
      <c r="S309" s="74" t="s">
        <v>40</v>
      </c>
      <c r="T309" s="64"/>
      <c r="U309" s="59" t="s">
        <v>1210</v>
      </c>
      <c r="V309" s="76" t="s">
        <v>1499</v>
      </c>
      <c r="W309" s="76">
        <v>33080100302</v>
      </c>
      <c r="X309" s="77" t="s">
        <v>1500</v>
      </c>
      <c r="Y309" s="77"/>
      <c r="Z309" s="77"/>
      <c r="AA309" s="77" t="s">
        <v>54</v>
      </c>
      <c r="AB309" s="77" t="s">
        <v>40</v>
      </c>
      <c r="AC309" s="88">
        <v>5925</v>
      </c>
      <c r="AD309" s="88">
        <v>5370</v>
      </c>
      <c r="AE309" s="88">
        <v>4325</v>
      </c>
      <c r="AF309" s="44">
        <f t="shared" si="25"/>
        <v>0</v>
      </c>
      <c r="AG309" s="44" t="str">
        <f t="shared" si="26"/>
        <v>二尖瓣置换费-微创手术（加收）</v>
      </c>
      <c r="AH309" s="44">
        <f t="shared" si="27"/>
        <v>720</v>
      </c>
      <c r="AI309" s="44">
        <f t="shared" si="28"/>
        <v>650</v>
      </c>
      <c r="AJ309" s="44">
        <f t="shared" si="29"/>
        <v>550</v>
      </c>
    </row>
    <row r="310" s="44" customFormat="1" ht="38" customHeight="1" spans="1:36">
      <c r="A310" s="55"/>
      <c r="B310" s="55"/>
      <c r="C310" s="56" t="s">
        <v>1498</v>
      </c>
      <c r="D310" s="55"/>
      <c r="E310" s="59"/>
      <c r="F310" s="59"/>
      <c r="G310" s="55"/>
      <c r="H310" s="59"/>
      <c r="I310" s="37"/>
      <c r="J310" s="37"/>
      <c r="K310" s="64"/>
      <c r="L310" s="64"/>
      <c r="M310" s="64"/>
      <c r="N310" s="71">
        <v>720</v>
      </c>
      <c r="O310" s="71">
        <v>650</v>
      </c>
      <c r="P310" s="71">
        <v>550</v>
      </c>
      <c r="Q310" s="55"/>
      <c r="R310" s="55"/>
      <c r="S310" s="74"/>
      <c r="T310" s="64"/>
      <c r="U310" s="59"/>
      <c r="V310" s="76" t="s">
        <v>1501</v>
      </c>
      <c r="W310" s="76">
        <v>33080100303</v>
      </c>
      <c r="X310" s="77" t="s">
        <v>1502</v>
      </c>
      <c r="Y310" s="77"/>
      <c r="Z310" s="77"/>
      <c r="AA310" s="77" t="s">
        <v>54</v>
      </c>
      <c r="AB310" s="77" t="s">
        <v>40</v>
      </c>
      <c r="AC310" s="88">
        <v>7515</v>
      </c>
      <c r="AD310" s="88">
        <v>6800</v>
      </c>
      <c r="AE310" s="88">
        <v>5470</v>
      </c>
      <c r="AF310" s="44">
        <f t="shared" si="25"/>
        <v>0</v>
      </c>
      <c r="AG310" s="44" t="str">
        <f t="shared" si="26"/>
        <v>二尖瓣置换费-微创手术（加收）</v>
      </c>
      <c r="AH310" s="44">
        <f t="shared" si="27"/>
        <v>720</v>
      </c>
      <c r="AI310" s="44">
        <f t="shared" si="28"/>
        <v>650</v>
      </c>
      <c r="AJ310" s="44">
        <f t="shared" si="29"/>
        <v>550</v>
      </c>
    </row>
    <row r="311" s="44" customFormat="1" ht="38" customHeight="1" spans="1:36">
      <c r="A311" s="55" t="s">
        <v>55</v>
      </c>
      <c r="B311" s="55" t="s">
        <v>1503</v>
      </c>
      <c r="C311" s="56" t="s">
        <v>1504</v>
      </c>
      <c r="D311" s="55" t="s">
        <v>350</v>
      </c>
      <c r="E311" s="59" t="s">
        <v>40</v>
      </c>
      <c r="F311" s="59" t="s">
        <v>40</v>
      </c>
      <c r="G311" s="55" t="s">
        <v>54</v>
      </c>
      <c r="H311" s="59" t="s">
        <v>40</v>
      </c>
      <c r="I311" s="30">
        <v>2110</v>
      </c>
      <c r="J311" s="30">
        <v>1899</v>
      </c>
      <c r="K311" s="64"/>
      <c r="L311" s="64"/>
      <c r="M311" s="64"/>
      <c r="N311" s="66">
        <v>2005</v>
      </c>
      <c r="O311" s="66">
        <v>1805</v>
      </c>
      <c r="P311" s="66">
        <v>1535</v>
      </c>
      <c r="Q311" s="55" t="s">
        <v>41</v>
      </c>
      <c r="R311" s="55" t="s">
        <v>40</v>
      </c>
      <c r="S311" s="74" t="s">
        <v>40</v>
      </c>
      <c r="T311" s="64"/>
      <c r="U311" s="59" t="s">
        <v>1468</v>
      </c>
      <c r="V311" s="76" t="s">
        <v>1112</v>
      </c>
      <c r="W311" s="76">
        <v>330802024</v>
      </c>
      <c r="X311" s="55" t="s">
        <v>1113</v>
      </c>
      <c r="Y311" s="77" t="s">
        <v>1114</v>
      </c>
      <c r="Z311" s="77"/>
      <c r="AA311" s="77" t="s">
        <v>54</v>
      </c>
      <c r="AB311" s="77" t="s">
        <v>40</v>
      </c>
      <c r="AC311" s="88">
        <v>6600</v>
      </c>
      <c r="AD311" s="88">
        <v>5940</v>
      </c>
      <c r="AE311" s="88">
        <v>5050</v>
      </c>
      <c r="AF311" s="44">
        <f t="shared" si="25"/>
        <v>0</v>
      </c>
      <c r="AG311" s="44" t="str">
        <f t="shared" si="26"/>
        <v>二尖瓣置换费-瓣环加宽（加收）</v>
      </c>
      <c r="AH311" s="44">
        <f t="shared" si="27"/>
        <v>2005</v>
      </c>
      <c r="AI311" s="44">
        <f t="shared" si="28"/>
        <v>1805</v>
      </c>
      <c r="AJ311" s="44">
        <f t="shared" si="29"/>
        <v>1535</v>
      </c>
    </row>
    <row r="312" s="44" customFormat="1" ht="38" customHeight="1" spans="1:36">
      <c r="A312" s="55"/>
      <c r="B312" s="55"/>
      <c r="C312" s="56" t="s">
        <v>1504</v>
      </c>
      <c r="D312" s="55"/>
      <c r="E312" s="59"/>
      <c r="F312" s="59"/>
      <c r="G312" s="55"/>
      <c r="H312" s="59"/>
      <c r="I312" s="37"/>
      <c r="J312" s="37"/>
      <c r="K312" s="64"/>
      <c r="L312" s="64"/>
      <c r="M312" s="64"/>
      <c r="N312" s="66">
        <v>2005</v>
      </c>
      <c r="O312" s="66">
        <v>1805</v>
      </c>
      <c r="P312" s="66">
        <v>1535</v>
      </c>
      <c r="Q312" s="55"/>
      <c r="R312" s="55"/>
      <c r="S312" s="74"/>
      <c r="T312" s="64"/>
      <c r="U312" s="59"/>
      <c r="V312" s="76" t="s">
        <v>1117</v>
      </c>
      <c r="W312" s="76">
        <v>33080202401</v>
      </c>
      <c r="X312" s="77" t="s">
        <v>1118</v>
      </c>
      <c r="Y312" s="77"/>
      <c r="Z312" s="77"/>
      <c r="AA312" s="77" t="s">
        <v>54</v>
      </c>
      <c r="AB312" s="77" t="s">
        <v>40</v>
      </c>
      <c r="AC312" s="88">
        <v>8580</v>
      </c>
      <c r="AD312" s="88">
        <v>7720</v>
      </c>
      <c r="AE312" s="88">
        <v>6560</v>
      </c>
      <c r="AF312" s="44">
        <f t="shared" si="25"/>
        <v>0</v>
      </c>
      <c r="AG312" s="44" t="str">
        <f t="shared" si="26"/>
        <v>二尖瓣置换费-瓣环加宽（加收）</v>
      </c>
      <c r="AH312" s="44">
        <f t="shared" si="27"/>
        <v>2005</v>
      </c>
      <c r="AI312" s="44">
        <f t="shared" si="28"/>
        <v>1805</v>
      </c>
      <c r="AJ312" s="44">
        <f t="shared" si="29"/>
        <v>1535</v>
      </c>
    </row>
    <row r="313" s="44" customFormat="1" ht="38" customHeight="1" spans="1:36">
      <c r="A313" s="55">
        <v>93</v>
      </c>
      <c r="B313" s="55" t="s">
        <v>1505</v>
      </c>
      <c r="C313" s="56" t="s">
        <v>1506</v>
      </c>
      <c r="D313" s="55" t="s">
        <v>350</v>
      </c>
      <c r="E313" s="59" t="s">
        <v>1507</v>
      </c>
      <c r="F313" s="59" t="s">
        <v>1435</v>
      </c>
      <c r="G313" s="55" t="s">
        <v>54</v>
      </c>
      <c r="H313" s="59" t="s">
        <v>40</v>
      </c>
      <c r="I313" s="30">
        <v>6360</v>
      </c>
      <c r="J313" s="30">
        <v>5724</v>
      </c>
      <c r="K313" s="64">
        <v>5528.75</v>
      </c>
      <c r="L313" s="64"/>
      <c r="M313" s="64"/>
      <c r="N313" s="67">
        <v>5800</v>
      </c>
      <c r="O313" s="66">
        <v>5200</v>
      </c>
      <c r="P313" s="66">
        <v>4400</v>
      </c>
      <c r="Q313" s="55" t="s">
        <v>41</v>
      </c>
      <c r="R313" s="55" t="s">
        <v>40</v>
      </c>
      <c r="S313" s="74" t="s">
        <v>40</v>
      </c>
      <c r="T313" s="64" t="s">
        <v>994</v>
      </c>
      <c r="U313" s="59" t="s">
        <v>1508</v>
      </c>
      <c r="V313" s="76" t="s">
        <v>1509</v>
      </c>
      <c r="W313" s="76">
        <v>330801005</v>
      </c>
      <c r="X313" s="77" t="s">
        <v>1510</v>
      </c>
      <c r="Y313" s="77"/>
      <c r="Z313" s="77"/>
      <c r="AA313" s="77" t="s">
        <v>54</v>
      </c>
      <c r="AB313" s="77" t="s">
        <v>1511</v>
      </c>
      <c r="AC313" s="88">
        <v>5060</v>
      </c>
      <c r="AD313" s="88">
        <v>4550</v>
      </c>
      <c r="AE313" s="88">
        <v>3870</v>
      </c>
      <c r="AF313" s="44">
        <f t="shared" si="25"/>
        <v>0</v>
      </c>
      <c r="AG313" s="44" t="str">
        <f t="shared" si="26"/>
        <v>三尖瓣置换费</v>
      </c>
      <c r="AH313" s="44">
        <f t="shared" si="27"/>
        <v>5800</v>
      </c>
      <c r="AI313" s="44">
        <f t="shared" si="28"/>
        <v>5200</v>
      </c>
      <c r="AJ313" s="44">
        <f t="shared" si="29"/>
        <v>4400</v>
      </c>
    </row>
    <row r="314" s="44" customFormat="1" ht="38" customHeight="1" spans="1:36">
      <c r="A314" s="55"/>
      <c r="B314" s="55"/>
      <c r="C314" s="56" t="s">
        <v>1506</v>
      </c>
      <c r="D314" s="55"/>
      <c r="E314" s="59"/>
      <c r="F314" s="59"/>
      <c r="G314" s="55"/>
      <c r="H314" s="59"/>
      <c r="I314" s="37"/>
      <c r="J314" s="37"/>
      <c r="K314" s="64"/>
      <c r="L314" s="64"/>
      <c r="M314" s="64"/>
      <c r="N314" s="67">
        <v>5800</v>
      </c>
      <c r="O314" s="66">
        <v>5200</v>
      </c>
      <c r="P314" s="66">
        <v>4400</v>
      </c>
      <c r="Q314" s="55"/>
      <c r="R314" s="55"/>
      <c r="S314" s="74"/>
      <c r="T314" s="64"/>
      <c r="U314" s="59"/>
      <c r="V314" s="76" t="s">
        <v>1512</v>
      </c>
      <c r="W314" s="76">
        <v>33080100502</v>
      </c>
      <c r="X314" s="77" t="s">
        <v>1513</v>
      </c>
      <c r="Y314" s="77"/>
      <c r="Z314" s="77"/>
      <c r="AA314" s="77" t="s">
        <v>54</v>
      </c>
      <c r="AB314" s="77" t="s">
        <v>40</v>
      </c>
      <c r="AC314" s="88">
        <v>5685</v>
      </c>
      <c r="AD314" s="88">
        <v>5150</v>
      </c>
      <c r="AE314" s="88">
        <v>4380</v>
      </c>
      <c r="AF314" s="44">
        <f t="shared" si="25"/>
        <v>0</v>
      </c>
      <c r="AG314" s="44" t="str">
        <f t="shared" si="26"/>
        <v>三尖瓣置换费</v>
      </c>
      <c r="AH314" s="44">
        <f t="shared" si="27"/>
        <v>5800</v>
      </c>
      <c r="AI314" s="44">
        <f t="shared" si="28"/>
        <v>5200</v>
      </c>
      <c r="AJ314" s="44">
        <f t="shared" si="29"/>
        <v>4400</v>
      </c>
    </row>
    <row r="315" s="44" customFormat="1" ht="38" customHeight="1" spans="1:36">
      <c r="A315" s="55" t="s">
        <v>55</v>
      </c>
      <c r="B315" s="55" t="s">
        <v>1514</v>
      </c>
      <c r="C315" s="56" t="s">
        <v>1515</v>
      </c>
      <c r="D315" s="55" t="s">
        <v>350</v>
      </c>
      <c r="E315" s="59" t="s">
        <v>40</v>
      </c>
      <c r="F315" s="59" t="s">
        <v>40</v>
      </c>
      <c r="G315" s="55" t="s">
        <v>54</v>
      </c>
      <c r="H315" s="59" t="s">
        <v>40</v>
      </c>
      <c r="I315" s="30">
        <v>1908</v>
      </c>
      <c r="J315" s="30">
        <v>1717</v>
      </c>
      <c r="K315" s="64"/>
      <c r="L315" s="64"/>
      <c r="M315" s="64"/>
      <c r="N315" s="66">
        <v>1740</v>
      </c>
      <c r="O315" s="66">
        <v>1560</v>
      </c>
      <c r="P315" s="66">
        <v>1320</v>
      </c>
      <c r="Q315" s="55" t="s">
        <v>41</v>
      </c>
      <c r="R315" s="55" t="s">
        <v>40</v>
      </c>
      <c r="S315" s="74" t="s">
        <v>40</v>
      </c>
      <c r="T315" s="64"/>
      <c r="U315" s="59" t="s">
        <v>305</v>
      </c>
      <c r="V315" s="76" t="s">
        <v>1516</v>
      </c>
      <c r="W315" s="76">
        <v>33080100501</v>
      </c>
      <c r="X315" s="77" t="s">
        <v>1517</v>
      </c>
      <c r="Y315" s="77"/>
      <c r="Z315" s="77"/>
      <c r="AA315" s="77" t="s">
        <v>54</v>
      </c>
      <c r="AB315" s="77" t="s">
        <v>40</v>
      </c>
      <c r="AC315" s="88">
        <v>6580</v>
      </c>
      <c r="AD315" s="88">
        <v>5915</v>
      </c>
      <c r="AE315" s="88">
        <v>5030</v>
      </c>
      <c r="AF315" s="44">
        <f t="shared" si="25"/>
        <v>7</v>
      </c>
      <c r="AG315" s="44" t="str">
        <f t="shared" si="26"/>
        <v>三尖瓣置换费</v>
      </c>
      <c r="AH315" s="44">
        <f t="shared" si="27"/>
        <v>7540</v>
      </c>
      <c r="AI315" s="44">
        <f t="shared" si="28"/>
        <v>6760</v>
      </c>
      <c r="AJ315" s="44">
        <f t="shared" si="29"/>
        <v>5720</v>
      </c>
    </row>
    <row r="316" s="44" customFormat="1" ht="38" customHeight="1" spans="1:36">
      <c r="A316" s="55"/>
      <c r="B316" s="55"/>
      <c r="C316" s="56" t="s">
        <v>1515</v>
      </c>
      <c r="D316" s="55"/>
      <c r="E316" s="59"/>
      <c r="F316" s="59"/>
      <c r="G316" s="55"/>
      <c r="H316" s="59"/>
      <c r="I316" s="37"/>
      <c r="J316" s="37"/>
      <c r="K316" s="64"/>
      <c r="L316" s="64"/>
      <c r="M316" s="64"/>
      <c r="N316" s="66">
        <v>1740</v>
      </c>
      <c r="O316" s="66">
        <v>1560</v>
      </c>
      <c r="P316" s="66">
        <v>1320</v>
      </c>
      <c r="Q316" s="55"/>
      <c r="R316" s="55"/>
      <c r="S316" s="74"/>
      <c r="T316" s="64"/>
      <c r="U316" s="59"/>
      <c r="V316" s="76" t="s">
        <v>1518</v>
      </c>
      <c r="W316" s="76">
        <v>33080100503</v>
      </c>
      <c r="X316" s="77" t="s">
        <v>1519</v>
      </c>
      <c r="Y316" s="77"/>
      <c r="Z316" s="77"/>
      <c r="AA316" s="77" t="s">
        <v>54</v>
      </c>
      <c r="AB316" s="77" t="s">
        <v>40</v>
      </c>
      <c r="AC316" s="88">
        <v>7205</v>
      </c>
      <c r="AD316" s="88">
        <v>6515</v>
      </c>
      <c r="AE316" s="88">
        <v>5540</v>
      </c>
      <c r="AF316" s="44">
        <f t="shared" si="25"/>
        <v>7</v>
      </c>
      <c r="AG316" s="44" t="str">
        <f t="shared" si="26"/>
        <v>三尖瓣置换费</v>
      </c>
      <c r="AH316" s="44">
        <f t="shared" si="27"/>
        <v>7540</v>
      </c>
      <c r="AI316" s="44">
        <f t="shared" si="28"/>
        <v>6760</v>
      </c>
      <c r="AJ316" s="44">
        <f t="shared" si="29"/>
        <v>5720</v>
      </c>
    </row>
    <row r="317" s="44" customFormat="1" ht="54" customHeight="1" spans="1:36">
      <c r="A317" s="55">
        <v>94</v>
      </c>
      <c r="B317" s="55" t="s">
        <v>1520</v>
      </c>
      <c r="C317" s="55" t="s">
        <v>1521</v>
      </c>
      <c r="D317" s="55" t="s">
        <v>350</v>
      </c>
      <c r="E317" s="59" t="s">
        <v>1522</v>
      </c>
      <c r="F317" s="59" t="s">
        <v>1435</v>
      </c>
      <c r="G317" s="55" t="s">
        <v>54</v>
      </c>
      <c r="H317" s="59" t="s">
        <v>40</v>
      </c>
      <c r="I317" s="30">
        <v>4860</v>
      </c>
      <c r="J317" s="30">
        <v>4374</v>
      </c>
      <c r="K317" s="64">
        <v>4220</v>
      </c>
      <c r="L317" s="64">
        <v>3800</v>
      </c>
      <c r="M317" s="64">
        <v>3230</v>
      </c>
      <c r="N317" s="68">
        <v>4400</v>
      </c>
      <c r="O317" s="68">
        <v>3950</v>
      </c>
      <c r="P317" s="68">
        <v>3350</v>
      </c>
      <c r="Q317" s="55" t="s">
        <v>41</v>
      </c>
      <c r="R317" s="55" t="s">
        <v>40</v>
      </c>
      <c r="S317" s="74" t="s">
        <v>40</v>
      </c>
      <c r="T317" s="64" t="s">
        <v>994</v>
      </c>
      <c r="U317" s="110" t="s">
        <v>1523</v>
      </c>
      <c r="V317" s="76" t="s">
        <v>1524</v>
      </c>
      <c r="W317" s="76">
        <v>330801011</v>
      </c>
      <c r="X317" s="77" t="s">
        <v>1525</v>
      </c>
      <c r="Y317" s="77"/>
      <c r="Z317" s="77"/>
      <c r="AA317" s="77" t="s">
        <v>54</v>
      </c>
      <c r="AB317" s="77" t="s">
        <v>1526</v>
      </c>
      <c r="AC317" s="88">
        <v>4220</v>
      </c>
      <c r="AD317" s="88">
        <v>3800</v>
      </c>
      <c r="AE317" s="88">
        <v>3230</v>
      </c>
      <c r="AF317" s="44">
        <f t="shared" si="25"/>
        <v>0</v>
      </c>
      <c r="AG317" s="44" t="str">
        <f t="shared" si="26"/>
        <v>肺动脉瓣置换费</v>
      </c>
      <c r="AH317" s="44">
        <f t="shared" si="27"/>
        <v>4400</v>
      </c>
      <c r="AI317" s="44">
        <f t="shared" si="28"/>
        <v>3950</v>
      </c>
      <c r="AJ317" s="44">
        <f t="shared" si="29"/>
        <v>3350</v>
      </c>
    </row>
    <row r="318" s="44" customFormat="1" ht="38" customHeight="1" spans="1:36">
      <c r="A318" s="55" t="s">
        <v>55</v>
      </c>
      <c r="B318" s="55" t="s">
        <v>1527</v>
      </c>
      <c r="C318" s="55" t="s">
        <v>1528</v>
      </c>
      <c r="D318" s="55" t="s">
        <v>350</v>
      </c>
      <c r="E318" s="59" t="s">
        <v>40</v>
      </c>
      <c r="F318" s="59" t="s">
        <v>40</v>
      </c>
      <c r="G318" s="55" t="s">
        <v>54</v>
      </c>
      <c r="H318" s="59" t="s">
        <v>40</v>
      </c>
      <c r="I318" s="30">
        <v>1458</v>
      </c>
      <c r="J318" s="30">
        <v>1312</v>
      </c>
      <c r="K318" s="64"/>
      <c r="L318" s="64"/>
      <c r="M318" s="64"/>
      <c r="N318" s="35">
        <v>1320</v>
      </c>
      <c r="O318" s="35">
        <v>1185</v>
      </c>
      <c r="P318" s="35">
        <v>1005</v>
      </c>
      <c r="Q318" s="55" t="s">
        <v>41</v>
      </c>
      <c r="R318" s="55" t="s">
        <v>40</v>
      </c>
      <c r="S318" s="74" t="s">
        <v>40</v>
      </c>
      <c r="T318" s="64"/>
      <c r="U318" s="110" t="s">
        <v>305</v>
      </c>
      <c r="V318" s="76" t="s">
        <v>1529</v>
      </c>
      <c r="W318" s="76">
        <v>33080101101</v>
      </c>
      <c r="X318" s="77" t="s">
        <v>1530</v>
      </c>
      <c r="Y318" s="77"/>
      <c r="Z318" s="77"/>
      <c r="AA318" s="77" t="s">
        <v>54</v>
      </c>
      <c r="AB318" s="77" t="s">
        <v>40</v>
      </c>
      <c r="AC318" s="88">
        <v>5485</v>
      </c>
      <c r="AD318" s="88">
        <v>4940</v>
      </c>
      <c r="AE318" s="88">
        <v>4200</v>
      </c>
      <c r="AF318" s="44">
        <f t="shared" si="25"/>
        <v>8</v>
      </c>
      <c r="AG318" s="44" t="str">
        <f t="shared" si="26"/>
        <v>肺动脉瓣置换费</v>
      </c>
      <c r="AH318" s="44">
        <f t="shared" si="27"/>
        <v>5720</v>
      </c>
      <c r="AI318" s="44">
        <f t="shared" si="28"/>
        <v>5135</v>
      </c>
      <c r="AJ318" s="44">
        <f t="shared" si="29"/>
        <v>4355</v>
      </c>
    </row>
    <row r="319" s="44" customFormat="1" ht="63" customHeight="1" spans="1:36">
      <c r="A319" s="55">
        <v>95</v>
      </c>
      <c r="B319" s="55" t="s">
        <v>1531</v>
      </c>
      <c r="C319" s="55" t="s">
        <v>1532</v>
      </c>
      <c r="D319" s="55" t="s">
        <v>350</v>
      </c>
      <c r="E319" s="59" t="s">
        <v>1533</v>
      </c>
      <c r="F319" s="59" t="s">
        <v>1534</v>
      </c>
      <c r="G319" s="55" t="s">
        <v>54</v>
      </c>
      <c r="H319" s="59" t="s">
        <v>40</v>
      </c>
      <c r="I319" s="30">
        <v>6000</v>
      </c>
      <c r="J319" s="30">
        <v>5400</v>
      </c>
      <c r="K319" s="64">
        <v>5160</v>
      </c>
      <c r="L319" s="64">
        <v>4640</v>
      </c>
      <c r="M319" s="64">
        <v>3940</v>
      </c>
      <c r="N319" s="68">
        <v>5400</v>
      </c>
      <c r="O319" s="68">
        <v>4850</v>
      </c>
      <c r="P319" s="68">
        <v>4100</v>
      </c>
      <c r="Q319" s="55" t="s">
        <v>41</v>
      </c>
      <c r="R319" s="55" t="s">
        <v>40</v>
      </c>
      <c r="S319" s="74" t="s">
        <v>40</v>
      </c>
      <c r="T319" s="64" t="s">
        <v>994</v>
      </c>
      <c r="U319" s="110" t="s">
        <v>1535</v>
      </c>
      <c r="V319" s="76" t="s">
        <v>1536</v>
      </c>
      <c r="W319" s="76">
        <v>330802001</v>
      </c>
      <c r="X319" s="77" t="s">
        <v>1537</v>
      </c>
      <c r="Y319" s="77" t="s">
        <v>1538</v>
      </c>
      <c r="Z319" s="77"/>
      <c r="AA319" s="77" t="s">
        <v>54</v>
      </c>
      <c r="AB319" s="77" t="s">
        <v>40</v>
      </c>
      <c r="AC319" s="88">
        <v>5160</v>
      </c>
      <c r="AD319" s="88">
        <v>4640</v>
      </c>
      <c r="AE319" s="88">
        <v>3940</v>
      </c>
      <c r="AF319" s="44">
        <f t="shared" si="25"/>
        <v>0</v>
      </c>
      <c r="AG319" s="44" t="str">
        <f t="shared" si="26"/>
        <v>冠状动脉瘘修补费</v>
      </c>
      <c r="AH319" s="44">
        <f t="shared" si="27"/>
        <v>5400</v>
      </c>
      <c r="AI319" s="44">
        <f t="shared" si="28"/>
        <v>4850</v>
      </c>
      <c r="AJ319" s="44">
        <f t="shared" si="29"/>
        <v>4100</v>
      </c>
    </row>
    <row r="320" s="44" customFormat="1" ht="38" customHeight="1" spans="1:36">
      <c r="A320" s="55" t="s">
        <v>55</v>
      </c>
      <c r="B320" s="55" t="s">
        <v>1539</v>
      </c>
      <c r="C320" s="55" t="s">
        <v>1540</v>
      </c>
      <c r="D320" s="55" t="s">
        <v>350</v>
      </c>
      <c r="E320" s="59" t="s">
        <v>40</v>
      </c>
      <c r="F320" s="59" t="s">
        <v>40</v>
      </c>
      <c r="G320" s="55" t="s">
        <v>54</v>
      </c>
      <c r="H320" s="59" t="s">
        <v>40</v>
      </c>
      <c r="I320" s="30">
        <v>1800</v>
      </c>
      <c r="J320" s="30">
        <v>1620</v>
      </c>
      <c r="K320" s="64"/>
      <c r="L320" s="64"/>
      <c r="M320" s="64"/>
      <c r="N320" s="35">
        <v>1620</v>
      </c>
      <c r="O320" s="35">
        <v>1455</v>
      </c>
      <c r="P320" s="35">
        <v>1230</v>
      </c>
      <c r="Q320" s="55" t="s">
        <v>41</v>
      </c>
      <c r="R320" s="55" t="s">
        <v>40</v>
      </c>
      <c r="S320" s="74" t="s">
        <v>40</v>
      </c>
      <c r="T320" s="64"/>
      <c r="U320" s="110" t="s">
        <v>305</v>
      </c>
      <c r="V320" s="76" t="s">
        <v>1541</v>
      </c>
      <c r="W320" s="76">
        <v>33080200101</v>
      </c>
      <c r="X320" s="77" t="s">
        <v>1542</v>
      </c>
      <c r="Y320" s="77"/>
      <c r="Z320" s="77"/>
      <c r="AA320" s="77" t="s">
        <v>54</v>
      </c>
      <c r="AB320" s="77" t="s">
        <v>40</v>
      </c>
      <c r="AC320" s="88">
        <v>6710</v>
      </c>
      <c r="AD320" s="88">
        <v>6030</v>
      </c>
      <c r="AE320" s="88">
        <v>5125</v>
      </c>
      <c r="AF320" s="44">
        <f t="shared" si="25"/>
        <v>9</v>
      </c>
      <c r="AG320" s="44" t="str">
        <f t="shared" si="26"/>
        <v>冠状动脉瘘修补费</v>
      </c>
      <c r="AH320" s="44">
        <f t="shared" si="27"/>
        <v>7020</v>
      </c>
      <c r="AI320" s="44">
        <f t="shared" si="28"/>
        <v>6305</v>
      </c>
      <c r="AJ320" s="44">
        <f t="shared" si="29"/>
        <v>5330</v>
      </c>
    </row>
    <row r="321" s="44" customFormat="1" ht="62" customHeight="1" spans="1:36">
      <c r="A321" s="55">
        <v>96</v>
      </c>
      <c r="B321" s="55" t="s">
        <v>1543</v>
      </c>
      <c r="C321" s="55" t="s">
        <v>1544</v>
      </c>
      <c r="D321" s="55" t="s">
        <v>350</v>
      </c>
      <c r="E321" s="59" t="s">
        <v>1545</v>
      </c>
      <c r="F321" s="59" t="s">
        <v>1546</v>
      </c>
      <c r="G321" s="55" t="s">
        <v>54</v>
      </c>
      <c r="H321" s="59" t="s">
        <v>40</v>
      </c>
      <c r="I321" s="30">
        <v>6720</v>
      </c>
      <c r="J321" s="30">
        <v>6048</v>
      </c>
      <c r="K321" s="64">
        <v>5780</v>
      </c>
      <c r="L321" s="64">
        <v>5200</v>
      </c>
      <c r="M321" s="64">
        <v>4420</v>
      </c>
      <c r="N321" s="68">
        <v>6000</v>
      </c>
      <c r="O321" s="68">
        <v>5400</v>
      </c>
      <c r="P321" s="68">
        <v>4600</v>
      </c>
      <c r="Q321" s="112" t="s">
        <v>41</v>
      </c>
      <c r="R321" s="112" t="s">
        <v>40</v>
      </c>
      <c r="S321" s="113" t="s">
        <v>40</v>
      </c>
      <c r="T321" s="64" t="s">
        <v>994</v>
      </c>
      <c r="U321" s="110" t="s">
        <v>1535</v>
      </c>
      <c r="V321" s="76" t="s">
        <v>1547</v>
      </c>
      <c r="W321" s="76">
        <v>330802002</v>
      </c>
      <c r="X321" s="77" t="s">
        <v>1548</v>
      </c>
      <c r="Y321" s="77"/>
      <c r="Z321" s="77"/>
      <c r="AA321" s="77" t="s">
        <v>54</v>
      </c>
      <c r="AB321" s="77" t="s">
        <v>40</v>
      </c>
      <c r="AC321" s="88">
        <v>5780</v>
      </c>
      <c r="AD321" s="88">
        <v>5200</v>
      </c>
      <c r="AE321" s="88">
        <v>4420</v>
      </c>
      <c r="AF321" s="44">
        <f t="shared" si="25"/>
        <v>0</v>
      </c>
      <c r="AG321" s="44" t="str">
        <f t="shared" si="26"/>
        <v>冠脉异常起源矫治费</v>
      </c>
      <c r="AH321" s="44">
        <f t="shared" si="27"/>
        <v>6000</v>
      </c>
      <c r="AI321" s="44">
        <f t="shared" si="28"/>
        <v>5400</v>
      </c>
      <c r="AJ321" s="44">
        <f t="shared" si="29"/>
        <v>4600</v>
      </c>
    </row>
    <row r="322" s="44" customFormat="1" ht="38" customHeight="1" spans="1:36">
      <c r="A322" s="55" t="s">
        <v>55</v>
      </c>
      <c r="B322" s="55" t="s">
        <v>1549</v>
      </c>
      <c r="C322" s="55" t="s">
        <v>1550</v>
      </c>
      <c r="D322" s="55" t="s">
        <v>350</v>
      </c>
      <c r="E322" s="59" t="s">
        <v>40</v>
      </c>
      <c r="F322" s="59" t="s">
        <v>40</v>
      </c>
      <c r="G322" s="55" t="s">
        <v>54</v>
      </c>
      <c r="H322" s="59" t="s">
        <v>40</v>
      </c>
      <c r="I322" s="30">
        <v>2016</v>
      </c>
      <c r="J322" s="30">
        <v>1814</v>
      </c>
      <c r="K322" s="64"/>
      <c r="L322" s="64"/>
      <c r="M322" s="64"/>
      <c r="N322" s="35">
        <v>1800</v>
      </c>
      <c r="O322" s="35">
        <v>1620</v>
      </c>
      <c r="P322" s="35">
        <v>1380</v>
      </c>
      <c r="Q322" s="35" t="e">
        <f t="shared" ref="Q322:S322" si="31">Q321*0.3</f>
        <v>#VALUE!</v>
      </c>
      <c r="R322" s="35" t="e">
        <f t="shared" si="31"/>
        <v>#VALUE!</v>
      </c>
      <c r="S322" s="35" t="e">
        <f t="shared" si="31"/>
        <v>#VALUE!</v>
      </c>
      <c r="T322" s="64"/>
      <c r="U322" s="110" t="s">
        <v>305</v>
      </c>
      <c r="V322" s="76" t="s">
        <v>1551</v>
      </c>
      <c r="W322" s="76">
        <v>33080200201</v>
      </c>
      <c r="X322" s="77" t="s">
        <v>1552</v>
      </c>
      <c r="Y322" s="77"/>
      <c r="Z322" s="77"/>
      <c r="AA322" s="77" t="s">
        <v>54</v>
      </c>
      <c r="AB322" s="77" t="s">
        <v>40</v>
      </c>
      <c r="AC322" s="88">
        <v>7515</v>
      </c>
      <c r="AD322" s="88">
        <v>6760</v>
      </c>
      <c r="AE322" s="88">
        <v>5745</v>
      </c>
      <c r="AF322" s="44">
        <f t="shared" si="25"/>
        <v>10</v>
      </c>
      <c r="AG322" s="44" t="str">
        <f t="shared" si="26"/>
        <v>冠脉异常起源矫治费</v>
      </c>
      <c r="AH322" s="44">
        <f t="shared" si="27"/>
        <v>7800</v>
      </c>
      <c r="AI322" s="44">
        <f t="shared" si="28"/>
        <v>7020</v>
      </c>
      <c r="AJ322" s="44">
        <f t="shared" si="29"/>
        <v>5980</v>
      </c>
    </row>
    <row r="323" s="44" customFormat="1" ht="66" customHeight="1" spans="1:36">
      <c r="A323" s="55">
        <v>97</v>
      </c>
      <c r="B323" s="55" t="s">
        <v>1553</v>
      </c>
      <c r="C323" s="55" t="s">
        <v>1554</v>
      </c>
      <c r="D323" s="55" t="s">
        <v>350</v>
      </c>
      <c r="E323" s="59" t="s">
        <v>1555</v>
      </c>
      <c r="F323" s="59" t="s">
        <v>1556</v>
      </c>
      <c r="G323" s="55" t="s">
        <v>54</v>
      </c>
      <c r="H323" s="59" t="s">
        <v>40</v>
      </c>
      <c r="I323" s="30">
        <v>7230</v>
      </c>
      <c r="J323" s="30">
        <v>6507</v>
      </c>
      <c r="K323" s="64">
        <v>6840</v>
      </c>
      <c r="L323" s="64">
        <v>6155</v>
      </c>
      <c r="M323" s="64">
        <v>4920</v>
      </c>
      <c r="N323" s="35">
        <v>6840</v>
      </c>
      <c r="O323" s="35">
        <v>6155</v>
      </c>
      <c r="P323" s="68">
        <v>5230</v>
      </c>
      <c r="Q323" s="55" t="s">
        <v>41</v>
      </c>
      <c r="R323" s="55" t="s">
        <v>40</v>
      </c>
      <c r="S323" s="74" t="s">
        <v>40</v>
      </c>
      <c r="T323" s="64" t="s">
        <v>183</v>
      </c>
      <c r="U323" s="110" t="s">
        <v>973</v>
      </c>
      <c r="V323" s="76" t="s">
        <v>1557</v>
      </c>
      <c r="W323" s="76">
        <v>330802023</v>
      </c>
      <c r="X323" s="77" t="s">
        <v>1558</v>
      </c>
      <c r="Y323" s="77" t="s">
        <v>1559</v>
      </c>
      <c r="Z323" s="77"/>
      <c r="AA323" s="77" t="s">
        <v>54</v>
      </c>
      <c r="AB323" s="77" t="s">
        <v>40</v>
      </c>
      <c r="AC323" s="88">
        <v>6840</v>
      </c>
      <c r="AD323" s="88">
        <v>6155</v>
      </c>
      <c r="AE323" s="88">
        <v>4920</v>
      </c>
      <c r="AF323" s="44">
        <f t="shared" si="25"/>
        <v>0</v>
      </c>
      <c r="AG323" s="44" t="str">
        <f t="shared" si="26"/>
        <v>主动脉缩窄矫治费</v>
      </c>
      <c r="AH323" s="44">
        <f t="shared" si="27"/>
        <v>6840</v>
      </c>
      <c r="AI323" s="44">
        <f t="shared" si="28"/>
        <v>6155</v>
      </c>
      <c r="AJ323" s="44">
        <f t="shared" si="29"/>
        <v>5230</v>
      </c>
    </row>
    <row r="324" s="44" customFormat="1" ht="38" customHeight="1" spans="1:36">
      <c r="A324" s="55" t="s">
        <v>55</v>
      </c>
      <c r="B324" s="55" t="s">
        <v>1560</v>
      </c>
      <c r="C324" s="55" t="s">
        <v>1561</v>
      </c>
      <c r="D324" s="55" t="s">
        <v>350</v>
      </c>
      <c r="E324" s="59" t="s">
        <v>40</v>
      </c>
      <c r="F324" s="59" t="s">
        <v>40</v>
      </c>
      <c r="G324" s="55" t="s">
        <v>54</v>
      </c>
      <c r="H324" s="59" t="s">
        <v>40</v>
      </c>
      <c r="I324" s="30">
        <v>2169</v>
      </c>
      <c r="J324" s="30">
        <v>1952</v>
      </c>
      <c r="K324" s="64"/>
      <c r="L324" s="64"/>
      <c r="M324" s="64"/>
      <c r="N324" s="35">
        <v>2050</v>
      </c>
      <c r="O324" s="35">
        <v>1845</v>
      </c>
      <c r="P324" s="35">
        <v>1570</v>
      </c>
      <c r="Q324" s="35" t="e">
        <f t="shared" ref="Q324:S324" si="32">Q323*0.3</f>
        <v>#VALUE!</v>
      </c>
      <c r="R324" s="35" t="e">
        <f t="shared" si="32"/>
        <v>#VALUE!</v>
      </c>
      <c r="S324" s="35" t="e">
        <f t="shared" si="32"/>
        <v>#VALUE!</v>
      </c>
      <c r="T324" s="64"/>
      <c r="U324" s="110" t="s">
        <v>305</v>
      </c>
      <c r="V324" s="76" t="s">
        <v>1562</v>
      </c>
      <c r="W324" s="76">
        <v>33080202301</v>
      </c>
      <c r="X324" s="77" t="s">
        <v>1563</v>
      </c>
      <c r="Y324" s="77"/>
      <c r="Z324" s="77"/>
      <c r="AA324" s="77" t="s">
        <v>54</v>
      </c>
      <c r="AB324" s="77" t="s">
        <v>40</v>
      </c>
      <c r="AC324" s="88">
        <v>8890</v>
      </c>
      <c r="AD324" s="88">
        <v>8000</v>
      </c>
      <c r="AE324" s="88">
        <v>6395</v>
      </c>
      <c r="AF324" s="44">
        <f t="shared" si="25"/>
        <v>9</v>
      </c>
      <c r="AG324" s="44" t="str">
        <f t="shared" si="26"/>
        <v>主动脉缩窄矫治费</v>
      </c>
      <c r="AH324" s="44">
        <f t="shared" si="27"/>
        <v>8890</v>
      </c>
      <c r="AI324" s="44">
        <f t="shared" si="28"/>
        <v>8000</v>
      </c>
      <c r="AJ324" s="44">
        <f t="shared" si="29"/>
        <v>6800</v>
      </c>
    </row>
    <row r="325" s="44" customFormat="1" ht="38" customHeight="1" spans="1:36">
      <c r="A325" s="55" t="s">
        <v>55</v>
      </c>
      <c r="B325" s="55" t="s">
        <v>1564</v>
      </c>
      <c r="C325" s="56" t="s">
        <v>1565</v>
      </c>
      <c r="D325" s="55" t="s">
        <v>350</v>
      </c>
      <c r="E325" s="59" t="s">
        <v>40</v>
      </c>
      <c r="F325" s="59" t="s">
        <v>40</v>
      </c>
      <c r="G325" s="55" t="s">
        <v>54</v>
      </c>
      <c r="H325" s="59"/>
      <c r="I325" s="30">
        <v>4080</v>
      </c>
      <c r="J325" s="30">
        <v>3672</v>
      </c>
      <c r="K325" s="64"/>
      <c r="L325" s="64"/>
      <c r="M325" s="64"/>
      <c r="N325" s="66">
        <v>3860</v>
      </c>
      <c r="O325" s="66">
        <v>3475</v>
      </c>
      <c r="P325" s="66">
        <v>2950</v>
      </c>
      <c r="Q325" s="55" t="s">
        <v>41</v>
      </c>
      <c r="R325" s="55" t="s">
        <v>40</v>
      </c>
      <c r="S325" s="74" t="s">
        <v>40</v>
      </c>
      <c r="T325" s="64"/>
      <c r="U325" s="59" t="s">
        <v>1566</v>
      </c>
      <c r="V325" s="76" t="s">
        <v>1567</v>
      </c>
      <c r="W325" s="76">
        <v>330802031</v>
      </c>
      <c r="X325" s="77" t="s">
        <v>1568</v>
      </c>
      <c r="Y325" s="77" t="s">
        <v>1569</v>
      </c>
      <c r="Z325" s="77"/>
      <c r="AA325" s="77" t="s">
        <v>54</v>
      </c>
      <c r="AB325" s="77" t="s">
        <v>40</v>
      </c>
      <c r="AC325" s="88">
        <v>9690</v>
      </c>
      <c r="AD325" s="88">
        <v>8720</v>
      </c>
      <c r="AE325" s="88">
        <v>7410</v>
      </c>
      <c r="AF325" s="44">
        <f t="shared" ref="AF325:AF380" si="33">IFERROR(FIND("-儿童（加收）",C325,1),0)</f>
        <v>0</v>
      </c>
      <c r="AG325" s="44" t="str">
        <f t="shared" ref="AG325:AG380" si="34">SUBSTITUTE(C325,"-儿童（加收）","")</f>
        <v>主动脉缩窄矫治费-主动脉弓中断矫治（加收）</v>
      </c>
      <c r="AH325" s="44">
        <f t="shared" ref="AH325:AH380" si="35">IF(AF325&gt;0,_xlfn.MAXIFS(N:N,C:C,SUBSTITUTE(C325,"-儿童（加收）","")),0)+N325</f>
        <v>3860</v>
      </c>
      <c r="AI325" s="44">
        <f t="shared" ref="AI325:AI380" si="36">IF(AF325&gt;0,_xlfn.MAXIFS(O:O,C:C,SUBSTITUTE(C325,"-儿童（加收）","")),0)+O325</f>
        <v>3475</v>
      </c>
      <c r="AJ325" s="44">
        <f t="shared" ref="AJ325:AJ380" si="37">IF(AF325&gt;0,_xlfn.MAXIFS(P:P,C:C,SUBSTITUTE(C325,"-儿童（加收）","")),0)+P325</f>
        <v>2950</v>
      </c>
    </row>
    <row r="326" s="44" customFormat="1" ht="38" customHeight="1" spans="1:36">
      <c r="A326" s="55"/>
      <c r="B326" s="55"/>
      <c r="C326" s="56" t="s">
        <v>1565</v>
      </c>
      <c r="D326" s="55"/>
      <c r="E326" s="59"/>
      <c r="F326" s="59"/>
      <c r="G326" s="55"/>
      <c r="H326" s="59"/>
      <c r="I326" s="37"/>
      <c r="J326" s="37"/>
      <c r="K326" s="64"/>
      <c r="L326" s="64"/>
      <c r="M326" s="64"/>
      <c r="N326" s="66">
        <v>3860</v>
      </c>
      <c r="O326" s="66">
        <v>3475</v>
      </c>
      <c r="P326" s="66">
        <v>2950</v>
      </c>
      <c r="Q326" s="55"/>
      <c r="R326" s="55"/>
      <c r="S326" s="74"/>
      <c r="T326" s="64"/>
      <c r="U326" s="59"/>
      <c r="V326" s="76" t="s">
        <v>1570</v>
      </c>
      <c r="W326" s="76">
        <v>33080203101</v>
      </c>
      <c r="X326" s="77" t="s">
        <v>1571</v>
      </c>
      <c r="Y326" s="77"/>
      <c r="Z326" s="77"/>
      <c r="AA326" s="77" t="s">
        <v>54</v>
      </c>
      <c r="AB326" s="77" t="s">
        <v>40</v>
      </c>
      <c r="AC326" s="88">
        <v>12595</v>
      </c>
      <c r="AD326" s="88">
        <v>11335</v>
      </c>
      <c r="AE326" s="88">
        <v>9635</v>
      </c>
      <c r="AF326" s="44">
        <f t="shared" si="33"/>
        <v>0</v>
      </c>
      <c r="AG326" s="44" t="str">
        <f t="shared" si="34"/>
        <v>主动脉缩窄矫治费-主动脉弓中断矫治（加收）</v>
      </c>
      <c r="AH326" s="44">
        <f t="shared" si="35"/>
        <v>3860</v>
      </c>
      <c r="AI326" s="44">
        <f t="shared" si="36"/>
        <v>3475</v>
      </c>
      <c r="AJ326" s="44">
        <f t="shared" si="37"/>
        <v>2950</v>
      </c>
    </row>
    <row r="327" s="44" customFormat="1" ht="51" customHeight="1" spans="1:36">
      <c r="A327" s="55">
        <v>98</v>
      </c>
      <c r="B327" s="55" t="s">
        <v>1572</v>
      </c>
      <c r="C327" s="55" t="s">
        <v>1573</v>
      </c>
      <c r="D327" s="55" t="s">
        <v>350</v>
      </c>
      <c r="E327" s="59" t="s">
        <v>1574</v>
      </c>
      <c r="F327" s="59" t="s">
        <v>1575</v>
      </c>
      <c r="G327" s="55" t="s">
        <v>54</v>
      </c>
      <c r="H327" s="59" t="s">
        <v>40</v>
      </c>
      <c r="I327" s="30">
        <v>10080</v>
      </c>
      <c r="J327" s="30">
        <v>9072</v>
      </c>
      <c r="K327" s="64">
        <v>8660</v>
      </c>
      <c r="L327" s="64">
        <v>7790</v>
      </c>
      <c r="M327" s="64">
        <v>6620</v>
      </c>
      <c r="N327" s="68">
        <v>9100</v>
      </c>
      <c r="O327" s="68">
        <v>8200</v>
      </c>
      <c r="P327" s="68">
        <v>7000</v>
      </c>
      <c r="Q327" s="112" t="s">
        <v>41</v>
      </c>
      <c r="R327" s="112" t="s">
        <v>40</v>
      </c>
      <c r="S327" s="113" t="s">
        <v>40</v>
      </c>
      <c r="T327" s="64" t="s">
        <v>994</v>
      </c>
      <c r="U327" s="110" t="s">
        <v>1535</v>
      </c>
      <c r="V327" s="76" t="s">
        <v>1576</v>
      </c>
      <c r="W327" s="76">
        <v>330802035</v>
      </c>
      <c r="X327" s="77" t="s">
        <v>1577</v>
      </c>
      <c r="Y327" s="77" t="s">
        <v>1578</v>
      </c>
      <c r="Z327" s="77"/>
      <c r="AA327" s="77" t="s">
        <v>54</v>
      </c>
      <c r="AB327" s="77" t="s">
        <v>40</v>
      </c>
      <c r="AC327" s="88">
        <v>8660</v>
      </c>
      <c r="AD327" s="88">
        <v>7790</v>
      </c>
      <c r="AE327" s="88">
        <v>6620</v>
      </c>
      <c r="AF327" s="44">
        <f t="shared" si="33"/>
        <v>0</v>
      </c>
      <c r="AG327" s="44" t="str">
        <f t="shared" si="34"/>
        <v>主动脉弓成形费</v>
      </c>
      <c r="AH327" s="44">
        <f t="shared" si="35"/>
        <v>9100</v>
      </c>
      <c r="AI327" s="44">
        <f t="shared" si="36"/>
        <v>8200</v>
      </c>
      <c r="AJ327" s="44">
        <f t="shared" si="37"/>
        <v>7000</v>
      </c>
    </row>
    <row r="328" s="44" customFormat="1" ht="51" customHeight="1" spans="1:36">
      <c r="A328" s="55" t="s">
        <v>55</v>
      </c>
      <c r="B328" s="55" t="s">
        <v>1579</v>
      </c>
      <c r="C328" s="55" t="s">
        <v>1580</v>
      </c>
      <c r="D328" s="55" t="s">
        <v>350</v>
      </c>
      <c r="E328" s="59" t="s">
        <v>40</v>
      </c>
      <c r="F328" s="59" t="s">
        <v>40</v>
      </c>
      <c r="G328" s="55" t="s">
        <v>54</v>
      </c>
      <c r="H328" s="59" t="s">
        <v>40</v>
      </c>
      <c r="I328" s="30">
        <v>3024</v>
      </c>
      <c r="J328" s="30">
        <v>2722</v>
      </c>
      <c r="K328" s="64"/>
      <c r="L328" s="64"/>
      <c r="M328" s="64"/>
      <c r="N328" s="35">
        <v>2730</v>
      </c>
      <c r="O328" s="35">
        <v>2460</v>
      </c>
      <c r="P328" s="35">
        <v>2100</v>
      </c>
      <c r="Q328" s="55" t="s">
        <v>41</v>
      </c>
      <c r="R328" s="55" t="s">
        <v>40</v>
      </c>
      <c r="S328" s="74" t="s">
        <v>40</v>
      </c>
      <c r="T328" s="64"/>
      <c r="U328" s="59" t="s">
        <v>305</v>
      </c>
      <c r="V328" s="76" t="s">
        <v>1581</v>
      </c>
      <c r="W328" s="76">
        <v>33080203501</v>
      </c>
      <c r="X328" s="77" t="s">
        <v>1582</v>
      </c>
      <c r="Y328" s="77"/>
      <c r="Z328" s="77"/>
      <c r="AA328" s="77" t="s">
        <v>54</v>
      </c>
      <c r="AB328" s="77" t="s">
        <v>40</v>
      </c>
      <c r="AC328" s="88">
        <v>11260</v>
      </c>
      <c r="AD328" s="88">
        <v>10125</v>
      </c>
      <c r="AE328" s="88">
        <v>8605</v>
      </c>
      <c r="AF328" s="44">
        <f t="shared" si="33"/>
        <v>8</v>
      </c>
      <c r="AG328" s="44" t="str">
        <f t="shared" si="34"/>
        <v>主动脉弓成形费</v>
      </c>
      <c r="AH328" s="44">
        <f t="shared" si="35"/>
        <v>11830</v>
      </c>
      <c r="AI328" s="44">
        <f t="shared" si="36"/>
        <v>10660</v>
      </c>
      <c r="AJ328" s="44">
        <f t="shared" si="37"/>
        <v>9100</v>
      </c>
    </row>
    <row r="329" s="44" customFormat="1" ht="38" customHeight="1" spans="1:36">
      <c r="A329" s="55">
        <v>99</v>
      </c>
      <c r="B329" s="55" t="s">
        <v>1583</v>
      </c>
      <c r="C329" s="56" t="s">
        <v>1584</v>
      </c>
      <c r="D329" s="55" t="s">
        <v>350</v>
      </c>
      <c r="E329" s="59" t="s">
        <v>1585</v>
      </c>
      <c r="F329" s="59" t="s">
        <v>1586</v>
      </c>
      <c r="G329" s="55" t="s">
        <v>54</v>
      </c>
      <c r="H329" s="59" t="s">
        <v>40</v>
      </c>
      <c r="I329" s="30">
        <v>10080</v>
      </c>
      <c r="J329" s="30">
        <v>9072</v>
      </c>
      <c r="K329" s="63">
        <v>9387.74193548387</v>
      </c>
      <c r="L329" s="64"/>
      <c r="M329" s="64"/>
      <c r="N329" s="66">
        <v>9400</v>
      </c>
      <c r="O329" s="66">
        <v>8450</v>
      </c>
      <c r="P329" s="66">
        <v>7180</v>
      </c>
      <c r="Q329" s="55" t="s">
        <v>41</v>
      </c>
      <c r="R329" s="55" t="s">
        <v>40</v>
      </c>
      <c r="S329" s="74" t="s">
        <v>40</v>
      </c>
      <c r="T329" s="64" t="s">
        <v>42</v>
      </c>
      <c r="U329" s="59" t="s">
        <v>920</v>
      </c>
      <c r="V329" s="76" t="s">
        <v>1587</v>
      </c>
      <c r="W329" s="76">
        <v>330802033</v>
      </c>
      <c r="X329" s="77" t="s">
        <v>1588</v>
      </c>
      <c r="Y329" s="77" t="s">
        <v>1589</v>
      </c>
      <c r="Z329" s="77"/>
      <c r="AA329" s="77" t="s">
        <v>54</v>
      </c>
      <c r="AB329" s="77" t="s">
        <v>40</v>
      </c>
      <c r="AC329" s="88">
        <v>9600</v>
      </c>
      <c r="AD329" s="88">
        <v>8640</v>
      </c>
      <c r="AE329" s="88">
        <v>6900</v>
      </c>
      <c r="AF329" s="44">
        <f t="shared" si="33"/>
        <v>0</v>
      </c>
      <c r="AG329" s="44" t="str">
        <f t="shared" si="34"/>
        <v>主动脉弓置换费</v>
      </c>
      <c r="AH329" s="44">
        <f t="shared" si="35"/>
        <v>9400</v>
      </c>
      <c r="AI329" s="44">
        <f t="shared" si="36"/>
        <v>8450</v>
      </c>
      <c r="AJ329" s="44">
        <f t="shared" si="37"/>
        <v>7180</v>
      </c>
    </row>
    <row r="330" s="44" customFormat="1" ht="38" customHeight="1" spans="1:36">
      <c r="A330" s="55"/>
      <c r="B330" s="55"/>
      <c r="C330" s="56" t="s">
        <v>1584</v>
      </c>
      <c r="D330" s="55"/>
      <c r="E330" s="59"/>
      <c r="F330" s="59"/>
      <c r="G330" s="55"/>
      <c r="H330" s="59"/>
      <c r="I330" s="37"/>
      <c r="J330" s="37"/>
      <c r="K330" s="63"/>
      <c r="L330" s="64"/>
      <c r="M330" s="64"/>
      <c r="N330" s="66">
        <v>9400</v>
      </c>
      <c r="O330" s="66">
        <v>8450</v>
      </c>
      <c r="P330" s="66">
        <v>7180</v>
      </c>
      <c r="Q330" s="55"/>
      <c r="R330" s="55"/>
      <c r="S330" s="74"/>
      <c r="T330" s="64"/>
      <c r="U330" s="59"/>
      <c r="V330" s="76" t="s">
        <v>1590</v>
      </c>
      <c r="W330" s="76">
        <v>330802034</v>
      </c>
      <c r="X330" s="77" t="s">
        <v>1591</v>
      </c>
      <c r="Y330" s="77" t="s">
        <v>1592</v>
      </c>
      <c r="Z330" s="77"/>
      <c r="AA330" s="77" t="s">
        <v>54</v>
      </c>
      <c r="AB330" s="77" t="s">
        <v>40</v>
      </c>
      <c r="AC330" s="88">
        <v>8660</v>
      </c>
      <c r="AD330" s="88">
        <v>7790</v>
      </c>
      <c r="AE330" s="88">
        <v>6620</v>
      </c>
      <c r="AF330" s="44">
        <f t="shared" si="33"/>
        <v>0</v>
      </c>
      <c r="AG330" s="44" t="str">
        <f t="shared" si="34"/>
        <v>主动脉弓置换费</v>
      </c>
      <c r="AH330" s="44">
        <f t="shared" si="35"/>
        <v>9400</v>
      </c>
      <c r="AI330" s="44">
        <f t="shared" si="36"/>
        <v>8450</v>
      </c>
      <c r="AJ330" s="44">
        <f t="shared" si="37"/>
        <v>7180</v>
      </c>
    </row>
    <row r="331" s="44" customFormat="1" ht="29" customHeight="1" spans="1:36">
      <c r="A331" s="55" t="s">
        <v>55</v>
      </c>
      <c r="B331" s="55" t="s">
        <v>1593</v>
      </c>
      <c r="C331" s="56" t="s">
        <v>1594</v>
      </c>
      <c r="D331" s="55" t="s">
        <v>350</v>
      </c>
      <c r="E331" s="59" t="s">
        <v>40</v>
      </c>
      <c r="F331" s="59" t="s">
        <v>40</v>
      </c>
      <c r="G331" s="55" t="s">
        <v>54</v>
      </c>
      <c r="H331" s="59" t="s">
        <v>40</v>
      </c>
      <c r="I331" s="30">
        <v>3024</v>
      </c>
      <c r="J331" s="30">
        <v>2722</v>
      </c>
      <c r="K331" s="64"/>
      <c r="L331" s="64"/>
      <c r="M331" s="64"/>
      <c r="N331" s="66">
        <v>2820</v>
      </c>
      <c r="O331" s="66">
        <v>2535</v>
      </c>
      <c r="P331" s="66">
        <v>2155</v>
      </c>
      <c r="Q331" s="55" t="s">
        <v>41</v>
      </c>
      <c r="R331" s="55" t="s">
        <v>40</v>
      </c>
      <c r="S331" s="74" t="s">
        <v>40</v>
      </c>
      <c r="T331" s="64"/>
      <c r="U331" s="59"/>
      <c r="V331" s="76" t="s">
        <v>1595</v>
      </c>
      <c r="W331" s="76">
        <v>33080203301</v>
      </c>
      <c r="X331" s="77" t="s">
        <v>1596</v>
      </c>
      <c r="Y331" s="77"/>
      <c r="Z331" s="77"/>
      <c r="AA331" s="77" t="s">
        <v>54</v>
      </c>
      <c r="AB331" s="77" t="s">
        <v>40</v>
      </c>
      <c r="AC331" s="88">
        <v>12480</v>
      </c>
      <c r="AD331" s="88">
        <v>11230</v>
      </c>
      <c r="AE331" s="88">
        <v>8970</v>
      </c>
      <c r="AF331" s="44">
        <f t="shared" si="33"/>
        <v>8</v>
      </c>
      <c r="AG331" s="44" t="str">
        <f t="shared" si="34"/>
        <v>主动脉弓置换费</v>
      </c>
      <c r="AH331" s="44">
        <f t="shared" si="35"/>
        <v>12220</v>
      </c>
      <c r="AI331" s="44">
        <f t="shared" si="36"/>
        <v>10985</v>
      </c>
      <c r="AJ331" s="44">
        <f t="shared" si="37"/>
        <v>9335</v>
      </c>
    </row>
    <row r="332" s="44" customFormat="1" ht="29" customHeight="1" spans="1:36">
      <c r="A332" s="55"/>
      <c r="B332" s="55"/>
      <c r="C332" s="56" t="s">
        <v>1594</v>
      </c>
      <c r="D332" s="55"/>
      <c r="E332" s="59"/>
      <c r="F332" s="59"/>
      <c r="G332" s="55"/>
      <c r="H332" s="59"/>
      <c r="I332" s="37"/>
      <c r="J332" s="37"/>
      <c r="K332" s="64"/>
      <c r="L332" s="64"/>
      <c r="M332" s="64"/>
      <c r="N332" s="66">
        <v>2820</v>
      </c>
      <c r="O332" s="66">
        <v>2535</v>
      </c>
      <c r="P332" s="66">
        <v>2155</v>
      </c>
      <c r="Q332" s="55"/>
      <c r="R332" s="55"/>
      <c r="S332" s="74"/>
      <c r="T332" s="64"/>
      <c r="U332" s="59"/>
      <c r="V332" s="76" t="s">
        <v>1597</v>
      </c>
      <c r="W332" s="76">
        <v>33080203401</v>
      </c>
      <c r="X332" s="77" t="s">
        <v>1598</v>
      </c>
      <c r="Y332" s="77"/>
      <c r="Z332" s="77"/>
      <c r="AA332" s="77" t="s">
        <v>54</v>
      </c>
      <c r="AB332" s="77" t="s">
        <v>40</v>
      </c>
      <c r="AC332" s="88">
        <v>11260</v>
      </c>
      <c r="AD332" s="88">
        <v>10125</v>
      </c>
      <c r="AE332" s="88">
        <v>8605</v>
      </c>
      <c r="AF332" s="44">
        <f t="shared" si="33"/>
        <v>8</v>
      </c>
      <c r="AG332" s="44" t="str">
        <f t="shared" si="34"/>
        <v>主动脉弓置换费</v>
      </c>
      <c r="AH332" s="44">
        <f t="shared" si="35"/>
        <v>12220</v>
      </c>
      <c r="AI332" s="44">
        <f t="shared" si="36"/>
        <v>10985</v>
      </c>
      <c r="AJ332" s="44">
        <f t="shared" si="37"/>
        <v>9335</v>
      </c>
    </row>
    <row r="333" s="44" customFormat="1" ht="57" customHeight="1" spans="1:36">
      <c r="A333" s="55">
        <v>100</v>
      </c>
      <c r="B333" s="55" t="s">
        <v>1602</v>
      </c>
      <c r="C333" s="55" t="s">
        <v>1603</v>
      </c>
      <c r="D333" s="55" t="s">
        <v>350</v>
      </c>
      <c r="E333" s="59" t="s">
        <v>1604</v>
      </c>
      <c r="F333" s="59" t="s">
        <v>1035</v>
      </c>
      <c r="G333" s="55" t="s">
        <v>54</v>
      </c>
      <c r="H333" s="59" t="s">
        <v>40</v>
      </c>
      <c r="I333" s="30">
        <v>4800</v>
      </c>
      <c r="J333" s="30">
        <v>4320</v>
      </c>
      <c r="K333" s="64">
        <v>4220</v>
      </c>
      <c r="L333" s="64">
        <v>3800</v>
      </c>
      <c r="M333" s="64">
        <v>3230</v>
      </c>
      <c r="N333" s="68">
        <v>4350</v>
      </c>
      <c r="O333" s="68">
        <v>3900</v>
      </c>
      <c r="P333" s="68">
        <v>3310</v>
      </c>
      <c r="Q333" s="55" t="s">
        <v>41</v>
      </c>
      <c r="R333" s="55" t="s">
        <v>40</v>
      </c>
      <c r="S333" s="74" t="s">
        <v>40</v>
      </c>
      <c r="T333" s="64" t="s">
        <v>994</v>
      </c>
      <c r="U333" s="110" t="s">
        <v>1535</v>
      </c>
      <c r="V333" s="76" t="s">
        <v>1605</v>
      </c>
      <c r="W333" s="76">
        <v>330802032</v>
      </c>
      <c r="X333" s="77" t="s">
        <v>1606</v>
      </c>
      <c r="Y333" s="77" t="s">
        <v>1607</v>
      </c>
      <c r="Z333" s="77"/>
      <c r="AA333" s="77" t="s">
        <v>54</v>
      </c>
      <c r="AB333" s="77" t="s">
        <v>40</v>
      </c>
      <c r="AC333" s="88">
        <v>4220</v>
      </c>
      <c r="AD333" s="88">
        <v>3800</v>
      </c>
      <c r="AE333" s="88">
        <v>3230</v>
      </c>
      <c r="AF333" s="44">
        <f t="shared" si="33"/>
        <v>0</v>
      </c>
      <c r="AG333" s="44" t="str">
        <f t="shared" si="34"/>
        <v>主动脉血管环矫治费</v>
      </c>
      <c r="AH333" s="44">
        <f t="shared" si="35"/>
        <v>4350</v>
      </c>
      <c r="AI333" s="44">
        <f t="shared" si="36"/>
        <v>3900</v>
      </c>
      <c r="AJ333" s="44">
        <f t="shared" si="37"/>
        <v>3310</v>
      </c>
    </row>
    <row r="334" s="44" customFormat="1" ht="38" customHeight="1" spans="1:36">
      <c r="A334" s="55" t="s">
        <v>55</v>
      </c>
      <c r="B334" s="55" t="s">
        <v>1608</v>
      </c>
      <c r="C334" s="55" t="s">
        <v>1609</v>
      </c>
      <c r="D334" s="55" t="s">
        <v>350</v>
      </c>
      <c r="E334" s="59" t="s">
        <v>40</v>
      </c>
      <c r="F334" s="59" t="s">
        <v>40</v>
      </c>
      <c r="G334" s="55" t="s">
        <v>54</v>
      </c>
      <c r="H334" s="59" t="s">
        <v>40</v>
      </c>
      <c r="I334" s="30">
        <v>1440</v>
      </c>
      <c r="J334" s="30">
        <v>1296</v>
      </c>
      <c r="K334" s="64"/>
      <c r="L334" s="64"/>
      <c r="M334" s="64"/>
      <c r="N334" s="35">
        <v>1305</v>
      </c>
      <c r="O334" s="35">
        <v>1170</v>
      </c>
      <c r="P334" s="35">
        <v>995</v>
      </c>
      <c r="Q334" s="55" t="s">
        <v>41</v>
      </c>
      <c r="R334" s="55" t="s">
        <v>40</v>
      </c>
      <c r="S334" s="74" t="s">
        <v>40</v>
      </c>
      <c r="T334" s="64"/>
      <c r="U334" s="110" t="s">
        <v>305</v>
      </c>
      <c r="V334" s="76" t="s">
        <v>1610</v>
      </c>
      <c r="W334" s="76">
        <v>33080203201</v>
      </c>
      <c r="X334" s="77" t="s">
        <v>1611</v>
      </c>
      <c r="Y334" s="77"/>
      <c r="Z334" s="77"/>
      <c r="AA334" s="77" t="s">
        <v>54</v>
      </c>
      <c r="AB334" s="77" t="s">
        <v>40</v>
      </c>
      <c r="AC334" s="88">
        <v>5485</v>
      </c>
      <c r="AD334" s="88">
        <v>4940</v>
      </c>
      <c r="AE334" s="88">
        <v>4200</v>
      </c>
      <c r="AF334" s="44">
        <f t="shared" si="33"/>
        <v>10</v>
      </c>
      <c r="AG334" s="44" t="str">
        <f t="shared" si="34"/>
        <v>主动脉血管环矫治费</v>
      </c>
      <c r="AH334" s="44">
        <f t="shared" si="35"/>
        <v>5655</v>
      </c>
      <c r="AI334" s="44">
        <f t="shared" si="36"/>
        <v>5070</v>
      </c>
      <c r="AJ334" s="44">
        <f t="shared" si="37"/>
        <v>4305</v>
      </c>
    </row>
    <row r="335" s="44" customFormat="1" ht="38" customHeight="1" spans="1:36">
      <c r="A335" s="55">
        <v>101</v>
      </c>
      <c r="B335" s="55" t="s">
        <v>1612</v>
      </c>
      <c r="C335" s="56" t="s">
        <v>1613</v>
      </c>
      <c r="D335" s="55" t="s">
        <v>350</v>
      </c>
      <c r="E335" s="59" t="s">
        <v>1614</v>
      </c>
      <c r="F335" s="59" t="s">
        <v>1615</v>
      </c>
      <c r="G335" s="55" t="s">
        <v>54</v>
      </c>
      <c r="H335" s="59" t="s">
        <v>40</v>
      </c>
      <c r="I335" s="30">
        <v>11520</v>
      </c>
      <c r="J335" s="30">
        <v>10368</v>
      </c>
      <c r="K335" s="64">
        <v>9900</v>
      </c>
      <c r="L335" s="64"/>
      <c r="M335" s="64"/>
      <c r="N335" s="67">
        <v>10500</v>
      </c>
      <c r="O335" s="67">
        <v>9500</v>
      </c>
      <c r="P335" s="67">
        <v>8100</v>
      </c>
      <c r="Q335" s="55" t="s">
        <v>41</v>
      </c>
      <c r="R335" s="55" t="s">
        <v>40</v>
      </c>
      <c r="S335" s="74" t="s">
        <v>40</v>
      </c>
      <c r="T335" s="64" t="s">
        <v>994</v>
      </c>
      <c r="U335" s="59" t="s">
        <v>1111</v>
      </c>
      <c r="V335" s="76" t="s">
        <v>1616</v>
      </c>
      <c r="W335" s="76">
        <v>330802025</v>
      </c>
      <c r="X335" s="77" t="s">
        <v>1617</v>
      </c>
      <c r="Y335" s="77" t="s">
        <v>1618</v>
      </c>
      <c r="Z335" s="77"/>
      <c r="AA335" s="77" t="s">
        <v>54</v>
      </c>
      <c r="AB335" s="77" t="s">
        <v>40</v>
      </c>
      <c r="AC335" s="88">
        <v>9900</v>
      </c>
      <c r="AD335" s="88">
        <v>8910</v>
      </c>
      <c r="AE335" s="88">
        <v>7570</v>
      </c>
      <c r="AF335" s="44">
        <f t="shared" si="33"/>
        <v>0</v>
      </c>
      <c r="AG335" s="44" t="str">
        <f t="shared" si="34"/>
        <v>主动脉根部替换费</v>
      </c>
      <c r="AH335" s="44">
        <f t="shared" si="35"/>
        <v>10500</v>
      </c>
      <c r="AI335" s="44">
        <f t="shared" si="36"/>
        <v>9500</v>
      </c>
      <c r="AJ335" s="44">
        <f t="shared" si="37"/>
        <v>8100</v>
      </c>
    </row>
    <row r="336" s="44" customFormat="1" ht="38" customHeight="1" spans="1:36">
      <c r="A336" s="55"/>
      <c r="B336" s="55"/>
      <c r="C336" s="56" t="s">
        <v>1613</v>
      </c>
      <c r="D336" s="55"/>
      <c r="E336" s="59"/>
      <c r="F336" s="59"/>
      <c r="G336" s="55"/>
      <c r="H336" s="59"/>
      <c r="I336" s="37"/>
      <c r="J336" s="37"/>
      <c r="K336" s="64"/>
      <c r="L336" s="64"/>
      <c r="M336" s="64"/>
      <c r="N336" s="67">
        <v>10500</v>
      </c>
      <c r="O336" s="67">
        <v>9500</v>
      </c>
      <c r="P336" s="67">
        <v>8100</v>
      </c>
      <c r="Q336" s="55"/>
      <c r="R336" s="55"/>
      <c r="S336" s="74"/>
      <c r="T336" s="64"/>
      <c r="U336" s="59"/>
      <c r="V336" s="92" t="s">
        <v>1619</v>
      </c>
      <c r="W336" s="92">
        <v>330802026</v>
      </c>
      <c r="X336" s="93" t="s">
        <v>1620</v>
      </c>
      <c r="Y336" s="116" t="s">
        <v>1621</v>
      </c>
      <c r="Z336" s="116"/>
      <c r="AA336" s="116" t="s">
        <v>54</v>
      </c>
      <c r="AB336" s="77" t="s">
        <v>40</v>
      </c>
      <c r="AC336" s="88">
        <v>6410</v>
      </c>
      <c r="AD336" s="88">
        <v>5770</v>
      </c>
      <c r="AE336" s="88">
        <v>4900</v>
      </c>
      <c r="AF336" s="44">
        <f t="shared" si="33"/>
        <v>0</v>
      </c>
      <c r="AG336" s="44" t="str">
        <f t="shared" si="34"/>
        <v>主动脉根部替换费</v>
      </c>
      <c r="AH336" s="44">
        <f t="shared" si="35"/>
        <v>10500</v>
      </c>
      <c r="AI336" s="44">
        <f t="shared" si="36"/>
        <v>9500</v>
      </c>
      <c r="AJ336" s="44">
        <f t="shared" si="37"/>
        <v>8100</v>
      </c>
    </row>
    <row r="337" s="44" customFormat="1" ht="38" customHeight="1" spans="1:36">
      <c r="A337" s="55" t="s">
        <v>55</v>
      </c>
      <c r="B337" s="55" t="s">
        <v>1622</v>
      </c>
      <c r="C337" s="56" t="s">
        <v>1623</v>
      </c>
      <c r="D337" s="55" t="s">
        <v>350</v>
      </c>
      <c r="E337" s="59" t="s">
        <v>40</v>
      </c>
      <c r="F337" s="59" t="s">
        <v>40</v>
      </c>
      <c r="G337" s="55" t="s">
        <v>54</v>
      </c>
      <c r="H337" s="59" t="s">
        <v>40</v>
      </c>
      <c r="I337" s="30">
        <v>3456</v>
      </c>
      <c r="J337" s="30">
        <v>3110</v>
      </c>
      <c r="K337" s="64"/>
      <c r="L337" s="64"/>
      <c r="M337" s="64"/>
      <c r="N337" s="66">
        <v>3150</v>
      </c>
      <c r="O337" s="66">
        <v>2850</v>
      </c>
      <c r="P337" s="66">
        <v>2430</v>
      </c>
      <c r="Q337" s="55" t="s">
        <v>41</v>
      </c>
      <c r="R337" s="55" t="s">
        <v>40</v>
      </c>
      <c r="S337" s="74" t="s">
        <v>40</v>
      </c>
      <c r="T337" s="64"/>
      <c r="U337" s="59" t="s">
        <v>305</v>
      </c>
      <c r="V337" s="76" t="s">
        <v>1624</v>
      </c>
      <c r="W337" s="76">
        <v>33080202501</v>
      </c>
      <c r="X337" s="77" t="s">
        <v>1625</v>
      </c>
      <c r="Y337" s="77"/>
      <c r="Z337" s="77"/>
      <c r="AA337" s="77" t="s">
        <v>54</v>
      </c>
      <c r="AB337" s="77" t="s">
        <v>40</v>
      </c>
      <c r="AC337" s="88">
        <v>12870</v>
      </c>
      <c r="AD337" s="88">
        <v>11585</v>
      </c>
      <c r="AE337" s="88">
        <v>9845</v>
      </c>
      <c r="AF337" s="44">
        <f t="shared" si="33"/>
        <v>9</v>
      </c>
      <c r="AG337" s="44" t="str">
        <f t="shared" si="34"/>
        <v>主动脉根部替换费</v>
      </c>
      <c r="AH337" s="44">
        <f t="shared" si="35"/>
        <v>13650</v>
      </c>
      <c r="AI337" s="44">
        <f t="shared" si="36"/>
        <v>12350</v>
      </c>
      <c r="AJ337" s="44">
        <f t="shared" si="37"/>
        <v>10530</v>
      </c>
    </row>
    <row r="338" s="44" customFormat="1" ht="38" customHeight="1" spans="1:36">
      <c r="A338" s="55"/>
      <c r="B338" s="55"/>
      <c r="C338" s="56" t="s">
        <v>1623</v>
      </c>
      <c r="D338" s="55"/>
      <c r="E338" s="59"/>
      <c r="F338" s="59"/>
      <c r="G338" s="55"/>
      <c r="H338" s="59"/>
      <c r="I338" s="37"/>
      <c r="J338" s="37"/>
      <c r="K338" s="64"/>
      <c r="L338" s="64"/>
      <c r="M338" s="64"/>
      <c r="N338" s="66">
        <v>3150</v>
      </c>
      <c r="O338" s="66">
        <v>2850</v>
      </c>
      <c r="P338" s="66">
        <v>2430</v>
      </c>
      <c r="Q338" s="55"/>
      <c r="R338" s="55"/>
      <c r="S338" s="74"/>
      <c r="T338" s="64"/>
      <c r="U338" s="59"/>
      <c r="V338" s="92" t="s">
        <v>1626</v>
      </c>
      <c r="W338" s="92">
        <v>33080202601</v>
      </c>
      <c r="X338" s="93" t="s">
        <v>1627</v>
      </c>
      <c r="Y338" s="116"/>
      <c r="Z338" s="116"/>
      <c r="AA338" s="116" t="s">
        <v>54</v>
      </c>
      <c r="AB338" s="77" t="s">
        <v>40</v>
      </c>
      <c r="AC338" s="88">
        <v>8335</v>
      </c>
      <c r="AD338" s="88">
        <v>7500</v>
      </c>
      <c r="AE338" s="88">
        <v>6375</v>
      </c>
      <c r="AF338" s="44">
        <f t="shared" si="33"/>
        <v>9</v>
      </c>
      <c r="AG338" s="44" t="str">
        <f t="shared" si="34"/>
        <v>主动脉根部替换费</v>
      </c>
      <c r="AH338" s="44">
        <f t="shared" si="35"/>
        <v>13650</v>
      </c>
      <c r="AI338" s="44">
        <f t="shared" si="36"/>
        <v>12350</v>
      </c>
      <c r="AJ338" s="44">
        <f t="shared" si="37"/>
        <v>10530</v>
      </c>
    </row>
    <row r="339" s="44" customFormat="1" ht="38" customHeight="1" spans="1:36">
      <c r="A339" s="55">
        <v>102</v>
      </c>
      <c r="B339" s="55" t="s">
        <v>1630</v>
      </c>
      <c r="C339" s="55" t="s">
        <v>1631</v>
      </c>
      <c r="D339" s="55" t="s">
        <v>350</v>
      </c>
      <c r="E339" s="59" t="s">
        <v>1632</v>
      </c>
      <c r="F339" s="59" t="s">
        <v>1633</v>
      </c>
      <c r="G339" s="55" t="s">
        <v>54</v>
      </c>
      <c r="H339" s="59" t="s">
        <v>40</v>
      </c>
      <c r="I339" s="30">
        <v>9130</v>
      </c>
      <c r="J339" s="30">
        <v>8217</v>
      </c>
      <c r="K339" s="64">
        <v>8665</v>
      </c>
      <c r="L339" s="64">
        <v>7800</v>
      </c>
      <c r="M339" s="64">
        <v>6240</v>
      </c>
      <c r="N339" s="35">
        <v>8665</v>
      </c>
      <c r="O339" s="35">
        <v>7800</v>
      </c>
      <c r="P339" s="68">
        <v>6630</v>
      </c>
      <c r="Q339" s="55" t="s">
        <v>41</v>
      </c>
      <c r="R339" s="55" t="s">
        <v>40</v>
      </c>
      <c r="S339" s="74" t="s">
        <v>40</v>
      </c>
      <c r="T339" s="64" t="s">
        <v>183</v>
      </c>
      <c r="U339" s="59" t="s">
        <v>973</v>
      </c>
      <c r="V339" s="76" t="s">
        <v>1634</v>
      </c>
      <c r="W339" s="76">
        <v>330802029</v>
      </c>
      <c r="X339" s="77" t="s">
        <v>1635</v>
      </c>
      <c r="Y339" s="77"/>
      <c r="Z339" s="77"/>
      <c r="AA339" s="77" t="s">
        <v>54</v>
      </c>
      <c r="AB339" s="77" t="s">
        <v>40</v>
      </c>
      <c r="AC339" s="88">
        <v>8665</v>
      </c>
      <c r="AD339" s="88">
        <v>7800</v>
      </c>
      <c r="AE339" s="88">
        <v>6240</v>
      </c>
      <c r="AF339" s="44">
        <f t="shared" si="33"/>
        <v>0</v>
      </c>
      <c r="AG339" s="44" t="str">
        <f t="shared" si="34"/>
        <v>升主动脉替换费</v>
      </c>
      <c r="AH339" s="44">
        <f t="shared" si="35"/>
        <v>8665</v>
      </c>
      <c r="AI339" s="44">
        <f t="shared" si="36"/>
        <v>7800</v>
      </c>
      <c r="AJ339" s="44">
        <f t="shared" si="37"/>
        <v>6630</v>
      </c>
    </row>
    <row r="340" s="44" customFormat="1" ht="38" customHeight="1" spans="1:36">
      <c r="A340" s="55" t="s">
        <v>55</v>
      </c>
      <c r="B340" s="55" t="s">
        <v>1636</v>
      </c>
      <c r="C340" s="55" t="s">
        <v>1637</v>
      </c>
      <c r="D340" s="55" t="s">
        <v>350</v>
      </c>
      <c r="E340" s="59" t="s">
        <v>40</v>
      </c>
      <c r="F340" s="59" t="s">
        <v>40</v>
      </c>
      <c r="G340" s="55" t="s">
        <v>54</v>
      </c>
      <c r="H340" s="59" t="s">
        <v>40</v>
      </c>
      <c r="I340" s="30">
        <v>2739</v>
      </c>
      <c r="J340" s="30">
        <v>2465</v>
      </c>
      <c r="K340" s="64"/>
      <c r="L340" s="64"/>
      <c r="M340" s="64"/>
      <c r="N340" s="35">
        <v>2600</v>
      </c>
      <c r="O340" s="35">
        <v>2340</v>
      </c>
      <c r="P340" s="35">
        <v>1990</v>
      </c>
      <c r="Q340" s="55" t="s">
        <v>41</v>
      </c>
      <c r="R340" s="55" t="s">
        <v>40</v>
      </c>
      <c r="S340" s="74" t="s">
        <v>40</v>
      </c>
      <c r="T340" s="64"/>
      <c r="U340" s="59" t="s">
        <v>305</v>
      </c>
      <c r="V340" s="76" t="s">
        <v>1638</v>
      </c>
      <c r="W340" s="76">
        <v>33080202901</v>
      </c>
      <c r="X340" s="77" t="s">
        <v>1639</v>
      </c>
      <c r="Y340" s="77"/>
      <c r="Z340" s="77"/>
      <c r="AA340" s="77" t="s">
        <v>54</v>
      </c>
      <c r="AB340" s="77" t="s">
        <v>40</v>
      </c>
      <c r="AC340" s="88">
        <v>11265</v>
      </c>
      <c r="AD340" s="88">
        <v>10140</v>
      </c>
      <c r="AE340" s="88">
        <v>8110</v>
      </c>
      <c r="AF340" s="44">
        <f t="shared" si="33"/>
        <v>8</v>
      </c>
      <c r="AG340" s="44" t="str">
        <f t="shared" si="34"/>
        <v>升主动脉替换费</v>
      </c>
      <c r="AH340" s="44">
        <f t="shared" si="35"/>
        <v>11265</v>
      </c>
      <c r="AI340" s="44">
        <f t="shared" si="36"/>
        <v>10140</v>
      </c>
      <c r="AJ340" s="44">
        <f t="shared" si="37"/>
        <v>8620</v>
      </c>
    </row>
    <row r="341" s="45" customFormat="1" ht="38" customHeight="1" spans="1:249">
      <c r="A341" s="55">
        <v>103</v>
      </c>
      <c r="B341" s="55" t="s">
        <v>1644</v>
      </c>
      <c r="C341" s="55" t="s">
        <v>1645</v>
      </c>
      <c r="D341" s="55" t="s">
        <v>350</v>
      </c>
      <c r="E341" s="59" t="s">
        <v>1646</v>
      </c>
      <c r="F341" s="59" t="s">
        <v>1633</v>
      </c>
      <c r="G341" s="55" t="s">
        <v>54</v>
      </c>
      <c r="H341" s="59" t="s">
        <v>40</v>
      </c>
      <c r="I341" s="30">
        <v>10320</v>
      </c>
      <c r="J341" s="30">
        <v>9288</v>
      </c>
      <c r="K341" s="64">
        <v>8870</v>
      </c>
      <c r="L341" s="64">
        <v>7980</v>
      </c>
      <c r="M341" s="64">
        <v>6780</v>
      </c>
      <c r="N341" s="68">
        <v>9300</v>
      </c>
      <c r="O341" s="68">
        <v>8400</v>
      </c>
      <c r="P341" s="68">
        <v>7150</v>
      </c>
      <c r="Q341" s="68" t="str">
        <f t="shared" ref="Q341:S341" si="38">Q349</f>
        <v>医保</v>
      </c>
      <c r="R341" s="68" t="str">
        <f t="shared" si="38"/>
        <v/>
      </c>
      <c r="S341" s="68" t="str">
        <f t="shared" si="38"/>
        <v/>
      </c>
      <c r="T341" s="64" t="s">
        <v>994</v>
      </c>
      <c r="U341" s="115" t="s">
        <v>1535</v>
      </c>
      <c r="V341" s="76" t="s">
        <v>1647</v>
      </c>
      <c r="W341" s="76">
        <v>330802043</v>
      </c>
      <c r="X341" s="77" t="s">
        <v>1648</v>
      </c>
      <c r="Y341" s="77" t="s">
        <v>1649</v>
      </c>
      <c r="Z341" s="77"/>
      <c r="AA341" s="77" t="s">
        <v>54</v>
      </c>
      <c r="AB341" s="77" t="s">
        <v>40</v>
      </c>
      <c r="AC341" s="88">
        <v>8870</v>
      </c>
      <c r="AD341" s="88">
        <v>7980</v>
      </c>
      <c r="AE341" s="88">
        <v>6780</v>
      </c>
      <c r="AF341" s="44">
        <f t="shared" si="33"/>
        <v>0</v>
      </c>
      <c r="AG341" s="44" t="str">
        <f t="shared" si="34"/>
        <v>全胸腹主动脉置换费</v>
      </c>
      <c r="AH341" s="44">
        <f t="shared" si="35"/>
        <v>9300</v>
      </c>
      <c r="AI341" s="44">
        <f t="shared" si="36"/>
        <v>8400</v>
      </c>
      <c r="AJ341" s="44">
        <f t="shared" si="37"/>
        <v>7150</v>
      </c>
      <c r="AK341" s="44"/>
      <c r="AL341" s="44"/>
      <c r="AM341" s="44"/>
      <c r="AN341" s="44"/>
      <c r="AO341" s="44"/>
      <c r="AP341" s="44"/>
      <c r="AQ341" s="44"/>
      <c r="AR341" s="44"/>
      <c r="AS341" s="44"/>
      <c r="AT341" s="44"/>
      <c r="AU341" s="44"/>
      <c r="AV341" s="44"/>
      <c r="AW341" s="44"/>
      <c r="AX341" s="44"/>
      <c r="AY341" s="44"/>
      <c r="AZ341" s="44"/>
      <c r="BA341" s="44"/>
      <c r="BB341" s="44"/>
      <c r="BC341" s="44"/>
      <c r="BD341" s="44"/>
      <c r="BE341" s="44"/>
      <c r="BF341" s="44"/>
      <c r="BG341" s="44"/>
      <c r="BH341" s="44"/>
      <c r="BI341" s="44"/>
      <c r="BJ341" s="44"/>
      <c r="BK341" s="44"/>
      <c r="BL341" s="44"/>
      <c r="BM341" s="44"/>
      <c r="BN341" s="44"/>
      <c r="BO341" s="44"/>
      <c r="BP341" s="44"/>
      <c r="BQ341" s="44"/>
      <c r="BR341" s="44"/>
      <c r="BS341" s="44"/>
      <c r="BT341" s="44"/>
      <c r="BU341" s="44"/>
      <c r="BV341" s="44"/>
      <c r="BW341" s="44"/>
      <c r="BX341" s="44"/>
      <c r="BY341" s="44"/>
      <c r="BZ341" s="44"/>
      <c r="CA341" s="44"/>
      <c r="CB341" s="44"/>
      <c r="CC341" s="44"/>
      <c r="CD341" s="44"/>
      <c r="CE341" s="44"/>
      <c r="CF341" s="44"/>
      <c r="CG341" s="44"/>
      <c r="CH341" s="44"/>
      <c r="CI341" s="44"/>
      <c r="CJ341" s="44"/>
      <c r="CK341" s="44"/>
      <c r="CL341" s="44"/>
      <c r="CM341" s="44"/>
      <c r="CN341" s="44"/>
      <c r="CO341" s="44"/>
      <c r="CP341" s="44"/>
      <c r="CQ341" s="44"/>
      <c r="CR341" s="44"/>
      <c r="CS341" s="44"/>
      <c r="CT341" s="44"/>
      <c r="CU341" s="44"/>
      <c r="CV341" s="44"/>
      <c r="CW341" s="44"/>
      <c r="CX341" s="44"/>
      <c r="CY341" s="44"/>
      <c r="CZ341" s="44"/>
      <c r="DA341" s="44"/>
      <c r="DB341" s="44"/>
      <c r="DC341" s="44"/>
      <c r="DD341" s="44"/>
      <c r="DE341" s="44"/>
      <c r="DF341" s="44"/>
      <c r="DG341" s="44"/>
      <c r="DH341" s="44"/>
      <c r="DI341" s="44"/>
      <c r="DJ341" s="44"/>
      <c r="DK341" s="44"/>
      <c r="DL341" s="44"/>
      <c r="DM341" s="44"/>
      <c r="DN341" s="44"/>
      <c r="DO341" s="44"/>
      <c r="DP341" s="44"/>
      <c r="DQ341" s="44"/>
      <c r="DR341" s="44"/>
      <c r="DS341" s="44"/>
      <c r="DT341" s="44"/>
      <c r="DU341" s="44"/>
      <c r="DV341" s="44"/>
      <c r="DW341" s="44"/>
      <c r="DX341" s="44"/>
      <c r="DY341" s="44"/>
      <c r="DZ341" s="44"/>
      <c r="EA341" s="44"/>
      <c r="EB341" s="44"/>
      <c r="EC341" s="44"/>
      <c r="ED341" s="44"/>
      <c r="EE341" s="44"/>
      <c r="EF341" s="44"/>
      <c r="EG341" s="44"/>
      <c r="EH341" s="44"/>
      <c r="EI341" s="44"/>
      <c r="EJ341" s="44"/>
      <c r="EK341" s="44"/>
      <c r="EL341" s="44"/>
      <c r="EM341" s="44"/>
      <c r="EN341" s="44"/>
      <c r="EO341" s="44"/>
      <c r="EP341" s="44"/>
      <c r="EQ341" s="44"/>
      <c r="ER341" s="44"/>
      <c r="ES341" s="44"/>
      <c r="ET341" s="44"/>
      <c r="EU341" s="44"/>
      <c r="EV341" s="44"/>
      <c r="EW341" s="44"/>
      <c r="EX341" s="44"/>
      <c r="EY341" s="44"/>
      <c r="EZ341" s="44"/>
      <c r="FA341" s="44"/>
      <c r="FB341" s="44"/>
      <c r="FC341" s="44"/>
      <c r="FD341" s="44"/>
      <c r="FE341" s="44"/>
      <c r="FF341" s="44"/>
      <c r="FG341" s="44"/>
      <c r="FH341" s="44"/>
      <c r="FI341" s="44"/>
      <c r="FJ341" s="44"/>
      <c r="FK341" s="44"/>
      <c r="FL341" s="44"/>
      <c r="FM341" s="44"/>
      <c r="FN341" s="44"/>
      <c r="FO341" s="44"/>
      <c r="FP341" s="44"/>
      <c r="FQ341" s="44"/>
      <c r="FR341" s="44"/>
      <c r="FS341" s="44"/>
      <c r="FT341" s="44"/>
      <c r="FU341" s="44"/>
      <c r="FV341" s="44"/>
      <c r="FW341" s="44"/>
      <c r="FX341" s="44"/>
      <c r="FY341" s="44"/>
      <c r="FZ341" s="44"/>
      <c r="GA341" s="44"/>
      <c r="GB341" s="44"/>
      <c r="GC341" s="44"/>
      <c r="GD341" s="44"/>
      <c r="GE341" s="44"/>
      <c r="GF341" s="44"/>
      <c r="GG341" s="44"/>
      <c r="GH341" s="44"/>
      <c r="GI341" s="44"/>
      <c r="GJ341" s="44"/>
      <c r="GK341" s="44"/>
      <c r="GL341" s="44"/>
      <c r="GM341" s="44"/>
      <c r="GN341" s="44"/>
      <c r="GO341" s="44"/>
      <c r="GP341" s="44"/>
      <c r="GQ341" s="44"/>
      <c r="GR341" s="44"/>
      <c r="GS341" s="44"/>
      <c r="GT341" s="44"/>
      <c r="GU341" s="44"/>
      <c r="GV341" s="44"/>
      <c r="GW341" s="44"/>
      <c r="GX341" s="44"/>
      <c r="GY341" s="44"/>
      <c r="GZ341" s="44"/>
      <c r="HA341" s="44"/>
      <c r="HB341" s="44"/>
      <c r="HC341" s="44"/>
      <c r="HD341" s="44"/>
      <c r="HE341" s="44"/>
      <c r="HF341" s="44"/>
      <c r="HG341" s="44"/>
      <c r="HH341" s="44"/>
      <c r="HI341" s="44"/>
      <c r="HJ341" s="44"/>
      <c r="HK341" s="44"/>
      <c r="HL341" s="44"/>
      <c r="HM341" s="44"/>
      <c r="HN341" s="44"/>
      <c r="HO341" s="44"/>
      <c r="HP341" s="44"/>
      <c r="HQ341" s="44"/>
      <c r="HR341" s="44"/>
      <c r="HS341" s="44"/>
      <c r="HT341" s="44"/>
      <c r="HU341" s="44"/>
      <c r="HV341" s="44"/>
      <c r="HW341" s="44"/>
      <c r="HX341" s="44"/>
      <c r="HY341" s="44"/>
      <c r="HZ341" s="44"/>
      <c r="IA341" s="44"/>
      <c r="IB341" s="44"/>
      <c r="IC341" s="44"/>
      <c r="ID341" s="44"/>
      <c r="IE341" s="44"/>
      <c r="IF341" s="44"/>
      <c r="IG341" s="44"/>
      <c r="IH341" s="44"/>
      <c r="II341" s="44"/>
      <c r="IJ341" s="44"/>
      <c r="IK341" s="44"/>
      <c r="IL341" s="44"/>
      <c r="IM341" s="44"/>
      <c r="IN341" s="44"/>
      <c r="IO341" s="44"/>
    </row>
    <row r="342" s="44" customFormat="1" ht="38" customHeight="1" spans="1:36">
      <c r="A342" s="55" t="s">
        <v>55</v>
      </c>
      <c r="B342" s="55" t="s">
        <v>1650</v>
      </c>
      <c r="C342" s="55" t="s">
        <v>1651</v>
      </c>
      <c r="D342" s="55" t="s">
        <v>350</v>
      </c>
      <c r="E342" s="59" t="s">
        <v>40</v>
      </c>
      <c r="F342" s="59" t="s">
        <v>40</v>
      </c>
      <c r="G342" s="55" t="s">
        <v>54</v>
      </c>
      <c r="H342" s="59" t="s">
        <v>40</v>
      </c>
      <c r="I342" s="30">
        <v>3096</v>
      </c>
      <c r="J342" s="30">
        <v>2786</v>
      </c>
      <c r="K342" s="64"/>
      <c r="L342" s="64"/>
      <c r="M342" s="64"/>
      <c r="N342" s="68">
        <v>2790</v>
      </c>
      <c r="O342" s="68">
        <v>2520</v>
      </c>
      <c r="P342" s="68">
        <v>2145</v>
      </c>
      <c r="Q342" s="68" t="e">
        <f t="shared" ref="Q342:S342" si="39">Q350</f>
        <v>#VALUE!</v>
      </c>
      <c r="R342" s="68" t="e">
        <f t="shared" si="39"/>
        <v>#VALUE!</v>
      </c>
      <c r="S342" s="68" t="e">
        <f t="shared" si="39"/>
        <v>#VALUE!</v>
      </c>
      <c r="T342" s="64"/>
      <c r="U342" s="115" t="s">
        <v>305</v>
      </c>
      <c r="V342" s="76" t="s">
        <v>1652</v>
      </c>
      <c r="W342" s="76">
        <v>33080204301</v>
      </c>
      <c r="X342" s="77" t="s">
        <v>1653</v>
      </c>
      <c r="Y342" s="77"/>
      <c r="Z342" s="77"/>
      <c r="AA342" s="77" t="s">
        <v>54</v>
      </c>
      <c r="AB342" s="77" t="s">
        <v>40</v>
      </c>
      <c r="AC342" s="88">
        <v>11530</v>
      </c>
      <c r="AD342" s="88">
        <v>10375</v>
      </c>
      <c r="AE342" s="88">
        <v>8820</v>
      </c>
      <c r="AF342" s="44">
        <f t="shared" si="33"/>
        <v>10</v>
      </c>
      <c r="AG342" s="44" t="str">
        <f t="shared" si="34"/>
        <v>全胸腹主动脉置换费</v>
      </c>
      <c r="AH342" s="44">
        <f t="shared" si="35"/>
        <v>12090</v>
      </c>
      <c r="AI342" s="44">
        <f t="shared" si="36"/>
        <v>10920</v>
      </c>
      <c r="AJ342" s="44">
        <f t="shared" si="37"/>
        <v>9295</v>
      </c>
    </row>
    <row r="343" s="44" customFormat="1" ht="38" customHeight="1" spans="1:36">
      <c r="A343" s="55">
        <v>104</v>
      </c>
      <c r="B343" s="55" t="s">
        <v>1654</v>
      </c>
      <c r="C343" s="55" t="s">
        <v>1655</v>
      </c>
      <c r="D343" s="55" t="s">
        <v>350</v>
      </c>
      <c r="E343" s="59" t="s">
        <v>1656</v>
      </c>
      <c r="F343" s="59" t="s">
        <v>1657</v>
      </c>
      <c r="G343" s="55" t="s">
        <v>54</v>
      </c>
      <c r="H343" s="59" t="s">
        <v>40</v>
      </c>
      <c r="I343" s="30">
        <v>6340</v>
      </c>
      <c r="J343" s="30">
        <v>5706</v>
      </c>
      <c r="K343" s="64">
        <v>5570</v>
      </c>
      <c r="L343" s="64"/>
      <c r="M343" s="64"/>
      <c r="N343" s="68">
        <v>5700</v>
      </c>
      <c r="O343" s="68">
        <v>5150</v>
      </c>
      <c r="P343" s="68">
        <v>4400</v>
      </c>
      <c r="Q343" s="55" t="s">
        <v>41</v>
      </c>
      <c r="R343" s="55" t="s">
        <v>40</v>
      </c>
      <c r="S343" s="74" t="s">
        <v>40</v>
      </c>
      <c r="T343" s="64" t="s">
        <v>994</v>
      </c>
      <c r="U343" s="59" t="s">
        <v>1658</v>
      </c>
      <c r="V343" s="76" t="s">
        <v>1659</v>
      </c>
      <c r="W343" s="76">
        <v>330802028</v>
      </c>
      <c r="X343" s="77" t="s">
        <v>1660</v>
      </c>
      <c r="Y343" s="77" t="s">
        <v>1661</v>
      </c>
      <c r="Z343" s="77"/>
      <c r="AA343" s="77" t="s">
        <v>54</v>
      </c>
      <c r="AB343" s="77" t="s">
        <v>40</v>
      </c>
      <c r="AC343" s="88">
        <v>5570</v>
      </c>
      <c r="AD343" s="88">
        <v>5010</v>
      </c>
      <c r="AE343" s="88">
        <v>4260</v>
      </c>
      <c r="AF343" s="44">
        <f t="shared" si="33"/>
        <v>0</v>
      </c>
      <c r="AG343" s="44" t="str">
        <f t="shared" si="34"/>
        <v>主动脉窦瘤破裂修补费</v>
      </c>
      <c r="AH343" s="44">
        <f t="shared" si="35"/>
        <v>5700</v>
      </c>
      <c r="AI343" s="44">
        <f t="shared" si="36"/>
        <v>5150</v>
      </c>
      <c r="AJ343" s="44">
        <f t="shared" si="37"/>
        <v>4400</v>
      </c>
    </row>
    <row r="344" s="44" customFormat="1" ht="38" customHeight="1" spans="1:36">
      <c r="A344" s="55" t="s">
        <v>55</v>
      </c>
      <c r="B344" s="55" t="s">
        <v>1662</v>
      </c>
      <c r="C344" s="55" t="s">
        <v>1663</v>
      </c>
      <c r="D344" s="55" t="s">
        <v>350</v>
      </c>
      <c r="E344" s="59" t="s">
        <v>40</v>
      </c>
      <c r="F344" s="59" t="s">
        <v>40</v>
      </c>
      <c r="G344" s="55" t="s">
        <v>54</v>
      </c>
      <c r="H344" s="59" t="s">
        <v>40</v>
      </c>
      <c r="I344" s="30">
        <v>1902</v>
      </c>
      <c r="J344" s="30">
        <v>1712</v>
      </c>
      <c r="K344" s="64"/>
      <c r="L344" s="64"/>
      <c r="M344" s="64"/>
      <c r="N344" s="35">
        <v>1710</v>
      </c>
      <c r="O344" s="35">
        <v>1545</v>
      </c>
      <c r="P344" s="35">
        <v>1320</v>
      </c>
      <c r="Q344" s="35" t="e">
        <f t="shared" ref="Q344:S344" si="40">Q343*0.3</f>
        <v>#VALUE!</v>
      </c>
      <c r="R344" s="35" t="e">
        <f t="shared" si="40"/>
        <v>#VALUE!</v>
      </c>
      <c r="S344" s="35" t="e">
        <f t="shared" si="40"/>
        <v>#VALUE!</v>
      </c>
      <c r="T344" s="64"/>
      <c r="U344" s="59" t="s">
        <v>305</v>
      </c>
      <c r="V344" s="76" t="s">
        <v>1664</v>
      </c>
      <c r="W344" s="76">
        <v>33080202801</v>
      </c>
      <c r="X344" s="77" t="s">
        <v>1665</v>
      </c>
      <c r="Y344" s="77"/>
      <c r="Z344" s="77"/>
      <c r="AA344" s="77" t="s">
        <v>54</v>
      </c>
      <c r="AB344" s="77" t="s">
        <v>40</v>
      </c>
      <c r="AC344" s="88">
        <v>7240</v>
      </c>
      <c r="AD344" s="88">
        <v>6515</v>
      </c>
      <c r="AE344" s="88">
        <v>5540</v>
      </c>
      <c r="AF344" s="44">
        <f t="shared" si="33"/>
        <v>11</v>
      </c>
      <c r="AG344" s="44" t="str">
        <f t="shared" si="34"/>
        <v>主动脉窦瘤破裂修补费</v>
      </c>
      <c r="AH344" s="44">
        <f t="shared" si="35"/>
        <v>7410</v>
      </c>
      <c r="AI344" s="44">
        <f t="shared" si="36"/>
        <v>6695</v>
      </c>
      <c r="AJ344" s="44">
        <f t="shared" si="37"/>
        <v>5720</v>
      </c>
    </row>
    <row r="345" s="44" customFormat="1" ht="38" customHeight="1" spans="1:36">
      <c r="A345" s="55">
        <v>105</v>
      </c>
      <c r="B345" s="55" t="s">
        <v>1666</v>
      </c>
      <c r="C345" s="55" t="s">
        <v>1667</v>
      </c>
      <c r="D345" s="55" t="s">
        <v>350</v>
      </c>
      <c r="E345" s="59" t="s">
        <v>1668</v>
      </c>
      <c r="F345" s="59" t="s">
        <v>1657</v>
      </c>
      <c r="G345" s="55" t="s">
        <v>54</v>
      </c>
      <c r="H345" s="59" t="s">
        <v>40</v>
      </c>
      <c r="I345" s="30">
        <v>5180</v>
      </c>
      <c r="J345" s="30">
        <v>4662</v>
      </c>
      <c r="K345" s="64"/>
      <c r="L345" s="64"/>
      <c r="M345" s="64"/>
      <c r="N345" s="68">
        <v>4700</v>
      </c>
      <c r="O345" s="68">
        <v>4250</v>
      </c>
      <c r="P345" s="68">
        <v>3650</v>
      </c>
      <c r="Q345" s="55" t="s">
        <v>41</v>
      </c>
      <c r="R345" s="55" t="s">
        <v>40</v>
      </c>
      <c r="S345" s="74" t="s">
        <v>40</v>
      </c>
      <c r="T345" s="64" t="s">
        <v>994</v>
      </c>
      <c r="U345" s="115" t="s">
        <v>1535</v>
      </c>
      <c r="V345" s="76" t="s">
        <v>1669</v>
      </c>
      <c r="W345" s="76">
        <v>330802015</v>
      </c>
      <c r="X345" s="77" t="s">
        <v>1670</v>
      </c>
      <c r="Y345" s="77"/>
      <c r="Z345" s="77"/>
      <c r="AA345" s="77" t="s">
        <v>54</v>
      </c>
      <c r="AB345" s="77" t="s">
        <v>40</v>
      </c>
      <c r="AC345" s="88">
        <v>4560</v>
      </c>
      <c r="AD345" s="88">
        <v>4100</v>
      </c>
      <c r="AE345" s="88">
        <v>3490</v>
      </c>
      <c r="AF345" s="44">
        <f t="shared" si="33"/>
        <v>0</v>
      </c>
      <c r="AG345" s="44" t="str">
        <f t="shared" si="34"/>
        <v>主肺动脉窗修补费</v>
      </c>
      <c r="AH345" s="44">
        <f t="shared" si="35"/>
        <v>4700</v>
      </c>
      <c r="AI345" s="44">
        <f t="shared" si="36"/>
        <v>4250</v>
      </c>
      <c r="AJ345" s="44">
        <f t="shared" si="37"/>
        <v>3650</v>
      </c>
    </row>
    <row r="346" s="44" customFormat="1" ht="38" customHeight="1" spans="1:36">
      <c r="A346" s="55" t="s">
        <v>55</v>
      </c>
      <c r="B346" s="55" t="s">
        <v>1671</v>
      </c>
      <c r="C346" s="55" t="s">
        <v>1672</v>
      </c>
      <c r="D346" s="55" t="s">
        <v>350</v>
      </c>
      <c r="E346" s="59" t="s">
        <v>40</v>
      </c>
      <c r="F346" s="59" t="s">
        <v>40</v>
      </c>
      <c r="G346" s="55" t="s">
        <v>54</v>
      </c>
      <c r="H346" s="59" t="s">
        <v>40</v>
      </c>
      <c r="I346" s="30">
        <v>1554</v>
      </c>
      <c r="J346" s="30">
        <v>1399</v>
      </c>
      <c r="K346" s="64"/>
      <c r="L346" s="64"/>
      <c r="M346" s="64"/>
      <c r="N346" s="35">
        <v>1410</v>
      </c>
      <c r="O346" s="35">
        <v>1275</v>
      </c>
      <c r="P346" s="35">
        <v>1095</v>
      </c>
      <c r="Q346" s="55" t="s">
        <v>41</v>
      </c>
      <c r="R346" s="55" t="s">
        <v>40</v>
      </c>
      <c r="S346" s="74" t="s">
        <v>40</v>
      </c>
      <c r="T346" s="64"/>
      <c r="U346" s="59" t="s">
        <v>305</v>
      </c>
      <c r="V346" s="76" t="s">
        <v>1673</v>
      </c>
      <c r="W346" s="76">
        <v>33080201501</v>
      </c>
      <c r="X346" s="77" t="s">
        <v>1674</v>
      </c>
      <c r="Y346" s="77"/>
      <c r="Z346" s="77"/>
      <c r="AA346" s="77" t="s">
        <v>54</v>
      </c>
      <c r="AB346" s="77" t="s">
        <v>40</v>
      </c>
      <c r="AC346" s="88">
        <v>5930</v>
      </c>
      <c r="AD346" s="88">
        <v>5330</v>
      </c>
      <c r="AE346" s="88">
        <v>4530</v>
      </c>
      <c r="AF346" s="44">
        <f t="shared" si="33"/>
        <v>9</v>
      </c>
      <c r="AG346" s="44" t="str">
        <f t="shared" si="34"/>
        <v>主肺动脉窗修补费</v>
      </c>
      <c r="AH346" s="44">
        <f t="shared" si="35"/>
        <v>6110</v>
      </c>
      <c r="AI346" s="44">
        <f t="shared" si="36"/>
        <v>5525</v>
      </c>
      <c r="AJ346" s="44">
        <f t="shared" si="37"/>
        <v>4745</v>
      </c>
    </row>
    <row r="347" s="44" customFormat="1" ht="60" customHeight="1" spans="1:36">
      <c r="A347" s="55">
        <v>106</v>
      </c>
      <c r="B347" s="55" t="s">
        <v>1675</v>
      </c>
      <c r="C347" s="55" t="s">
        <v>1676</v>
      </c>
      <c r="D347" s="55" t="s">
        <v>350</v>
      </c>
      <c r="E347" s="59" t="s">
        <v>1677</v>
      </c>
      <c r="F347" s="59" t="s">
        <v>1678</v>
      </c>
      <c r="G347" s="55" t="s">
        <v>54</v>
      </c>
      <c r="H347" s="59" t="s">
        <v>40</v>
      </c>
      <c r="I347" s="30">
        <v>11700</v>
      </c>
      <c r="J347" s="30">
        <v>10530</v>
      </c>
      <c r="K347" s="64"/>
      <c r="L347" s="64"/>
      <c r="M347" s="64"/>
      <c r="N347" s="35">
        <v>10500</v>
      </c>
      <c r="O347" s="35">
        <v>9450</v>
      </c>
      <c r="P347" s="35">
        <v>8050</v>
      </c>
      <c r="Q347" s="55" t="s">
        <v>41</v>
      </c>
      <c r="R347" s="55" t="s">
        <v>40</v>
      </c>
      <c r="S347" s="74" t="s">
        <v>40</v>
      </c>
      <c r="T347" s="64" t="s">
        <v>994</v>
      </c>
      <c r="U347" s="115" t="s">
        <v>1679</v>
      </c>
      <c r="V347" s="76" t="s">
        <v>1680</v>
      </c>
      <c r="W347" s="76">
        <v>330801010</v>
      </c>
      <c r="X347" s="77" t="s">
        <v>1681</v>
      </c>
      <c r="Y347" s="77" t="s">
        <v>1682</v>
      </c>
      <c r="Z347" s="77" t="s">
        <v>1683</v>
      </c>
      <c r="AA347" s="77" t="s">
        <v>54</v>
      </c>
      <c r="AB347" s="77" t="s">
        <v>40</v>
      </c>
      <c r="AC347" s="88">
        <v>9020</v>
      </c>
      <c r="AD347" s="88">
        <v>8120</v>
      </c>
      <c r="AE347" s="88">
        <v>6900</v>
      </c>
      <c r="AF347" s="44">
        <f t="shared" si="33"/>
        <v>0</v>
      </c>
      <c r="AG347" s="44" t="str">
        <f t="shared" si="34"/>
        <v>自体肺动脉瓣替换主动脉瓣费</v>
      </c>
      <c r="AH347" s="44">
        <f t="shared" si="35"/>
        <v>10500</v>
      </c>
      <c r="AI347" s="44">
        <f t="shared" si="36"/>
        <v>9450</v>
      </c>
      <c r="AJ347" s="44">
        <f t="shared" si="37"/>
        <v>8050</v>
      </c>
    </row>
    <row r="348" s="44" customFormat="1" ht="38" customHeight="1" spans="1:36">
      <c r="A348" s="55" t="s">
        <v>55</v>
      </c>
      <c r="B348" s="55" t="s">
        <v>1684</v>
      </c>
      <c r="C348" s="55" t="s">
        <v>1685</v>
      </c>
      <c r="D348" s="55" t="s">
        <v>350</v>
      </c>
      <c r="E348" s="59" t="s">
        <v>40</v>
      </c>
      <c r="F348" s="59" t="s">
        <v>40</v>
      </c>
      <c r="G348" s="55" t="s">
        <v>54</v>
      </c>
      <c r="H348" s="59" t="s">
        <v>40</v>
      </c>
      <c r="I348" s="30">
        <v>3510</v>
      </c>
      <c r="J348" s="30">
        <v>3159</v>
      </c>
      <c r="K348" s="64"/>
      <c r="L348" s="64"/>
      <c r="M348" s="64"/>
      <c r="N348" s="35">
        <v>3150</v>
      </c>
      <c r="O348" s="35">
        <v>2835</v>
      </c>
      <c r="P348" s="35">
        <v>2415</v>
      </c>
      <c r="Q348" s="55" t="s">
        <v>41</v>
      </c>
      <c r="R348" s="55" t="s">
        <v>40</v>
      </c>
      <c r="S348" s="74" t="s">
        <v>40</v>
      </c>
      <c r="T348" s="64"/>
      <c r="U348" s="59"/>
      <c r="V348" s="76" t="s">
        <v>1686</v>
      </c>
      <c r="W348" s="76">
        <v>33080101001</v>
      </c>
      <c r="X348" s="77" t="s">
        <v>1687</v>
      </c>
      <c r="Y348" s="77"/>
      <c r="Z348" s="77"/>
      <c r="AA348" s="77" t="s">
        <v>54</v>
      </c>
      <c r="AB348" s="77" t="s">
        <v>40</v>
      </c>
      <c r="AC348" s="88">
        <v>11725</v>
      </c>
      <c r="AD348" s="88">
        <v>10555</v>
      </c>
      <c r="AE348" s="88">
        <v>8970</v>
      </c>
      <c r="AF348" s="44">
        <f t="shared" si="33"/>
        <v>14</v>
      </c>
      <c r="AG348" s="44" t="str">
        <f t="shared" si="34"/>
        <v>自体肺动脉瓣替换主动脉瓣费</v>
      </c>
      <c r="AH348" s="44">
        <f t="shared" si="35"/>
        <v>13650</v>
      </c>
      <c r="AI348" s="44">
        <f t="shared" si="36"/>
        <v>12285</v>
      </c>
      <c r="AJ348" s="44">
        <f t="shared" si="37"/>
        <v>10465</v>
      </c>
    </row>
    <row r="349" s="44" customFormat="1" ht="38" customHeight="1" spans="1:36">
      <c r="A349" s="55">
        <v>107</v>
      </c>
      <c r="B349" s="55" t="s">
        <v>1688</v>
      </c>
      <c r="C349" s="55" t="s">
        <v>1689</v>
      </c>
      <c r="D349" s="55" t="s">
        <v>350</v>
      </c>
      <c r="E349" s="59" t="s">
        <v>1690</v>
      </c>
      <c r="F349" s="59" t="s">
        <v>1691</v>
      </c>
      <c r="G349" s="55" t="s">
        <v>54</v>
      </c>
      <c r="H349" s="59" t="s">
        <v>40</v>
      </c>
      <c r="I349" s="30">
        <v>10320</v>
      </c>
      <c r="J349" s="30">
        <v>9288</v>
      </c>
      <c r="K349" s="64">
        <v>11330</v>
      </c>
      <c r="L349" s="64">
        <v>10200</v>
      </c>
      <c r="M349" s="64">
        <v>8670</v>
      </c>
      <c r="N349" s="68">
        <v>9300</v>
      </c>
      <c r="O349" s="68">
        <v>8400</v>
      </c>
      <c r="P349" s="68">
        <v>7150</v>
      </c>
      <c r="Q349" s="112" t="s">
        <v>41</v>
      </c>
      <c r="R349" s="112" t="s">
        <v>40</v>
      </c>
      <c r="S349" s="113" t="s">
        <v>40</v>
      </c>
      <c r="T349" s="64" t="s">
        <v>994</v>
      </c>
      <c r="U349" s="115" t="s">
        <v>1692</v>
      </c>
      <c r="V349" s="76" t="s">
        <v>1693</v>
      </c>
      <c r="W349" s="76">
        <v>330802038</v>
      </c>
      <c r="X349" s="77" t="s">
        <v>1694</v>
      </c>
      <c r="Y349" s="77" t="s">
        <v>1695</v>
      </c>
      <c r="Z349" s="77"/>
      <c r="AA349" s="77" t="s">
        <v>54</v>
      </c>
      <c r="AB349" s="77" t="s">
        <v>40</v>
      </c>
      <c r="AC349" s="88">
        <v>11330</v>
      </c>
      <c r="AD349" s="88">
        <v>10200</v>
      </c>
      <c r="AE349" s="88">
        <v>8670</v>
      </c>
      <c r="AF349" s="44">
        <f t="shared" si="33"/>
        <v>0</v>
      </c>
      <c r="AG349" s="44" t="str">
        <f t="shared" si="34"/>
        <v>双动脉根部调转费</v>
      </c>
      <c r="AH349" s="44">
        <f t="shared" si="35"/>
        <v>9300</v>
      </c>
      <c r="AI349" s="44">
        <f t="shared" si="36"/>
        <v>8400</v>
      </c>
      <c r="AJ349" s="44">
        <f t="shared" si="37"/>
        <v>7150</v>
      </c>
    </row>
    <row r="350" s="44" customFormat="1" ht="38" customHeight="1" spans="1:36">
      <c r="A350" s="55" t="s">
        <v>55</v>
      </c>
      <c r="B350" s="55" t="s">
        <v>1696</v>
      </c>
      <c r="C350" s="55" t="s">
        <v>1697</v>
      </c>
      <c r="D350" s="55" t="s">
        <v>350</v>
      </c>
      <c r="E350" s="59" t="s">
        <v>40</v>
      </c>
      <c r="F350" s="59" t="s">
        <v>40</v>
      </c>
      <c r="G350" s="55" t="s">
        <v>54</v>
      </c>
      <c r="H350" s="59" t="s">
        <v>40</v>
      </c>
      <c r="I350" s="30">
        <v>3096</v>
      </c>
      <c r="J350" s="30">
        <v>2786</v>
      </c>
      <c r="K350" s="64"/>
      <c r="L350" s="64"/>
      <c r="M350" s="64"/>
      <c r="N350" s="68">
        <v>2790</v>
      </c>
      <c r="O350" s="68">
        <v>2520</v>
      </c>
      <c r="P350" s="68">
        <v>2145</v>
      </c>
      <c r="Q350" s="68" t="e">
        <f t="shared" ref="Q350:S350" si="41">Q349*0.3</f>
        <v>#VALUE!</v>
      </c>
      <c r="R350" s="68" t="e">
        <f t="shared" si="41"/>
        <v>#VALUE!</v>
      </c>
      <c r="S350" s="68" t="e">
        <f t="shared" si="41"/>
        <v>#VALUE!</v>
      </c>
      <c r="T350" s="64"/>
      <c r="U350" s="115" t="s">
        <v>305</v>
      </c>
      <c r="V350" s="76" t="s">
        <v>1698</v>
      </c>
      <c r="W350" s="76">
        <v>33080203801</v>
      </c>
      <c r="X350" s="77" t="s">
        <v>1699</v>
      </c>
      <c r="Y350" s="77"/>
      <c r="Z350" s="77"/>
      <c r="AA350" s="77" t="s">
        <v>54</v>
      </c>
      <c r="AB350" s="77" t="s">
        <v>40</v>
      </c>
      <c r="AC350" s="88">
        <v>14730</v>
      </c>
      <c r="AD350" s="88">
        <v>13260</v>
      </c>
      <c r="AE350" s="88">
        <v>11270</v>
      </c>
      <c r="AF350" s="44">
        <f t="shared" si="33"/>
        <v>9</v>
      </c>
      <c r="AG350" s="44" t="str">
        <f t="shared" si="34"/>
        <v>双动脉根部调转费</v>
      </c>
      <c r="AH350" s="44">
        <f t="shared" si="35"/>
        <v>12090</v>
      </c>
      <c r="AI350" s="44">
        <f t="shared" si="36"/>
        <v>10920</v>
      </c>
      <c r="AJ350" s="44">
        <f t="shared" si="37"/>
        <v>9295</v>
      </c>
    </row>
    <row r="351" s="44" customFormat="1" ht="76" customHeight="1" spans="1:36">
      <c r="A351" s="55">
        <v>108</v>
      </c>
      <c r="B351" s="55" t="s">
        <v>1700</v>
      </c>
      <c r="C351" s="55" t="s">
        <v>1701</v>
      </c>
      <c r="D351" s="55" t="s">
        <v>350</v>
      </c>
      <c r="E351" s="59" t="s">
        <v>1702</v>
      </c>
      <c r="F351" s="59" t="s">
        <v>1703</v>
      </c>
      <c r="G351" s="55" t="s">
        <v>54</v>
      </c>
      <c r="H351" s="59" t="s">
        <v>40</v>
      </c>
      <c r="I351" s="30">
        <v>9600</v>
      </c>
      <c r="J351" s="30">
        <v>8640</v>
      </c>
      <c r="K351" s="64">
        <v>8250</v>
      </c>
      <c r="L351" s="64">
        <v>7430</v>
      </c>
      <c r="M351" s="64">
        <v>6320</v>
      </c>
      <c r="N351" s="68">
        <v>8600</v>
      </c>
      <c r="O351" s="68">
        <v>7740</v>
      </c>
      <c r="P351" s="68">
        <v>6580</v>
      </c>
      <c r="Q351" s="112" t="s">
        <v>41</v>
      </c>
      <c r="R351" s="112" t="s">
        <v>40</v>
      </c>
      <c r="S351" s="113" t="s">
        <v>40</v>
      </c>
      <c r="T351" s="64" t="s">
        <v>994</v>
      </c>
      <c r="U351" s="115" t="s">
        <v>1535</v>
      </c>
      <c r="V351" s="76" t="s">
        <v>1704</v>
      </c>
      <c r="W351" s="76">
        <v>330802042</v>
      </c>
      <c r="X351" s="77" t="s">
        <v>1705</v>
      </c>
      <c r="Y351" s="77"/>
      <c r="Z351" s="77"/>
      <c r="AA351" s="77" t="s">
        <v>54</v>
      </c>
      <c r="AB351" s="77" t="s">
        <v>40</v>
      </c>
      <c r="AC351" s="88">
        <v>8250</v>
      </c>
      <c r="AD351" s="88">
        <v>7430</v>
      </c>
      <c r="AE351" s="88">
        <v>6320</v>
      </c>
      <c r="AF351" s="44">
        <f t="shared" si="33"/>
        <v>0</v>
      </c>
      <c r="AG351" s="44" t="str">
        <f t="shared" si="34"/>
        <v>共同动脉干矫治费</v>
      </c>
      <c r="AH351" s="44">
        <f t="shared" si="35"/>
        <v>8600</v>
      </c>
      <c r="AI351" s="44">
        <f t="shared" si="36"/>
        <v>7740</v>
      </c>
      <c r="AJ351" s="44">
        <f t="shared" si="37"/>
        <v>6580</v>
      </c>
    </row>
    <row r="352" s="44" customFormat="1" ht="38" customHeight="1" spans="1:36">
      <c r="A352" s="55" t="s">
        <v>55</v>
      </c>
      <c r="B352" s="55" t="s">
        <v>1706</v>
      </c>
      <c r="C352" s="55" t="s">
        <v>1707</v>
      </c>
      <c r="D352" s="55" t="s">
        <v>350</v>
      </c>
      <c r="E352" s="59" t="s">
        <v>40</v>
      </c>
      <c r="F352" s="59" t="s">
        <v>40</v>
      </c>
      <c r="G352" s="55" t="s">
        <v>54</v>
      </c>
      <c r="H352" s="59" t="s">
        <v>40</v>
      </c>
      <c r="I352" s="30">
        <v>2880</v>
      </c>
      <c r="J352" s="30">
        <v>2592</v>
      </c>
      <c r="K352" s="64"/>
      <c r="L352" s="64"/>
      <c r="M352" s="64"/>
      <c r="N352" s="35">
        <v>2580</v>
      </c>
      <c r="O352" s="35">
        <v>2320</v>
      </c>
      <c r="P352" s="35">
        <v>1975</v>
      </c>
      <c r="Q352" s="55" t="s">
        <v>41</v>
      </c>
      <c r="R352" s="55" t="s">
        <v>40</v>
      </c>
      <c r="S352" s="74" t="s">
        <v>40</v>
      </c>
      <c r="T352" s="64"/>
      <c r="U352" s="59" t="s">
        <v>305</v>
      </c>
      <c r="V352" s="76" t="s">
        <v>1708</v>
      </c>
      <c r="W352" s="76">
        <v>33080204201</v>
      </c>
      <c r="X352" s="77" t="s">
        <v>1709</v>
      </c>
      <c r="Y352" s="77"/>
      <c r="Z352" s="77"/>
      <c r="AA352" s="77" t="s">
        <v>54</v>
      </c>
      <c r="AB352" s="77" t="s">
        <v>40</v>
      </c>
      <c r="AC352" s="88">
        <v>10725</v>
      </c>
      <c r="AD352" s="88">
        <v>9660</v>
      </c>
      <c r="AE352" s="88">
        <v>8210</v>
      </c>
      <c r="AF352" s="44">
        <f t="shared" si="33"/>
        <v>9</v>
      </c>
      <c r="AG352" s="44" t="str">
        <f t="shared" si="34"/>
        <v>共同动脉干矫治费</v>
      </c>
      <c r="AH352" s="44">
        <f t="shared" si="35"/>
        <v>11180</v>
      </c>
      <c r="AI352" s="44">
        <f t="shared" si="36"/>
        <v>10060</v>
      </c>
      <c r="AJ352" s="44">
        <f t="shared" si="37"/>
        <v>8555</v>
      </c>
    </row>
    <row r="353" s="44" customFormat="1" ht="64" customHeight="1" spans="1:36">
      <c r="A353" s="55">
        <v>109</v>
      </c>
      <c r="B353" s="55" t="s">
        <v>1710</v>
      </c>
      <c r="C353" s="55" t="s">
        <v>1711</v>
      </c>
      <c r="D353" s="55" t="s">
        <v>350</v>
      </c>
      <c r="E353" s="59" t="s">
        <v>1712</v>
      </c>
      <c r="F353" s="59" t="s">
        <v>1575</v>
      </c>
      <c r="G353" s="55" t="s">
        <v>54</v>
      </c>
      <c r="H353" s="59" t="s">
        <v>40</v>
      </c>
      <c r="I353" s="30">
        <v>3110</v>
      </c>
      <c r="J353" s="30">
        <v>2799</v>
      </c>
      <c r="K353" s="64">
        <v>2875</v>
      </c>
      <c r="L353" s="64">
        <v>2760</v>
      </c>
      <c r="M353" s="64">
        <v>2346</v>
      </c>
      <c r="N353" s="35">
        <v>2875</v>
      </c>
      <c r="O353" s="35">
        <v>2760</v>
      </c>
      <c r="P353" s="35">
        <v>2346</v>
      </c>
      <c r="Q353" s="55" t="s">
        <v>41</v>
      </c>
      <c r="R353" s="55" t="s">
        <v>40</v>
      </c>
      <c r="S353" s="74" t="s">
        <v>40</v>
      </c>
      <c r="T353" s="64" t="s">
        <v>183</v>
      </c>
      <c r="U353" s="59" t="s">
        <v>183</v>
      </c>
      <c r="V353" s="76" t="s">
        <v>1425</v>
      </c>
      <c r="W353" s="76">
        <v>330801012</v>
      </c>
      <c r="X353" s="77" t="s">
        <v>1426</v>
      </c>
      <c r="Y353" s="77" t="s">
        <v>1427</v>
      </c>
      <c r="Z353" s="77" t="s">
        <v>1218</v>
      </c>
      <c r="AA353" s="77" t="s">
        <v>54</v>
      </c>
      <c r="AB353" s="77" t="s">
        <v>40</v>
      </c>
      <c r="AC353" s="88">
        <v>2875</v>
      </c>
      <c r="AD353" s="88">
        <v>2760</v>
      </c>
      <c r="AE353" s="88">
        <v>2346</v>
      </c>
      <c r="AF353" s="44">
        <f t="shared" si="33"/>
        <v>0</v>
      </c>
      <c r="AG353" s="44" t="str">
        <f t="shared" si="34"/>
        <v>肺动脉成形费</v>
      </c>
      <c r="AH353" s="44">
        <f t="shared" si="35"/>
        <v>2875</v>
      </c>
      <c r="AI353" s="44">
        <f t="shared" si="36"/>
        <v>2760</v>
      </c>
      <c r="AJ353" s="44">
        <f t="shared" si="37"/>
        <v>2346</v>
      </c>
    </row>
    <row r="354" s="44" customFormat="1" ht="38" customHeight="1" spans="1:36">
      <c r="A354" s="55" t="s">
        <v>55</v>
      </c>
      <c r="B354" s="55" t="s">
        <v>1713</v>
      </c>
      <c r="C354" s="55" t="s">
        <v>1714</v>
      </c>
      <c r="D354" s="55" t="s">
        <v>350</v>
      </c>
      <c r="E354" s="59" t="s">
        <v>40</v>
      </c>
      <c r="F354" s="59" t="s">
        <v>40</v>
      </c>
      <c r="G354" s="55" t="s">
        <v>54</v>
      </c>
      <c r="H354" s="59" t="s">
        <v>40</v>
      </c>
      <c r="I354" s="30">
        <v>933</v>
      </c>
      <c r="J354" s="30">
        <v>840</v>
      </c>
      <c r="K354" s="64"/>
      <c r="L354" s="64"/>
      <c r="M354" s="64"/>
      <c r="N354" s="35">
        <v>863</v>
      </c>
      <c r="O354" s="35">
        <v>830</v>
      </c>
      <c r="P354" s="35">
        <v>705</v>
      </c>
      <c r="Q354" s="35" t="e">
        <f t="shared" ref="Q354:S354" si="42">Q353*0.3</f>
        <v>#VALUE!</v>
      </c>
      <c r="R354" s="35" t="e">
        <f t="shared" si="42"/>
        <v>#VALUE!</v>
      </c>
      <c r="S354" s="35" t="e">
        <f t="shared" si="42"/>
        <v>#VALUE!</v>
      </c>
      <c r="T354" s="64"/>
      <c r="U354" s="59" t="s">
        <v>305</v>
      </c>
      <c r="V354" s="76" t="s">
        <v>1430</v>
      </c>
      <c r="W354" s="76">
        <v>33080101201</v>
      </c>
      <c r="X354" s="77" t="s">
        <v>1431</v>
      </c>
      <c r="Y354" s="77"/>
      <c r="Z354" s="77"/>
      <c r="AA354" s="77" t="s">
        <v>54</v>
      </c>
      <c r="AB354" s="77" t="s">
        <v>40</v>
      </c>
      <c r="AC354" s="88">
        <v>3740</v>
      </c>
      <c r="AD354" s="88">
        <v>3590</v>
      </c>
      <c r="AE354" s="88">
        <v>3050</v>
      </c>
      <c r="AF354" s="44">
        <f t="shared" si="33"/>
        <v>7</v>
      </c>
      <c r="AG354" s="44" t="str">
        <f t="shared" si="34"/>
        <v>肺动脉成形费</v>
      </c>
      <c r="AH354" s="44">
        <f t="shared" si="35"/>
        <v>3738</v>
      </c>
      <c r="AI354" s="44">
        <f t="shared" si="36"/>
        <v>3590</v>
      </c>
      <c r="AJ354" s="44">
        <f t="shared" si="37"/>
        <v>3051</v>
      </c>
    </row>
    <row r="355" s="44" customFormat="1" ht="69" customHeight="1" spans="1:36">
      <c r="A355" s="55">
        <v>110</v>
      </c>
      <c r="B355" s="55" t="s">
        <v>1715</v>
      </c>
      <c r="C355" s="55" t="s">
        <v>1716</v>
      </c>
      <c r="D355" s="55" t="s">
        <v>350</v>
      </c>
      <c r="E355" s="59" t="s">
        <v>1717</v>
      </c>
      <c r="F355" s="59" t="s">
        <v>1718</v>
      </c>
      <c r="G355" s="55" t="s">
        <v>54</v>
      </c>
      <c r="H355" s="59" t="s">
        <v>40</v>
      </c>
      <c r="I355" s="30">
        <v>2430</v>
      </c>
      <c r="J355" s="30">
        <v>2187</v>
      </c>
      <c r="K355" s="64">
        <v>2250</v>
      </c>
      <c r="L355" s="64">
        <v>2160</v>
      </c>
      <c r="M355" s="64">
        <v>1836</v>
      </c>
      <c r="N355" s="35">
        <v>2250</v>
      </c>
      <c r="O355" s="35">
        <v>2160</v>
      </c>
      <c r="P355" s="35">
        <v>1836</v>
      </c>
      <c r="Q355" s="55" t="s">
        <v>41</v>
      </c>
      <c r="R355" s="55" t="s">
        <v>40</v>
      </c>
      <c r="S355" s="74" t="s">
        <v>40</v>
      </c>
      <c r="T355" s="64" t="s">
        <v>183</v>
      </c>
      <c r="U355" s="59" t="s">
        <v>183</v>
      </c>
      <c r="V355" s="76" t="s">
        <v>1719</v>
      </c>
      <c r="W355" s="76">
        <v>330802012</v>
      </c>
      <c r="X355" s="77" t="s">
        <v>1720</v>
      </c>
      <c r="Y355" s="77"/>
      <c r="Z355" s="77"/>
      <c r="AA355" s="77" t="s">
        <v>54</v>
      </c>
      <c r="AB355" s="77" t="s">
        <v>40</v>
      </c>
      <c r="AC355" s="88">
        <v>2250</v>
      </c>
      <c r="AD355" s="88">
        <v>2160</v>
      </c>
      <c r="AE355" s="88">
        <v>1836</v>
      </c>
      <c r="AF355" s="44">
        <f t="shared" si="33"/>
        <v>0</v>
      </c>
      <c r="AG355" s="44" t="str">
        <f t="shared" si="34"/>
        <v>肺动脉环缩费</v>
      </c>
      <c r="AH355" s="44">
        <f t="shared" si="35"/>
        <v>2250</v>
      </c>
      <c r="AI355" s="44">
        <f t="shared" si="36"/>
        <v>2160</v>
      </c>
      <c r="AJ355" s="44">
        <f t="shared" si="37"/>
        <v>1836</v>
      </c>
    </row>
    <row r="356" s="44" customFormat="1" ht="38" customHeight="1" spans="1:36">
      <c r="A356" s="55" t="s">
        <v>55</v>
      </c>
      <c r="B356" s="55" t="s">
        <v>1721</v>
      </c>
      <c r="C356" s="55" t="s">
        <v>1722</v>
      </c>
      <c r="D356" s="55" t="s">
        <v>350</v>
      </c>
      <c r="E356" s="59" t="s">
        <v>40</v>
      </c>
      <c r="F356" s="59" t="s">
        <v>40</v>
      </c>
      <c r="G356" s="55" t="s">
        <v>54</v>
      </c>
      <c r="H356" s="59" t="s">
        <v>40</v>
      </c>
      <c r="I356" s="30">
        <v>729</v>
      </c>
      <c r="J356" s="30">
        <v>656</v>
      </c>
      <c r="K356" s="64"/>
      <c r="L356" s="64"/>
      <c r="M356" s="64"/>
      <c r="N356" s="35">
        <v>675</v>
      </c>
      <c r="O356" s="35">
        <v>650</v>
      </c>
      <c r="P356" s="35">
        <v>550</v>
      </c>
      <c r="Q356" s="35" t="e">
        <f t="shared" ref="Q356:S356" si="43">Q355*0.3</f>
        <v>#VALUE!</v>
      </c>
      <c r="R356" s="35" t="e">
        <f t="shared" si="43"/>
        <v>#VALUE!</v>
      </c>
      <c r="S356" s="35" t="e">
        <f t="shared" si="43"/>
        <v>#VALUE!</v>
      </c>
      <c r="T356" s="64"/>
      <c r="U356" s="59" t="s">
        <v>305</v>
      </c>
      <c r="V356" s="76" t="s">
        <v>1723</v>
      </c>
      <c r="W356" s="76">
        <v>33080201201</v>
      </c>
      <c r="X356" s="77" t="s">
        <v>1724</v>
      </c>
      <c r="Y356" s="77"/>
      <c r="Z356" s="77"/>
      <c r="AA356" s="77" t="s">
        <v>54</v>
      </c>
      <c r="AB356" s="77" t="s">
        <v>40</v>
      </c>
      <c r="AC356" s="88">
        <v>2925</v>
      </c>
      <c r="AD356" s="88">
        <v>2810</v>
      </c>
      <c r="AE356" s="88">
        <v>2390</v>
      </c>
      <c r="AF356" s="44">
        <f t="shared" si="33"/>
        <v>7</v>
      </c>
      <c r="AG356" s="44" t="str">
        <f t="shared" si="34"/>
        <v>肺动脉环缩费</v>
      </c>
      <c r="AH356" s="44">
        <f t="shared" si="35"/>
        <v>2925</v>
      </c>
      <c r="AI356" s="44">
        <f t="shared" si="36"/>
        <v>2810</v>
      </c>
      <c r="AJ356" s="44">
        <f t="shared" si="37"/>
        <v>2386</v>
      </c>
    </row>
    <row r="357" s="44" customFormat="1" ht="59" customHeight="1" spans="1:36">
      <c r="A357" s="55">
        <v>111</v>
      </c>
      <c r="B357" s="55" t="s">
        <v>1725</v>
      </c>
      <c r="C357" s="55" t="s">
        <v>1726</v>
      </c>
      <c r="D357" s="55" t="s">
        <v>350</v>
      </c>
      <c r="E357" s="59" t="s">
        <v>1727</v>
      </c>
      <c r="F357" s="59" t="s">
        <v>1728</v>
      </c>
      <c r="G357" s="55" t="s">
        <v>54</v>
      </c>
      <c r="H357" s="59" t="s">
        <v>40</v>
      </c>
      <c r="I357" s="30">
        <v>4990</v>
      </c>
      <c r="J357" s="30">
        <v>4491</v>
      </c>
      <c r="K357" s="64">
        <v>4390</v>
      </c>
      <c r="L357" s="64">
        <v>3950</v>
      </c>
      <c r="M357" s="64">
        <v>3360</v>
      </c>
      <c r="N357" s="68">
        <v>4500</v>
      </c>
      <c r="O357" s="68">
        <v>4050</v>
      </c>
      <c r="P357" s="68">
        <v>3450</v>
      </c>
      <c r="Q357" s="55" t="s">
        <v>41</v>
      </c>
      <c r="R357" s="55" t="s">
        <v>40</v>
      </c>
      <c r="S357" s="74" t="s">
        <v>40</v>
      </c>
      <c r="T357" s="64" t="s">
        <v>994</v>
      </c>
      <c r="U357" s="115" t="s">
        <v>1535</v>
      </c>
      <c r="V357" s="76" t="s">
        <v>1729</v>
      </c>
      <c r="W357" s="76">
        <v>330802016</v>
      </c>
      <c r="X357" s="77" t="s">
        <v>1730</v>
      </c>
      <c r="Y357" s="77" t="s">
        <v>1731</v>
      </c>
      <c r="Z357" s="77"/>
      <c r="AA357" s="77" t="s">
        <v>54</v>
      </c>
      <c r="AB357" s="77" t="s">
        <v>40</v>
      </c>
      <c r="AC357" s="88">
        <v>4390</v>
      </c>
      <c r="AD357" s="88">
        <v>3950</v>
      </c>
      <c r="AE357" s="88">
        <v>3360</v>
      </c>
      <c r="AF357" s="44">
        <f t="shared" si="33"/>
        <v>0</v>
      </c>
      <c r="AG357" s="44" t="str">
        <f t="shared" si="34"/>
        <v>体肺动脉分流费</v>
      </c>
      <c r="AH357" s="44">
        <f t="shared" si="35"/>
        <v>4500</v>
      </c>
      <c r="AI357" s="44">
        <f t="shared" si="36"/>
        <v>4050</v>
      </c>
      <c r="AJ357" s="44">
        <f t="shared" si="37"/>
        <v>3450</v>
      </c>
    </row>
    <row r="358" s="44" customFormat="1" ht="38" customHeight="1" spans="1:36">
      <c r="A358" s="55" t="s">
        <v>55</v>
      </c>
      <c r="B358" s="55" t="s">
        <v>1732</v>
      </c>
      <c r="C358" s="55" t="s">
        <v>1733</v>
      </c>
      <c r="D358" s="55" t="s">
        <v>350</v>
      </c>
      <c r="E358" s="59" t="s">
        <v>40</v>
      </c>
      <c r="F358" s="59" t="s">
        <v>40</v>
      </c>
      <c r="G358" s="55" t="s">
        <v>54</v>
      </c>
      <c r="H358" s="59" t="s">
        <v>40</v>
      </c>
      <c r="I358" s="30">
        <v>1497</v>
      </c>
      <c r="J358" s="30">
        <v>1347</v>
      </c>
      <c r="K358" s="64"/>
      <c r="L358" s="64"/>
      <c r="M358" s="64"/>
      <c r="N358" s="35">
        <v>1350</v>
      </c>
      <c r="O358" s="35">
        <v>1215</v>
      </c>
      <c r="P358" s="35">
        <v>1035</v>
      </c>
      <c r="Q358" s="55" t="s">
        <v>41</v>
      </c>
      <c r="R358" s="55" t="s">
        <v>40</v>
      </c>
      <c r="S358" s="74" t="s">
        <v>40</v>
      </c>
      <c r="T358" s="64"/>
      <c r="U358" s="59" t="s">
        <v>305</v>
      </c>
      <c r="V358" s="76" t="s">
        <v>1734</v>
      </c>
      <c r="W358" s="76">
        <v>33080201601</v>
      </c>
      <c r="X358" s="77" t="s">
        <v>1735</v>
      </c>
      <c r="Y358" s="77"/>
      <c r="Z358" s="77"/>
      <c r="AA358" s="77" t="s">
        <v>54</v>
      </c>
      <c r="AB358" s="77" t="s">
        <v>40</v>
      </c>
      <c r="AC358" s="88">
        <v>5705</v>
      </c>
      <c r="AD358" s="88">
        <v>5135</v>
      </c>
      <c r="AE358" s="88">
        <v>4365</v>
      </c>
      <c r="AF358" s="44">
        <f t="shared" si="33"/>
        <v>8</v>
      </c>
      <c r="AG358" s="44" t="str">
        <f t="shared" si="34"/>
        <v>体肺动脉分流费</v>
      </c>
      <c r="AH358" s="44">
        <f t="shared" si="35"/>
        <v>5850</v>
      </c>
      <c r="AI358" s="44">
        <f t="shared" si="36"/>
        <v>5265</v>
      </c>
      <c r="AJ358" s="44">
        <f t="shared" si="37"/>
        <v>4485</v>
      </c>
    </row>
    <row r="359" s="44" customFormat="1" ht="63" customHeight="1" spans="1:36">
      <c r="A359" s="55">
        <v>112</v>
      </c>
      <c r="B359" s="55" t="s">
        <v>1736</v>
      </c>
      <c r="C359" s="55" t="s">
        <v>1737</v>
      </c>
      <c r="D359" s="55" t="s">
        <v>350</v>
      </c>
      <c r="E359" s="59" t="s">
        <v>1738</v>
      </c>
      <c r="F359" s="59" t="s">
        <v>1739</v>
      </c>
      <c r="G359" s="55" t="s">
        <v>54</v>
      </c>
      <c r="H359" s="59" t="s">
        <v>1740</v>
      </c>
      <c r="I359" s="30">
        <v>9600</v>
      </c>
      <c r="J359" s="30">
        <v>8640</v>
      </c>
      <c r="K359" s="64">
        <v>8440</v>
      </c>
      <c r="L359" s="64">
        <v>7600</v>
      </c>
      <c r="M359" s="64">
        <v>6460</v>
      </c>
      <c r="N359" s="68">
        <v>8700</v>
      </c>
      <c r="O359" s="68">
        <v>7850</v>
      </c>
      <c r="P359" s="68">
        <v>6680</v>
      </c>
      <c r="Q359" s="55" t="s">
        <v>41</v>
      </c>
      <c r="R359" s="55" t="s">
        <v>40</v>
      </c>
      <c r="S359" s="74" t="s">
        <v>40</v>
      </c>
      <c r="T359" s="64" t="s">
        <v>994</v>
      </c>
      <c r="U359" s="115" t="s">
        <v>1535</v>
      </c>
      <c r="V359" s="76" t="s">
        <v>1741</v>
      </c>
      <c r="W359" s="76">
        <v>330802019</v>
      </c>
      <c r="X359" s="77" t="s">
        <v>1742</v>
      </c>
      <c r="Y359" s="77" t="s">
        <v>1743</v>
      </c>
      <c r="Z359" s="77"/>
      <c r="AA359" s="77" t="s">
        <v>54</v>
      </c>
      <c r="AB359" s="77" t="s">
        <v>40</v>
      </c>
      <c r="AC359" s="88">
        <v>8440</v>
      </c>
      <c r="AD359" s="88">
        <v>7600</v>
      </c>
      <c r="AE359" s="88">
        <v>6460</v>
      </c>
      <c r="AF359" s="44">
        <f t="shared" si="33"/>
        <v>0</v>
      </c>
      <c r="AG359" s="44" t="str">
        <f t="shared" si="34"/>
        <v>肺动脉闭锁矫治费</v>
      </c>
      <c r="AH359" s="44">
        <f t="shared" si="35"/>
        <v>8700</v>
      </c>
      <c r="AI359" s="44">
        <f t="shared" si="36"/>
        <v>7850</v>
      </c>
      <c r="AJ359" s="44">
        <f t="shared" si="37"/>
        <v>6680</v>
      </c>
    </row>
    <row r="360" s="44" customFormat="1" ht="38" customHeight="1" spans="1:36">
      <c r="A360" s="55" t="s">
        <v>55</v>
      </c>
      <c r="B360" s="55" t="s">
        <v>1744</v>
      </c>
      <c r="C360" s="55" t="s">
        <v>1745</v>
      </c>
      <c r="D360" s="55" t="s">
        <v>350</v>
      </c>
      <c r="E360" s="59" t="s">
        <v>40</v>
      </c>
      <c r="F360" s="59" t="s">
        <v>40</v>
      </c>
      <c r="G360" s="55" t="s">
        <v>54</v>
      </c>
      <c r="H360" s="59" t="s">
        <v>40</v>
      </c>
      <c r="I360" s="30">
        <v>2880</v>
      </c>
      <c r="J360" s="30">
        <v>2592</v>
      </c>
      <c r="K360" s="64"/>
      <c r="L360" s="64"/>
      <c r="M360" s="64"/>
      <c r="N360" s="35">
        <v>2610</v>
      </c>
      <c r="O360" s="35">
        <v>2355</v>
      </c>
      <c r="P360" s="35">
        <v>2004</v>
      </c>
      <c r="Q360" s="55" t="s">
        <v>41</v>
      </c>
      <c r="R360" s="55" t="s">
        <v>40</v>
      </c>
      <c r="S360" s="74" t="s">
        <v>40</v>
      </c>
      <c r="T360" s="64"/>
      <c r="U360" s="59" t="s">
        <v>305</v>
      </c>
      <c r="V360" s="76" t="s">
        <v>1746</v>
      </c>
      <c r="W360" s="76">
        <v>33080201901</v>
      </c>
      <c r="X360" s="77" t="s">
        <v>1747</v>
      </c>
      <c r="Y360" s="77"/>
      <c r="Z360" s="77"/>
      <c r="AA360" s="77" t="s">
        <v>54</v>
      </c>
      <c r="AB360" s="77" t="s">
        <v>40</v>
      </c>
      <c r="AC360" s="88">
        <v>10970</v>
      </c>
      <c r="AD360" s="88">
        <v>9880</v>
      </c>
      <c r="AE360" s="88">
        <v>8400</v>
      </c>
      <c r="AF360" s="44">
        <f t="shared" si="33"/>
        <v>9</v>
      </c>
      <c r="AG360" s="44" t="str">
        <f t="shared" si="34"/>
        <v>肺动脉闭锁矫治费</v>
      </c>
      <c r="AH360" s="44">
        <f t="shared" si="35"/>
        <v>11310</v>
      </c>
      <c r="AI360" s="44">
        <f t="shared" si="36"/>
        <v>10205</v>
      </c>
      <c r="AJ360" s="44">
        <f t="shared" si="37"/>
        <v>8684</v>
      </c>
    </row>
    <row r="361" s="44" customFormat="1" ht="38" customHeight="1" spans="1:36">
      <c r="A361" s="55">
        <v>114</v>
      </c>
      <c r="B361" s="55" t="s">
        <v>1754</v>
      </c>
      <c r="C361" s="56" t="s">
        <v>1755</v>
      </c>
      <c r="D361" s="55" t="s">
        <v>350</v>
      </c>
      <c r="E361" s="59" t="s">
        <v>1756</v>
      </c>
      <c r="F361" s="59" t="s">
        <v>1757</v>
      </c>
      <c r="G361" s="55" t="s">
        <v>54</v>
      </c>
      <c r="H361" s="59" t="s">
        <v>40</v>
      </c>
      <c r="I361" s="30">
        <v>5760</v>
      </c>
      <c r="J361" s="30">
        <v>5184</v>
      </c>
      <c r="K361" s="64">
        <v>5060</v>
      </c>
      <c r="L361" s="64">
        <v>4550</v>
      </c>
      <c r="M361" s="64">
        <v>3870</v>
      </c>
      <c r="N361" s="67">
        <v>5200</v>
      </c>
      <c r="O361" s="67">
        <v>4700</v>
      </c>
      <c r="P361" s="67">
        <v>4000</v>
      </c>
      <c r="Q361" s="55" t="s">
        <v>41</v>
      </c>
      <c r="R361" s="55" t="s">
        <v>40</v>
      </c>
      <c r="S361" s="74" t="s">
        <v>40</v>
      </c>
      <c r="T361" s="64" t="s">
        <v>994</v>
      </c>
      <c r="U361" s="115" t="s">
        <v>1535</v>
      </c>
      <c r="V361" s="76" t="s">
        <v>1758</v>
      </c>
      <c r="W361" s="76">
        <v>330802011</v>
      </c>
      <c r="X361" s="77" t="s">
        <v>1759</v>
      </c>
      <c r="Y361" s="77"/>
      <c r="Z361" s="77"/>
      <c r="AA361" s="77" t="s">
        <v>1760</v>
      </c>
      <c r="AB361" s="77" t="s">
        <v>1761</v>
      </c>
      <c r="AC361" s="88">
        <v>5060</v>
      </c>
      <c r="AD361" s="88">
        <v>4550</v>
      </c>
      <c r="AE361" s="88">
        <v>3870</v>
      </c>
      <c r="AF361" s="44">
        <f t="shared" si="33"/>
        <v>0</v>
      </c>
      <c r="AG361" s="44" t="str">
        <f t="shared" si="34"/>
        <v>体静脉肺动脉吻合费</v>
      </c>
      <c r="AH361" s="44">
        <f t="shared" si="35"/>
        <v>5200</v>
      </c>
      <c r="AI361" s="44">
        <f t="shared" si="36"/>
        <v>4700</v>
      </c>
      <c r="AJ361" s="44">
        <f t="shared" si="37"/>
        <v>4000</v>
      </c>
    </row>
    <row r="362" s="44" customFormat="1" ht="38" customHeight="1" spans="1:36">
      <c r="A362" s="55"/>
      <c r="B362" s="55"/>
      <c r="C362" s="56" t="s">
        <v>1755</v>
      </c>
      <c r="D362" s="55"/>
      <c r="E362" s="59"/>
      <c r="F362" s="59"/>
      <c r="G362" s="55"/>
      <c r="H362" s="59"/>
      <c r="I362" s="37"/>
      <c r="J362" s="37"/>
      <c r="K362" s="64"/>
      <c r="L362" s="64"/>
      <c r="M362" s="64"/>
      <c r="N362" s="67">
        <v>5200</v>
      </c>
      <c r="O362" s="67">
        <v>4700</v>
      </c>
      <c r="P362" s="67">
        <v>4000</v>
      </c>
      <c r="Q362" s="55"/>
      <c r="R362" s="55"/>
      <c r="S362" s="74"/>
      <c r="T362" s="64"/>
      <c r="U362" s="115"/>
      <c r="V362" s="76" t="s">
        <v>1762</v>
      </c>
      <c r="W362" s="76">
        <v>330802040</v>
      </c>
      <c r="X362" s="77" t="s">
        <v>1763</v>
      </c>
      <c r="Y362" s="77" t="s">
        <v>1764</v>
      </c>
      <c r="Z362" s="77"/>
      <c r="AA362" s="77" t="s">
        <v>54</v>
      </c>
      <c r="AB362" s="77" t="s">
        <v>40</v>
      </c>
      <c r="AC362" s="88">
        <v>9280</v>
      </c>
      <c r="AD362" s="88">
        <v>8350</v>
      </c>
      <c r="AE362" s="88">
        <v>7100</v>
      </c>
      <c r="AF362" s="44">
        <f t="shared" si="33"/>
        <v>0</v>
      </c>
      <c r="AG362" s="44" t="str">
        <f t="shared" si="34"/>
        <v>体静脉肺动脉吻合费</v>
      </c>
      <c r="AH362" s="44">
        <f t="shared" si="35"/>
        <v>5200</v>
      </c>
      <c r="AI362" s="44">
        <f t="shared" si="36"/>
        <v>4700</v>
      </c>
      <c r="AJ362" s="44">
        <f t="shared" si="37"/>
        <v>4000</v>
      </c>
    </row>
    <row r="363" s="44" customFormat="1" ht="38" customHeight="1" spans="1:36">
      <c r="A363" s="55" t="s">
        <v>55</v>
      </c>
      <c r="B363" s="55" t="s">
        <v>1765</v>
      </c>
      <c r="C363" s="56" t="s">
        <v>1766</v>
      </c>
      <c r="D363" s="55" t="s">
        <v>350</v>
      </c>
      <c r="E363" s="59" t="s">
        <v>40</v>
      </c>
      <c r="F363" s="59" t="s">
        <v>40</v>
      </c>
      <c r="G363" s="55" t="s">
        <v>54</v>
      </c>
      <c r="H363" s="59" t="s">
        <v>40</v>
      </c>
      <c r="I363" s="30">
        <v>1728</v>
      </c>
      <c r="J363" s="30">
        <v>1555</v>
      </c>
      <c r="K363" s="64"/>
      <c r="L363" s="64"/>
      <c r="M363" s="64"/>
      <c r="N363" s="66">
        <v>1560</v>
      </c>
      <c r="O363" s="66">
        <v>1410</v>
      </c>
      <c r="P363" s="66">
        <v>1200</v>
      </c>
      <c r="Q363" s="55" t="s">
        <v>41</v>
      </c>
      <c r="R363" s="55" t="s">
        <v>40</v>
      </c>
      <c r="S363" s="74" t="s">
        <v>40</v>
      </c>
      <c r="T363" s="64"/>
      <c r="U363" s="59" t="s">
        <v>305</v>
      </c>
      <c r="V363" s="76" t="s">
        <v>1767</v>
      </c>
      <c r="W363" s="76">
        <v>33080201102</v>
      </c>
      <c r="X363" s="77" t="s">
        <v>1768</v>
      </c>
      <c r="Y363" s="77"/>
      <c r="Z363" s="77"/>
      <c r="AA363" s="77" t="s">
        <v>1760</v>
      </c>
      <c r="AB363" s="77" t="s">
        <v>40</v>
      </c>
      <c r="AC363" s="88">
        <v>6580</v>
      </c>
      <c r="AD363" s="88">
        <v>5915</v>
      </c>
      <c r="AE363" s="88">
        <v>5030</v>
      </c>
      <c r="AF363" s="44">
        <f t="shared" si="33"/>
        <v>10</v>
      </c>
      <c r="AG363" s="44" t="str">
        <f t="shared" si="34"/>
        <v>体静脉肺动脉吻合费</v>
      </c>
      <c r="AH363" s="44">
        <f t="shared" si="35"/>
        <v>6760</v>
      </c>
      <c r="AI363" s="44">
        <f t="shared" si="36"/>
        <v>6110</v>
      </c>
      <c r="AJ363" s="44">
        <f t="shared" si="37"/>
        <v>5200</v>
      </c>
    </row>
    <row r="364" s="44" customFormat="1" ht="38" customHeight="1" spans="1:36">
      <c r="A364" s="55"/>
      <c r="B364" s="55"/>
      <c r="C364" s="56" t="s">
        <v>1766</v>
      </c>
      <c r="D364" s="55"/>
      <c r="E364" s="59"/>
      <c r="F364" s="59"/>
      <c r="G364" s="55"/>
      <c r="H364" s="59"/>
      <c r="I364" s="37"/>
      <c r="J364" s="37"/>
      <c r="K364" s="64"/>
      <c r="L364" s="64"/>
      <c r="M364" s="64"/>
      <c r="N364" s="66">
        <v>1560</v>
      </c>
      <c r="O364" s="66">
        <v>1410</v>
      </c>
      <c r="P364" s="66">
        <v>1200</v>
      </c>
      <c r="Q364" s="55"/>
      <c r="R364" s="55"/>
      <c r="S364" s="74"/>
      <c r="T364" s="64"/>
      <c r="U364" s="59"/>
      <c r="V364" s="76" t="s">
        <v>1769</v>
      </c>
      <c r="W364" s="76">
        <v>33080204001</v>
      </c>
      <c r="X364" s="77" t="s">
        <v>1770</v>
      </c>
      <c r="Y364" s="77"/>
      <c r="Z364" s="77"/>
      <c r="AA364" s="77" t="s">
        <v>54</v>
      </c>
      <c r="AB364" s="77" t="s">
        <v>40</v>
      </c>
      <c r="AC364" s="88">
        <v>12065</v>
      </c>
      <c r="AD364" s="88">
        <v>10855</v>
      </c>
      <c r="AE364" s="88">
        <v>9225</v>
      </c>
      <c r="AF364" s="44">
        <f t="shared" si="33"/>
        <v>10</v>
      </c>
      <c r="AG364" s="44" t="str">
        <f t="shared" si="34"/>
        <v>体静脉肺动脉吻合费</v>
      </c>
      <c r="AH364" s="44">
        <f t="shared" si="35"/>
        <v>6760</v>
      </c>
      <c r="AI364" s="44">
        <f t="shared" si="36"/>
        <v>6110</v>
      </c>
      <c r="AJ364" s="44">
        <f t="shared" si="37"/>
        <v>5200</v>
      </c>
    </row>
    <row r="365" s="44" customFormat="1" ht="38" customHeight="1" spans="1:36">
      <c r="A365" s="111" t="s">
        <v>55</v>
      </c>
      <c r="B365" s="55" t="s">
        <v>1771</v>
      </c>
      <c r="C365" s="56" t="s">
        <v>1772</v>
      </c>
      <c r="D365" s="55" t="s">
        <v>350</v>
      </c>
      <c r="E365" s="59" t="s">
        <v>40</v>
      </c>
      <c r="F365" s="59" t="s">
        <v>40</v>
      </c>
      <c r="G365" s="55" t="s">
        <v>54</v>
      </c>
      <c r="H365" s="59"/>
      <c r="I365" s="30">
        <v>800</v>
      </c>
      <c r="J365" s="30">
        <v>720</v>
      </c>
      <c r="K365" s="64"/>
      <c r="L365" s="64"/>
      <c r="M365" s="64"/>
      <c r="N365" s="66">
        <v>720</v>
      </c>
      <c r="O365" s="66">
        <v>650</v>
      </c>
      <c r="P365" s="66">
        <v>550</v>
      </c>
      <c r="Q365" s="55" t="s">
        <v>41</v>
      </c>
      <c r="R365" s="55" t="s">
        <v>40</v>
      </c>
      <c r="S365" s="74" t="s">
        <v>40</v>
      </c>
      <c r="T365" s="64"/>
      <c r="U365" s="59" t="s">
        <v>1773</v>
      </c>
      <c r="V365" s="76" t="s">
        <v>1774</v>
      </c>
      <c r="W365" s="76">
        <v>33080201101</v>
      </c>
      <c r="X365" s="77" t="s">
        <v>1775</v>
      </c>
      <c r="Y365" s="77"/>
      <c r="Z365" s="77"/>
      <c r="AA365" s="77" t="s">
        <v>54</v>
      </c>
      <c r="AB365" s="77" t="s">
        <v>1776</v>
      </c>
      <c r="AC365" s="88">
        <v>5780</v>
      </c>
      <c r="AD365" s="88">
        <v>5200</v>
      </c>
      <c r="AE365" s="88">
        <v>4425</v>
      </c>
      <c r="AF365" s="44">
        <f t="shared" si="33"/>
        <v>0</v>
      </c>
      <c r="AG365" s="44" t="str">
        <f t="shared" si="34"/>
        <v>体静脉肺动脉吻合费-双侧吻合（加收）</v>
      </c>
      <c r="AH365" s="44">
        <f t="shared" si="35"/>
        <v>720</v>
      </c>
      <c r="AI365" s="44">
        <f t="shared" si="36"/>
        <v>650</v>
      </c>
      <c r="AJ365" s="44">
        <f t="shared" si="37"/>
        <v>550</v>
      </c>
    </row>
    <row r="366" s="44" customFormat="1" ht="38" customHeight="1" spans="1:36">
      <c r="A366" s="111"/>
      <c r="B366" s="55"/>
      <c r="C366" s="56" t="s">
        <v>1772</v>
      </c>
      <c r="D366" s="55"/>
      <c r="E366" s="59"/>
      <c r="F366" s="59"/>
      <c r="G366" s="55"/>
      <c r="H366" s="59"/>
      <c r="I366" s="37"/>
      <c r="J366" s="37"/>
      <c r="K366" s="64"/>
      <c r="L366" s="64"/>
      <c r="M366" s="64"/>
      <c r="N366" s="66">
        <v>720</v>
      </c>
      <c r="O366" s="66">
        <v>650</v>
      </c>
      <c r="P366" s="66">
        <v>550</v>
      </c>
      <c r="Q366" s="55"/>
      <c r="R366" s="55"/>
      <c r="S366" s="74"/>
      <c r="T366" s="64"/>
      <c r="U366" s="59"/>
      <c r="V366" s="76" t="s">
        <v>1777</v>
      </c>
      <c r="W366" s="76">
        <v>33080201103</v>
      </c>
      <c r="X366" s="77" t="s">
        <v>1778</v>
      </c>
      <c r="Y366" s="77"/>
      <c r="Z366" s="77"/>
      <c r="AA366" s="77" t="s">
        <v>54</v>
      </c>
      <c r="AB366" s="77" t="s">
        <v>1776</v>
      </c>
      <c r="AC366" s="88">
        <v>7515</v>
      </c>
      <c r="AD366" s="88">
        <v>6760</v>
      </c>
      <c r="AE366" s="88">
        <v>5745</v>
      </c>
      <c r="AF366" s="44">
        <f t="shared" si="33"/>
        <v>0</v>
      </c>
      <c r="AG366" s="44" t="str">
        <f t="shared" si="34"/>
        <v>体静脉肺动脉吻合费-双侧吻合（加收）</v>
      </c>
      <c r="AH366" s="44">
        <f t="shared" si="35"/>
        <v>720</v>
      </c>
      <c r="AI366" s="44">
        <f t="shared" si="36"/>
        <v>650</v>
      </c>
      <c r="AJ366" s="44">
        <f t="shared" si="37"/>
        <v>550</v>
      </c>
    </row>
    <row r="367" s="44" customFormat="1" ht="38" customHeight="1" spans="1:36">
      <c r="A367" s="55" t="s">
        <v>55</v>
      </c>
      <c r="B367" s="55" t="s">
        <v>1779</v>
      </c>
      <c r="C367" s="56" t="s">
        <v>1780</v>
      </c>
      <c r="D367" s="55" t="s">
        <v>350</v>
      </c>
      <c r="E367" s="59" t="s">
        <v>40</v>
      </c>
      <c r="F367" s="59" t="s">
        <v>40</v>
      </c>
      <c r="G367" s="55" t="s">
        <v>54</v>
      </c>
      <c r="H367" s="59" t="s">
        <v>40</v>
      </c>
      <c r="I367" s="30">
        <v>5353</v>
      </c>
      <c r="J367" s="30">
        <v>4818</v>
      </c>
      <c r="K367" s="64"/>
      <c r="L367" s="64"/>
      <c r="M367" s="64"/>
      <c r="N367" s="66">
        <v>4835</v>
      </c>
      <c r="O367" s="66">
        <v>4370</v>
      </c>
      <c r="P367" s="66">
        <v>3720</v>
      </c>
      <c r="Q367" s="55" t="s">
        <v>41</v>
      </c>
      <c r="R367" s="55" t="s">
        <v>40</v>
      </c>
      <c r="S367" s="74" t="s">
        <v>40</v>
      </c>
      <c r="T367" s="64"/>
      <c r="U367" s="59" t="s">
        <v>1773</v>
      </c>
      <c r="V367" s="76" t="s">
        <v>1781</v>
      </c>
      <c r="W367" s="76">
        <v>330802017</v>
      </c>
      <c r="X367" s="77" t="s">
        <v>1782</v>
      </c>
      <c r="Y367" s="77" t="s">
        <v>1783</v>
      </c>
      <c r="Z367" s="77"/>
      <c r="AA367" s="77" t="s">
        <v>54</v>
      </c>
      <c r="AB367" s="77" t="s">
        <v>40</v>
      </c>
      <c r="AC367" s="88">
        <v>9280</v>
      </c>
      <c r="AD367" s="88">
        <v>8350</v>
      </c>
      <c r="AE367" s="88">
        <v>7100</v>
      </c>
      <c r="AF367" s="44">
        <f t="shared" si="33"/>
        <v>0</v>
      </c>
      <c r="AG367" s="44" t="str">
        <f t="shared" si="34"/>
        <v>体静脉肺动脉吻合费-全腔吻合（加收）</v>
      </c>
      <c r="AH367" s="44">
        <f t="shared" si="35"/>
        <v>4835</v>
      </c>
      <c r="AI367" s="44">
        <f t="shared" si="36"/>
        <v>4370</v>
      </c>
      <c r="AJ367" s="44">
        <f t="shared" si="37"/>
        <v>3720</v>
      </c>
    </row>
    <row r="368" s="44" customFormat="1" ht="38" customHeight="1" spans="1:36">
      <c r="A368" s="55"/>
      <c r="B368" s="55"/>
      <c r="C368" s="56" t="s">
        <v>1780</v>
      </c>
      <c r="D368" s="55"/>
      <c r="E368" s="59"/>
      <c r="F368" s="59"/>
      <c r="G368" s="55"/>
      <c r="H368" s="59"/>
      <c r="I368" s="37"/>
      <c r="J368" s="37"/>
      <c r="K368" s="64"/>
      <c r="L368" s="64"/>
      <c r="M368" s="64"/>
      <c r="N368" s="66">
        <v>4835</v>
      </c>
      <c r="O368" s="66">
        <v>4370</v>
      </c>
      <c r="P368" s="66">
        <v>3720</v>
      </c>
      <c r="Q368" s="55"/>
      <c r="R368" s="55"/>
      <c r="S368" s="74"/>
      <c r="T368" s="64"/>
      <c r="U368" s="59"/>
      <c r="V368" s="76" t="s">
        <v>1784</v>
      </c>
      <c r="W368" s="76">
        <v>33080201701</v>
      </c>
      <c r="X368" s="77" t="s">
        <v>1785</v>
      </c>
      <c r="Y368" s="77"/>
      <c r="Z368" s="77"/>
      <c r="AA368" s="77" t="s">
        <v>54</v>
      </c>
      <c r="AB368" s="77" t="s">
        <v>40</v>
      </c>
      <c r="AC368" s="88">
        <v>12065</v>
      </c>
      <c r="AD368" s="88">
        <v>10855</v>
      </c>
      <c r="AE368" s="88">
        <v>9225</v>
      </c>
      <c r="AF368" s="44">
        <f t="shared" si="33"/>
        <v>0</v>
      </c>
      <c r="AG368" s="44" t="str">
        <f t="shared" si="34"/>
        <v>体静脉肺动脉吻合费-全腔吻合（加收）</v>
      </c>
      <c r="AH368" s="44">
        <f t="shared" si="35"/>
        <v>4835</v>
      </c>
      <c r="AI368" s="44">
        <f t="shared" si="36"/>
        <v>4370</v>
      </c>
      <c r="AJ368" s="44">
        <f t="shared" si="37"/>
        <v>3720</v>
      </c>
    </row>
    <row r="369" s="44" customFormat="1" ht="70" customHeight="1" spans="1:36">
      <c r="A369" s="55">
        <v>116</v>
      </c>
      <c r="B369" s="55" t="s">
        <v>1792</v>
      </c>
      <c r="C369" s="55" t="s">
        <v>1793</v>
      </c>
      <c r="D369" s="55" t="s">
        <v>350</v>
      </c>
      <c r="E369" s="59" t="s">
        <v>1794</v>
      </c>
      <c r="F369" s="59" t="s">
        <v>1795</v>
      </c>
      <c r="G369" s="55" t="s">
        <v>54</v>
      </c>
      <c r="H369" s="59" t="s">
        <v>1796</v>
      </c>
      <c r="I369" s="30">
        <v>4950</v>
      </c>
      <c r="J369" s="30">
        <v>4455</v>
      </c>
      <c r="K369" s="64">
        <v>3880</v>
      </c>
      <c r="L369" s="64">
        <v>3490</v>
      </c>
      <c r="M369" s="64">
        <v>2970</v>
      </c>
      <c r="N369" s="68">
        <v>4500</v>
      </c>
      <c r="O369" s="68">
        <v>4050</v>
      </c>
      <c r="P369" s="68">
        <v>3450</v>
      </c>
      <c r="Q369" s="112" t="s">
        <v>41</v>
      </c>
      <c r="R369" s="112" t="s">
        <v>40</v>
      </c>
      <c r="S369" s="113" t="s">
        <v>40</v>
      </c>
      <c r="T369" s="64" t="s">
        <v>698</v>
      </c>
      <c r="U369" s="115" t="s">
        <v>1797</v>
      </c>
      <c r="V369" s="76" t="s">
        <v>1798</v>
      </c>
      <c r="W369" s="76">
        <v>330802020</v>
      </c>
      <c r="X369" s="77" t="s">
        <v>1799</v>
      </c>
      <c r="Y369" s="77"/>
      <c r="Z369" s="77"/>
      <c r="AA369" s="77" t="s">
        <v>54</v>
      </c>
      <c r="AB369" s="77" t="s">
        <v>40</v>
      </c>
      <c r="AC369" s="88">
        <v>3880</v>
      </c>
      <c r="AD369" s="88">
        <v>3490</v>
      </c>
      <c r="AE369" s="88">
        <v>2970</v>
      </c>
      <c r="AF369" s="44">
        <f t="shared" si="33"/>
        <v>0</v>
      </c>
      <c r="AG369" s="44" t="str">
        <f t="shared" si="34"/>
        <v>部分型肺静脉畸形矫治费</v>
      </c>
      <c r="AH369" s="44">
        <f t="shared" si="35"/>
        <v>4500</v>
      </c>
      <c r="AI369" s="44">
        <f t="shared" si="36"/>
        <v>4050</v>
      </c>
      <c r="AJ369" s="44">
        <f t="shared" si="37"/>
        <v>3450</v>
      </c>
    </row>
    <row r="370" s="44" customFormat="1" ht="38" customHeight="1" spans="1:36">
      <c r="A370" s="55" t="s">
        <v>55</v>
      </c>
      <c r="B370" s="55" t="s">
        <v>1800</v>
      </c>
      <c r="C370" s="55" t="s">
        <v>1801</v>
      </c>
      <c r="D370" s="55" t="s">
        <v>350</v>
      </c>
      <c r="E370" s="59" t="s">
        <v>40</v>
      </c>
      <c r="F370" s="59" t="s">
        <v>40</v>
      </c>
      <c r="G370" s="55" t="s">
        <v>54</v>
      </c>
      <c r="H370" s="59" t="s">
        <v>40</v>
      </c>
      <c r="I370" s="30">
        <v>1485</v>
      </c>
      <c r="J370" s="30">
        <v>1337</v>
      </c>
      <c r="K370" s="64"/>
      <c r="L370" s="64"/>
      <c r="M370" s="64"/>
      <c r="N370" s="69">
        <v>1350</v>
      </c>
      <c r="O370" s="69">
        <v>1215</v>
      </c>
      <c r="P370" s="69">
        <v>1035</v>
      </c>
      <c r="Q370" s="111" t="s">
        <v>41</v>
      </c>
      <c r="R370" s="111" t="s">
        <v>40</v>
      </c>
      <c r="S370" s="114" t="s">
        <v>40</v>
      </c>
      <c r="T370" s="64"/>
      <c r="U370" s="110" t="s">
        <v>305</v>
      </c>
      <c r="V370" s="76" t="s">
        <v>1802</v>
      </c>
      <c r="W370" s="76">
        <v>33080202001</v>
      </c>
      <c r="X370" s="77" t="s">
        <v>1803</v>
      </c>
      <c r="Y370" s="77"/>
      <c r="Z370" s="77"/>
      <c r="AA370" s="77" t="s">
        <v>54</v>
      </c>
      <c r="AB370" s="77" t="s">
        <v>40</v>
      </c>
      <c r="AC370" s="88">
        <v>5045</v>
      </c>
      <c r="AD370" s="88">
        <v>4535</v>
      </c>
      <c r="AE370" s="88">
        <v>3855</v>
      </c>
      <c r="AF370" s="44">
        <f t="shared" si="33"/>
        <v>12</v>
      </c>
      <c r="AG370" s="44" t="str">
        <f t="shared" si="34"/>
        <v>部分型肺静脉畸形矫治费</v>
      </c>
      <c r="AH370" s="44">
        <f t="shared" si="35"/>
        <v>5850</v>
      </c>
      <c r="AI370" s="44">
        <f t="shared" si="36"/>
        <v>5265</v>
      </c>
      <c r="AJ370" s="44">
        <f t="shared" si="37"/>
        <v>4485</v>
      </c>
    </row>
    <row r="371" s="44" customFormat="1" ht="38" customHeight="1" spans="1:36">
      <c r="A371" s="111" t="s">
        <v>55</v>
      </c>
      <c r="B371" s="55" t="s">
        <v>1804</v>
      </c>
      <c r="C371" s="56" t="s">
        <v>1805</v>
      </c>
      <c r="D371" s="55" t="s">
        <v>350</v>
      </c>
      <c r="E371" s="59" t="s">
        <v>40</v>
      </c>
      <c r="F371" s="59" t="s">
        <v>40</v>
      </c>
      <c r="G371" s="55" t="s">
        <v>54</v>
      </c>
      <c r="H371" s="59"/>
      <c r="I371" s="30">
        <v>810</v>
      </c>
      <c r="J371" s="30">
        <v>729</v>
      </c>
      <c r="K371" s="64"/>
      <c r="L371" s="64">
        <v>500</v>
      </c>
      <c r="M371" s="64"/>
      <c r="N371" s="66">
        <v>735</v>
      </c>
      <c r="O371" s="66">
        <v>665</v>
      </c>
      <c r="P371" s="66">
        <v>565</v>
      </c>
      <c r="Q371" s="55" t="s">
        <v>41</v>
      </c>
      <c r="R371" s="55" t="s">
        <v>40</v>
      </c>
      <c r="S371" s="74" t="s">
        <v>40</v>
      </c>
      <c r="T371" s="64"/>
      <c r="U371" s="59" t="s">
        <v>1468</v>
      </c>
      <c r="V371" s="76" t="s">
        <v>1806</v>
      </c>
      <c r="W371" s="76">
        <v>330802022</v>
      </c>
      <c r="X371" s="77" t="s">
        <v>1807</v>
      </c>
      <c r="Y371" s="77"/>
      <c r="Z371" s="77"/>
      <c r="AA371" s="77" t="s">
        <v>54</v>
      </c>
      <c r="AB371" s="77" t="s">
        <v>40</v>
      </c>
      <c r="AC371" s="88">
        <v>5060</v>
      </c>
      <c r="AD371" s="88">
        <v>4550</v>
      </c>
      <c r="AE371" s="88">
        <v>3870</v>
      </c>
      <c r="AF371" s="44">
        <f t="shared" si="33"/>
        <v>0</v>
      </c>
      <c r="AG371" s="44" t="str">
        <f t="shared" si="34"/>
        <v>部分型肺静脉畸形矫治费-上腔静脉-右心房连接重建（加收）</v>
      </c>
      <c r="AH371" s="44">
        <f t="shared" si="35"/>
        <v>735</v>
      </c>
      <c r="AI371" s="44">
        <f t="shared" si="36"/>
        <v>665</v>
      </c>
      <c r="AJ371" s="44">
        <f t="shared" si="37"/>
        <v>565</v>
      </c>
    </row>
    <row r="372" s="44" customFormat="1" ht="38" customHeight="1" spans="1:36">
      <c r="A372" s="111"/>
      <c r="B372" s="55"/>
      <c r="C372" s="56" t="s">
        <v>1805</v>
      </c>
      <c r="D372" s="55"/>
      <c r="E372" s="59"/>
      <c r="F372" s="59"/>
      <c r="G372" s="55"/>
      <c r="H372" s="59"/>
      <c r="I372" s="37"/>
      <c r="J372" s="37"/>
      <c r="K372" s="64"/>
      <c r="L372" s="64"/>
      <c r="M372" s="64"/>
      <c r="N372" s="66">
        <v>735</v>
      </c>
      <c r="O372" s="66">
        <v>665</v>
      </c>
      <c r="P372" s="66">
        <v>565</v>
      </c>
      <c r="Q372" s="55"/>
      <c r="R372" s="55"/>
      <c r="S372" s="74"/>
      <c r="T372" s="64"/>
      <c r="U372" s="59"/>
      <c r="V372" s="76" t="s">
        <v>1808</v>
      </c>
      <c r="W372" s="76">
        <v>33080202201</v>
      </c>
      <c r="X372" s="77" t="s">
        <v>1809</v>
      </c>
      <c r="Y372" s="77"/>
      <c r="Z372" s="77"/>
      <c r="AA372" s="77" t="s">
        <v>54</v>
      </c>
      <c r="AB372" s="77" t="s">
        <v>40</v>
      </c>
      <c r="AC372" s="88">
        <v>6580</v>
      </c>
      <c r="AD372" s="88">
        <v>5915</v>
      </c>
      <c r="AE372" s="88">
        <v>5030</v>
      </c>
      <c r="AF372" s="44">
        <f t="shared" si="33"/>
        <v>0</v>
      </c>
      <c r="AG372" s="44" t="str">
        <f t="shared" si="34"/>
        <v>部分型肺静脉畸形矫治费-上腔静脉-右心房连接重建（加收）</v>
      </c>
      <c r="AH372" s="44">
        <f t="shared" si="35"/>
        <v>735</v>
      </c>
      <c r="AI372" s="44">
        <f t="shared" si="36"/>
        <v>665</v>
      </c>
      <c r="AJ372" s="44">
        <f t="shared" si="37"/>
        <v>565</v>
      </c>
    </row>
    <row r="373" s="44" customFormat="1" ht="55" customHeight="1" spans="1:36">
      <c r="A373" s="55">
        <v>117</v>
      </c>
      <c r="B373" s="55" t="s">
        <v>1810</v>
      </c>
      <c r="C373" s="55" t="s">
        <v>1811</v>
      </c>
      <c r="D373" s="55" t="s">
        <v>350</v>
      </c>
      <c r="E373" s="59" t="s">
        <v>1812</v>
      </c>
      <c r="F373" s="59" t="s">
        <v>1813</v>
      </c>
      <c r="G373" s="55" t="s">
        <v>54</v>
      </c>
      <c r="H373" s="59" t="s">
        <v>40</v>
      </c>
      <c r="I373" s="30">
        <v>8400</v>
      </c>
      <c r="J373" s="30">
        <v>7560</v>
      </c>
      <c r="K373" s="64">
        <v>7220</v>
      </c>
      <c r="L373" s="64">
        <v>6500</v>
      </c>
      <c r="M373" s="64">
        <v>5530</v>
      </c>
      <c r="N373" s="68">
        <v>7500</v>
      </c>
      <c r="O373" s="68">
        <v>6750</v>
      </c>
      <c r="P373" s="68">
        <v>5750</v>
      </c>
      <c r="Q373" s="55" t="s">
        <v>41</v>
      </c>
      <c r="R373" s="55" t="s">
        <v>40</v>
      </c>
      <c r="S373" s="74" t="s">
        <v>40</v>
      </c>
      <c r="T373" s="64" t="s">
        <v>994</v>
      </c>
      <c r="U373" s="115" t="s">
        <v>1535</v>
      </c>
      <c r="V373" s="76" t="s">
        <v>1814</v>
      </c>
      <c r="W373" s="76">
        <v>330802021</v>
      </c>
      <c r="X373" s="77" t="s">
        <v>1815</v>
      </c>
      <c r="Y373" s="77" t="s">
        <v>1816</v>
      </c>
      <c r="Z373" s="77"/>
      <c r="AA373" s="77" t="s">
        <v>54</v>
      </c>
      <c r="AB373" s="77" t="s">
        <v>40</v>
      </c>
      <c r="AC373" s="88">
        <v>7220</v>
      </c>
      <c r="AD373" s="88">
        <v>6500</v>
      </c>
      <c r="AE373" s="88">
        <v>5530</v>
      </c>
      <c r="AF373" s="44">
        <f t="shared" si="33"/>
        <v>0</v>
      </c>
      <c r="AG373" s="44" t="str">
        <f t="shared" si="34"/>
        <v>完全型肺静脉畸形矫治费</v>
      </c>
      <c r="AH373" s="44">
        <f t="shared" si="35"/>
        <v>7500</v>
      </c>
      <c r="AI373" s="44">
        <f t="shared" si="36"/>
        <v>6750</v>
      </c>
      <c r="AJ373" s="44">
        <f t="shared" si="37"/>
        <v>5750</v>
      </c>
    </row>
    <row r="374" s="44" customFormat="1" ht="38" customHeight="1" spans="1:36">
      <c r="A374" s="55" t="s">
        <v>55</v>
      </c>
      <c r="B374" s="55" t="s">
        <v>1817</v>
      </c>
      <c r="C374" s="55" t="s">
        <v>1818</v>
      </c>
      <c r="D374" s="55" t="s">
        <v>350</v>
      </c>
      <c r="E374" s="59" t="s">
        <v>40</v>
      </c>
      <c r="F374" s="59" t="s">
        <v>40</v>
      </c>
      <c r="G374" s="55" t="s">
        <v>54</v>
      </c>
      <c r="H374" s="59" t="s">
        <v>40</v>
      </c>
      <c r="I374" s="30">
        <v>2520</v>
      </c>
      <c r="J374" s="30">
        <v>2268</v>
      </c>
      <c r="K374" s="64"/>
      <c r="L374" s="64"/>
      <c r="M374" s="64"/>
      <c r="N374" s="35">
        <v>2250</v>
      </c>
      <c r="O374" s="35">
        <v>2025</v>
      </c>
      <c r="P374" s="35">
        <v>1725</v>
      </c>
      <c r="Q374" s="55" t="s">
        <v>41</v>
      </c>
      <c r="R374" s="55" t="s">
        <v>40</v>
      </c>
      <c r="S374" s="74" t="s">
        <v>40</v>
      </c>
      <c r="T374" s="64"/>
      <c r="U374" s="59" t="s">
        <v>305</v>
      </c>
      <c r="V374" s="76" t="s">
        <v>1819</v>
      </c>
      <c r="W374" s="76">
        <v>33080202101</v>
      </c>
      <c r="X374" s="77" t="s">
        <v>1820</v>
      </c>
      <c r="Y374" s="77"/>
      <c r="Z374" s="77"/>
      <c r="AA374" s="77" t="s">
        <v>54</v>
      </c>
      <c r="AB374" s="77" t="s">
        <v>40</v>
      </c>
      <c r="AC374" s="88">
        <v>9385</v>
      </c>
      <c r="AD374" s="88">
        <v>8450</v>
      </c>
      <c r="AE374" s="88">
        <v>7185</v>
      </c>
      <c r="AF374" s="44">
        <f t="shared" si="33"/>
        <v>12</v>
      </c>
      <c r="AG374" s="44" t="str">
        <f t="shared" si="34"/>
        <v>完全型肺静脉畸形矫治费</v>
      </c>
      <c r="AH374" s="44">
        <f t="shared" si="35"/>
        <v>9750</v>
      </c>
      <c r="AI374" s="44">
        <f t="shared" si="36"/>
        <v>8775</v>
      </c>
      <c r="AJ374" s="44">
        <f t="shared" si="37"/>
        <v>7475</v>
      </c>
    </row>
    <row r="375" s="44" customFormat="1" ht="38" customHeight="1" spans="1:36">
      <c r="A375" s="55">
        <v>118</v>
      </c>
      <c r="B375" s="55" t="s">
        <v>1821</v>
      </c>
      <c r="C375" s="55" t="s">
        <v>1822</v>
      </c>
      <c r="D375" s="55" t="s">
        <v>350</v>
      </c>
      <c r="E375" s="59" t="s">
        <v>1823</v>
      </c>
      <c r="F375" s="59" t="s">
        <v>1824</v>
      </c>
      <c r="G375" s="55" t="s">
        <v>54</v>
      </c>
      <c r="H375" s="59" t="s">
        <v>40</v>
      </c>
      <c r="I375" s="30">
        <v>2700</v>
      </c>
      <c r="J375" s="30">
        <v>2430</v>
      </c>
      <c r="K375" s="64">
        <v>2500</v>
      </c>
      <c r="L375" s="64">
        <v>2400</v>
      </c>
      <c r="M375" s="64">
        <v>2040</v>
      </c>
      <c r="N375" s="35">
        <v>2500</v>
      </c>
      <c r="O375" s="35">
        <v>2400</v>
      </c>
      <c r="P375" s="35">
        <v>2040</v>
      </c>
      <c r="Q375" s="55" t="s">
        <v>41</v>
      </c>
      <c r="R375" s="55" t="s">
        <v>40</v>
      </c>
      <c r="S375" s="74" t="s">
        <v>40</v>
      </c>
      <c r="T375" s="64" t="s">
        <v>183</v>
      </c>
      <c r="U375" s="59" t="s">
        <v>183</v>
      </c>
      <c r="V375" s="76" t="s">
        <v>1825</v>
      </c>
      <c r="W375" s="76">
        <v>330802009</v>
      </c>
      <c r="X375" s="77" t="s">
        <v>1826</v>
      </c>
      <c r="Y375" s="77"/>
      <c r="Z375" s="77"/>
      <c r="AA375" s="77" t="s">
        <v>54</v>
      </c>
      <c r="AB375" s="77" t="s">
        <v>40</v>
      </c>
      <c r="AC375" s="88">
        <v>2500</v>
      </c>
      <c r="AD375" s="88">
        <v>2400</v>
      </c>
      <c r="AE375" s="88">
        <v>2040</v>
      </c>
      <c r="AF375" s="44">
        <f t="shared" si="33"/>
        <v>0</v>
      </c>
      <c r="AG375" s="44" t="str">
        <f t="shared" si="34"/>
        <v>肺动静脉瘘修补费</v>
      </c>
      <c r="AH375" s="44">
        <f t="shared" si="35"/>
        <v>2500</v>
      </c>
      <c r="AI375" s="44">
        <f t="shared" si="36"/>
        <v>2400</v>
      </c>
      <c r="AJ375" s="44">
        <f t="shared" si="37"/>
        <v>2040</v>
      </c>
    </row>
    <row r="376" s="44" customFormat="1" ht="38" customHeight="1" spans="1:36">
      <c r="A376" s="55" t="s">
        <v>55</v>
      </c>
      <c r="B376" s="55" t="s">
        <v>1827</v>
      </c>
      <c r="C376" s="55" t="s">
        <v>1828</v>
      </c>
      <c r="D376" s="55" t="s">
        <v>350</v>
      </c>
      <c r="E376" s="59" t="s">
        <v>40</v>
      </c>
      <c r="F376" s="59" t="s">
        <v>40</v>
      </c>
      <c r="G376" s="55" t="s">
        <v>54</v>
      </c>
      <c r="H376" s="59" t="s">
        <v>40</v>
      </c>
      <c r="I376" s="30">
        <v>810</v>
      </c>
      <c r="J376" s="30">
        <v>729</v>
      </c>
      <c r="K376" s="64"/>
      <c r="L376" s="64"/>
      <c r="M376" s="64"/>
      <c r="N376" s="35">
        <v>750</v>
      </c>
      <c r="O376" s="35">
        <v>720</v>
      </c>
      <c r="P376" s="35">
        <v>610</v>
      </c>
      <c r="Q376" s="55" t="s">
        <v>41</v>
      </c>
      <c r="R376" s="55" t="s">
        <v>40</v>
      </c>
      <c r="S376" s="74" t="s">
        <v>40</v>
      </c>
      <c r="T376" s="64"/>
      <c r="U376" s="59" t="s">
        <v>305</v>
      </c>
      <c r="V376" s="76" t="s">
        <v>1829</v>
      </c>
      <c r="W376" s="76">
        <v>33080200901</v>
      </c>
      <c r="X376" s="77" t="s">
        <v>1830</v>
      </c>
      <c r="Y376" s="77"/>
      <c r="Z376" s="77"/>
      <c r="AA376" s="77" t="s">
        <v>54</v>
      </c>
      <c r="AB376" s="77" t="s">
        <v>40</v>
      </c>
      <c r="AC376" s="88">
        <v>3250</v>
      </c>
      <c r="AD376" s="88">
        <v>3120</v>
      </c>
      <c r="AE376" s="88">
        <v>2650</v>
      </c>
      <c r="AF376" s="44">
        <f t="shared" si="33"/>
        <v>9</v>
      </c>
      <c r="AG376" s="44" t="str">
        <f t="shared" si="34"/>
        <v>肺动静脉瘘修补费</v>
      </c>
      <c r="AH376" s="44">
        <f t="shared" si="35"/>
        <v>3250</v>
      </c>
      <c r="AI376" s="44">
        <f t="shared" si="36"/>
        <v>3120</v>
      </c>
      <c r="AJ376" s="44">
        <f t="shared" si="37"/>
        <v>2650</v>
      </c>
    </row>
    <row r="377" s="44" customFormat="1" ht="38" customHeight="1" spans="1:36">
      <c r="A377" s="55">
        <v>120</v>
      </c>
      <c r="B377" s="55" t="s">
        <v>1836</v>
      </c>
      <c r="C377" s="55" t="s">
        <v>1837</v>
      </c>
      <c r="D377" s="55" t="s">
        <v>350</v>
      </c>
      <c r="E377" s="59" t="s">
        <v>1838</v>
      </c>
      <c r="F377" s="59" t="s">
        <v>1839</v>
      </c>
      <c r="G377" s="55" t="s">
        <v>54</v>
      </c>
      <c r="H377" s="59" t="s">
        <v>1840</v>
      </c>
      <c r="I377" s="30">
        <v>6260</v>
      </c>
      <c r="J377" s="30">
        <v>5634</v>
      </c>
      <c r="K377" s="64">
        <v>5400</v>
      </c>
      <c r="L377" s="64">
        <v>4860</v>
      </c>
      <c r="M377" s="64">
        <v>4130</v>
      </c>
      <c r="N377" s="68">
        <v>5600</v>
      </c>
      <c r="O377" s="68">
        <v>5050</v>
      </c>
      <c r="P377" s="68">
        <v>4300</v>
      </c>
      <c r="Q377" s="55" t="s">
        <v>41</v>
      </c>
      <c r="R377" s="55" t="s">
        <v>40</v>
      </c>
      <c r="S377" s="74" t="s">
        <v>40</v>
      </c>
      <c r="T377" s="64" t="s">
        <v>994</v>
      </c>
      <c r="U377" s="115" t="s">
        <v>1535</v>
      </c>
      <c r="V377" s="76" t="s">
        <v>1841</v>
      </c>
      <c r="W377" s="76" t="s">
        <v>1842</v>
      </c>
      <c r="X377" s="77" t="s">
        <v>1843</v>
      </c>
      <c r="Y377" s="77" t="s">
        <v>1844</v>
      </c>
      <c r="Z377" s="77"/>
      <c r="AA377" s="77" t="s">
        <v>54</v>
      </c>
      <c r="AB377" s="77" t="s">
        <v>40</v>
      </c>
      <c r="AC377" s="88">
        <v>5400</v>
      </c>
      <c r="AD377" s="88">
        <v>4860</v>
      </c>
      <c r="AE377" s="88">
        <v>4130</v>
      </c>
      <c r="AF377" s="44">
        <f t="shared" si="33"/>
        <v>0</v>
      </c>
      <c r="AG377" s="44" t="str">
        <f t="shared" si="34"/>
        <v>三尖瓣下移畸形矫治费</v>
      </c>
      <c r="AH377" s="44">
        <f t="shared" si="35"/>
        <v>5600</v>
      </c>
      <c r="AI377" s="44">
        <f t="shared" si="36"/>
        <v>5050</v>
      </c>
      <c r="AJ377" s="44">
        <f t="shared" si="37"/>
        <v>4300</v>
      </c>
    </row>
    <row r="378" s="44" customFormat="1" ht="38" customHeight="1" spans="1:36">
      <c r="A378" s="55" t="s">
        <v>55</v>
      </c>
      <c r="B378" s="55" t="s">
        <v>1845</v>
      </c>
      <c r="C378" s="55" t="s">
        <v>1846</v>
      </c>
      <c r="D378" s="55" t="s">
        <v>350</v>
      </c>
      <c r="E378" s="59" t="s">
        <v>40</v>
      </c>
      <c r="F378" s="59" t="s">
        <v>40</v>
      </c>
      <c r="G378" s="55" t="s">
        <v>54</v>
      </c>
      <c r="H378" s="59" t="s">
        <v>40</v>
      </c>
      <c r="I378" s="30">
        <v>1878</v>
      </c>
      <c r="J378" s="30">
        <v>1690</v>
      </c>
      <c r="K378" s="64"/>
      <c r="L378" s="64"/>
      <c r="M378" s="64"/>
      <c r="N378" s="35">
        <v>1680</v>
      </c>
      <c r="O378" s="35">
        <v>1515</v>
      </c>
      <c r="P378" s="35">
        <v>1290</v>
      </c>
      <c r="Q378" s="55" t="s">
        <v>41</v>
      </c>
      <c r="R378" s="55" t="s">
        <v>40</v>
      </c>
      <c r="S378" s="74" t="s">
        <v>40</v>
      </c>
      <c r="T378" s="64"/>
      <c r="U378" s="59" t="s">
        <v>305</v>
      </c>
      <c r="V378" s="76" t="s">
        <v>1847</v>
      </c>
      <c r="W378" s="76">
        <v>33080100601</v>
      </c>
      <c r="X378" s="77" t="s">
        <v>1848</v>
      </c>
      <c r="Y378" s="77"/>
      <c r="Z378" s="77"/>
      <c r="AA378" s="77" t="s">
        <v>54</v>
      </c>
      <c r="AB378" s="77" t="s">
        <v>40</v>
      </c>
      <c r="AC378" s="88">
        <v>7020</v>
      </c>
      <c r="AD378" s="88">
        <v>6320</v>
      </c>
      <c r="AE378" s="88">
        <v>5370</v>
      </c>
      <c r="AF378" s="44">
        <f t="shared" si="33"/>
        <v>11</v>
      </c>
      <c r="AG378" s="44" t="str">
        <f t="shared" si="34"/>
        <v>三尖瓣下移畸形矫治费</v>
      </c>
      <c r="AH378" s="44">
        <f t="shared" si="35"/>
        <v>7280</v>
      </c>
      <c r="AI378" s="44">
        <f t="shared" si="36"/>
        <v>6565</v>
      </c>
      <c r="AJ378" s="44">
        <f t="shared" si="37"/>
        <v>5590</v>
      </c>
    </row>
    <row r="379" s="44" customFormat="1" ht="38" customHeight="1" spans="1:36">
      <c r="A379" s="55">
        <v>121</v>
      </c>
      <c r="B379" s="55" t="s">
        <v>1849</v>
      </c>
      <c r="C379" s="55" t="s">
        <v>1850</v>
      </c>
      <c r="D379" s="55" t="s">
        <v>350</v>
      </c>
      <c r="E379" s="59" t="s">
        <v>1851</v>
      </c>
      <c r="F379" s="59" t="s">
        <v>1852</v>
      </c>
      <c r="G379" s="55" t="s">
        <v>54</v>
      </c>
      <c r="H379" s="59" t="s">
        <v>40</v>
      </c>
      <c r="I379" s="30">
        <v>5760</v>
      </c>
      <c r="J379" s="30">
        <v>5184</v>
      </c>
      <c r="K379" s="64">
        <v>5060</v>
      </c>
      <c r="L379" s="64">
        <v>4550</v>
      </c>
      <c r="M379" s="64">
        <v>3870</v>
      </c>
      <c r="N379" s="68">
        <v>5200</v>
      </c>
      <c r="O379" s="68">
        <v>4700</v>
      </c>
      <c r="P379" s="68">
        <v>4000</v>
      </c>
      <c r="Q379" s="55" t="s">
        <v>41</v>
      </c>
      <c r="R379" s="55" t="s">
        <v>40</v>
      </c>
      <c r="S379" s="74" t="s">
        <v>40</v>
      </c>
      <c r="T379" s="64" t="s">
        <v>994</v>
      </c>
      <c r="U379" s="115" t="s">
        <v>1535</v>
      </c>
      <c r="V379" s="76" t="s">
        <v>1853</v>
      </c>
      <c r="W379" s="76">
        <v>330801015</v>
      </c>
      <c r="X379" s="77" t="s">
        <v>1854</v>
      </c>
      <c r="Y379" s="77"/>
      <c r="Z379" s="77"/>
      <c r="AA379" s="77" t="s">
        <v>54</v>
      </c>
      <c r="AB379" s="77" t="s">
        <v>40</v>
      </c>
      <c r="AC379" s="88">
        <v>5060</v>
      </c>
      <c r="AD379" s="88">
        <v>4550</v>
      </c>
      <c r="AE379" s="88">
        <v>3870</v>
      </c>
      <c r="AF379" s="44">
        <f t="shared" si="33"/>
        <v>0</v>
      </c>
      <c r="AG379" s="44" t="str">
        <f t="shared" si="34"/>
        <v>瓣周漏修补费</v>
      </c>
      <c r="AH379" s="44">
        <f t="shared" si="35"/>
        <v>5200</v>
      </c>
      <c r="AI379" s="44">
        <f t="shared" si="36"/>
        <v>4700</v>
      </c>
      <c r="AJ379" s="44">
        <f t="shared" si="37"/>
        <v>4000</v>
      </c>
    </row>
    <row r="380" s="44" customFormat="1" ht="38" customHeight="1" spans="1:36">
      <c r="A380" s="55" t="s">
        <v>55</v>
      </c>
      <c r="B380" s="55" t="s">
        <v>1855</v>
      </c>
      <c r="C380" s="55" t="s">
        <v>1856</v>
      </c>
      <c r="D380" s="55" t="s">
        <v>350</v>
      </c>
      <c r="E380" s="59" t="s">
        <v>40</v>
      </c>
      <c r="F380" s="59" t="s">
        <v>40</v>
      </c>
      <c r="G380" s="55" t="s">
        <v>54</v>
      </c>
      <c r="H380" s="59" t="s">
        <v>40</v>
      </c>
      <c r="I380" s="30">
        <v>1728</v>
      </c>
      <c r="J380" s="30">
        <v>1555</v>
      </c>
      <c r="K380" s="64"/>
      <c r="L380" s="64"/>
      <c r="M380" s="64"/>
      <c r="N380" s="35">
        <v>1560</v>
      </c>
      <c r="O380" s="35">
        <v>1410</v>
      </c>
      <c r="P380" s="35">
        <v>1200</v>
      </c>
      <c r="Q380" s="35" t="e">
        <f t="shared" ref="Q380:S380" si="44">Q379*0.3</f>
        <v>#VALUE!</v>
      </c>
      <c r="R380" s="35" t="e">
        <f t="shared" si="44"/>
        <v>#VALUE!</v>
      </c>
      <c r="S380" s="35" t="e">
        <f t="shared" si="44"/>
        <v>#VALUE!</v>
      </c>
      <c r="T380" s="64"/>
      <c r="U380" s="59" t="s">
        <v>305</v>
      </c>
      <c r="V380" s="76" t="s">
        <v>1857</v>
      </c>
      <c r="W380" s="76">
        <v>33080101501</v>
      </c>
      <c r="X380" s="77" t="s">
        <v>1858</v>
      </c>
      <c r="Y380" s="77"/>
      <c r="Z380" s="77"/>
      <c r="AA380" s="77" t="s">
        <v>54</v>
      </c>
      <c r="AB380" s="77" t="s">
        <v>40</v>
      </c>
      <c r="AC380" s="88">
        <v>6580</v>
      </c>
      <c r="AD380" s="88">
        <v>5915</v>
      </c>
      <c r="AE380" s="88">
        <v>5030</v>
      </c>
      <c r="AF380" s="44">
        <f t="shared" si="33"/>
        <v>7</v>
      </c>
      <c r="AG380" s="44" t="str">
        <f t="shared" si="34"/>
        <v>瓣周漏修补费</v>
      </c>
      <c r="AH380" s="44">
        <f t="shared" si="35"/>
        <v>6760</v>
      </c>
      <c r="AI380" s="44">
        <f t="shared" si="36"/>
        <v>6110</v>
      </c>
      <c r="AJ380" s="44">
        <f t="shared" si="37"/>
        <v>5200</v>
      </c>
    </row>
  </sheetData>
  <autoFilter ref="A3:IO380">
    <extLst/>
  </autoFilter>
  <mergeCells count="1754">
    <mergeCell ref="A1:AE1"/>
    <mergeCell ref="A2:U2"/>
    <mergeCell ref="V2:AE2"/>
    <mergeCell ref="A4:A7"/>
    <mergeCell ref="A8:A9"/>
    <mergeCell ref="A10:A15"/>
    <mergeCell ref="A17:A18"/>
    <mergeCell ref="A21:A22"/>
    <mergeCell ref="A23:A25"/>
    <mergeCell ref="A26:A27"/>
    <mergeCell ref="A32:A33"/>
    <mergeCell ref="A34:A35"/>
    <mergeCell ref="A36:A39"/>
    <mergeCell ref="A40:A44"/>
    <mergeCell ref="A45:A51"/>
    <mergeCell ref="A53:A55"/>
    <mergeCell ref="A56:A57"/>
    <mergeCell ref="A59:A61"/>
    <mergeCell ref="A62:A67"/>
    <mergeCell ref="A68:A69"/>
    <mergeCell ref="A70:A74"/>
    <mergeCell ref="A75:A77"/>
    <mergeCell ref="A78:A79"/>
    <mergeCell ref="A80:A81"/>
    <mergeCell ref="A82:A87"/>
    <mergeCell ref="A88:A92"/>
    <mergeCell ref="A93:A94"/>
    <mergeCell ref="A96:A98"/>
    <mergeCell ref="A99:A100"/>
    <mergeCell ref="A101:A104"/>
    <mergeCell ref="A108:A109"/>
    <mergeCell ref="A110:A111"/>
    <mergeCell ref="A114:A115"/>
    <mergeCell ref="A118:A119"/>
    <mergeCell ref="A120:A121"/>
    <mergeCell ref="A122:A123"/>
    <mergeCell ref="A124:A125"/>
    <mergeCell ref="A127:A129"/>
    <mergeCell ref="A130:A131"/>
    <mergeCell ref="A132:A133"/>
    <mergeCell ref="A141:A142"/>
    <mergeCell ref="A144:A145"/>
    <mergeCell ref="A146:A147"/>
    <mergeCell ref="A148:A149"/>
    <mergeCell ref="A150:A151"/>
    <mergeCell ref="A155:A156"/>
    <mergeCell ref="A157:A158"/>
    <mergeCell ref="A159:A160"/>
    <mergeCell ref="A161:A162"/>
    <mergeCell ref="A163:A164"/>
    <mergeCell ref="A165:A166"/>
    <mergeCell ref="A167:A168"/>
    <mergeCell ref="A169:A170"/>
    <mergeCell ref="A171:A172"/>
    <mergeCell ref="A173:A180"/>
    <mergeCell ref="A183:A184"/>
    <mergeCell ref="A185:A186"/>
    <mergeCell ref="A187:A188"/>
    <mergeCell ref="A189:A190"/>
    <mergeCell ref="A191:A192"/>
    <mergeCell ref="A195:A196"/>
    <mergeCell ref="A197:A198"/>
    <mergeCell ref="A199:A201"/>
    <mergeCell ref="A202:A204"/>
    <mergeCell ref="A205:A206"/>
    <mergeCell ref="A218:A219"/>
    <mergeCell ref="A220:A221"/>
    <mergeCell ref="A222:A223"/>
    <mergeCell ref="A224:A228"/>
    <mergeCell ref="A229:A233"/>
    <mergeCell ref="A234:A236"/>
    <mergeCell ref="A237:A238"/>
    <mergeCell ref="A239:A241"/>
    <mergeCell ref="A242:A244"/>
    <mergeCell ref="A245:A248"/>
    <mergeCell ref="A249:A252"/>
    <mergeCell ref="A255:A256"/>
    <mergeCell ref="A257:A258"/>
    <mergeCell ref="A259:A260"/>
    <mergeCell ref="A261:A262"/>
    <mergeCell ref="A263:A264"/>
    <mergeCell ref="A265:A266"/>
    <mergeCell ref="A271:A273"/>
    <mergeCell ref="A274:A276"/>
    <mergeCell ref="A277:A279"/>
    <mergeCell ref="A280:A282"/>
    <mergeCell ref="A285:A286"/>
    <mergeCell ref="A290:A293"/>
    <mergeCell ref="A295:A298"/>
    <mergeCell ref="A299:A300"/>
    <mergeCell ref="A301:A303"/>
    <mergeCell ref="A304:A306"/>
    <mergeCell ref="A309:A310"/>
    <mergeCell ref="A311:A312"/>
    <mergeCell ref="A313:A314"/>
    <mergeCell ref="A315:A316"/>
    <mergeCell ref="A325:A326"/>
    <mergeCell ref="A329:A330"/>
    <mergeCell ref="A331:A332"/>
    <mergeCell ref="A335:A336"/>
    <mergeCell ref="A337:A338"/>
    <mergeCell ref="A361:A362"/>
    <mergeCell ref="A363:A364"/>
    <mergeCell ref="A365:A366"/>
    <mergeCell ref="A367:A368"/>
    <mergeCell ref="A371:A372"/>
    <mergeCell ref="B4:B7"/>
    <mergeCell ref="B8:B9"/>
    <mergeCell ref="B10:B15"/>
    <mergeCell ref="B17:B18"/>
    <mergeCell ref="B21:B22"/>
    <mergeCell ref="B23:B25"/>
    <mergeCell ref="B26:B27"/>
    <mergeCell ref="B32:B33"/>
    <mergeCell ref="B34:B35"/>
    <mergeCell ref="B36:B39"/>
    <mergeCell ref="B40:B44"/>
    <mergeCell ref="B45:B51"/>
    <mergeCell ref="B53:B55"/>
    <mergeCell ref="B56:B57"/>
    <mergeCell ref="B59:B61"/>
    <mergeCell ref="B62:B67"/>
    <mergeCell ref="B68:B69"/>
    <mergeCell ref="B70:B74"/>
    <mergeCell ref="B75:B77"/>
    <mergeCell ref="B78:B79"/>
    <mergeCell ref="B80:B81"/>
    <mergeCell ref="B82:B87"/>
    <mergeCell ref="B88:B92"/>
    <mergeCell ref="B93:B94"/>
    <mergeCell ref="B96:B98"/>
    <mergeCell ref="B99:B100"/>
    <mergeCell ref="B101:B104"/>
    <mergeCell ref="B108:B109"/>
    <mergeCell ref="B110:B111"/>
    <mergeCell ref="B114:B115"/>
    <mergeCell ref="B118:B119"/>
    <mergeCell ref="B120:B121"/>
    <mergeCell ref="B122:B123"/>
    <mergeCell ref="B124:B125"/>
    <mergeCell ref="B127:B129"/>
    <mergeCell ref="B130:B131"/>
    <mergeCell ref="B132:B133"/>
    <mergeCell ref="B141:B142"/>
    <mergeCell ref="B144:B145"/>
    <mergeCell ref="B146:B147"/>
    <mergeCell ref="B148:B149"/>
    <mergeCell ref="B150:B151"/>
    <mergeCell ref="B155:B156"/>
    <mergeCell ref="B157:B158"/>
    <mergeCell ref="B159:B160"/>
    <mergeCell ref="B161:B162"/>
    <mergeCell ref="B163:B164"/>
    <mergeCell ref="B165:B166"/>
    <mergeCell ref="B167:B168"/>
    <mergeCell ref="B169:B170"/>
    <mergeCell ref="B171:B172"/>
    <mergeCell ref="B173:B180"/>
    <mergeCell ref="B183:B184"/>
    <mergeCell ref="B185:B186"/>
    <mergeCell ref="B187:B188"/>
    <mergeCell ref="B189:B190"/>
    <mergeCell ref="B191:B192"/>
    <mergeCell ref="B195:B196"/>
    <mergeCell ref="B197:B198"/>
    <mergeCell ref="B199:B201"/>
    <mergeCell ref="B202:B204"/>
    <mergeCell ref="B205:B206"/>
    <mergeCell ref="B218:B219"/>
    <mergeCell ref="B220:B221"/>
    <mergeCell ref="B222:B223"/>
    <mergeCell ref="B224:B228"/>
    <mergeCell ref="B229:B233"/>
    <mergeCell ref="B234:B236"/>
    <mergeCell ref="B237:B238"/>
    <mergeCell ref="B239:B241"/>
    <mergeCell ref="B242:B244"/>
    <mergeCell ref="B245:B248"/>
    <mergeCell ref="B249:B252"/>
    <mergeCell ref="B255:B256"/>
    <mergeCell ref="B257:B258"/>
    <mergeCell ref="B259:B260"/>
    <mergeCell ref="B261:B262"/>
    <mergeCell ref="B263:B264"/>
    <mergeCell ref="B265:B266"/>
    <mergeCell ref="B271:B273"/>
    <mergeCell ref="B274:B276"/>
    <mergeCell ref="B277:B279"/>
    <mergeCell ref="B280:B282"/>
    <mergeCell ref="B285:B286"/>
    <mergeCell ref="B290:B293"/>
    <mergeCell ref="B295:B298"/>
    <mergeCell ref="B299:B300"/>
    <mergeCell ref="B301:B303"/>
    <mergeCell ref="B304:B306"/>
    <mergeCell ref="B309:B310"/>
    <mergeCell ref="B311:B312"/>
    <mergeCell ref="B313:B314"/>
    <mergeCell ref="B315:B316"/>
    <mergeCell ref="B325:B326"/>
    <mergeCell ref="B329:B330"/>
    <mergeCell ref="B331:B332"/>
    <mergeCell ref="B335:B336"/>
    <mergeCell ref="B337:B338"/>
    <mergeCell ref="B361:B362"/>
    <mergeCell ref="B363:B364"/>
    <mergeCell ref="B365:B366"/>
    <mergeCell ref="B367:B368"/>
    <mergeCell ref="B371:B372"/>
    <mergeCell ref="D4:D7"/>
    <mergeCell ref="D8:D9"/>
    <mergeCell ref="D10:D15"/>
    <mergeCell ref="D17:D18"/>
    <mergeCell ref="D21:D22"/>
    <mergeCell ref="D23:D25"/>
    <mergeCell ref="D26:D27"/>
    <mergeCell ref="D32:D33"/>
    <mergeCell ref="D34:D35"/>
    <mergeCell ref="D36:D39"/>
    <mergeCell ref="D40:D44"/>
    <mergeCell ref="D45:D51"/>
    <mergeCell ref="D53:D55"/>
    <mergeCell ref="D56:D57"/>
    <mergeCell ref="D59:D61"/>
    <mergeCell ref="D62:D67"/>
    <mergeCell ref="D68:D69"/>
    <mergeCell ref="D70:D74"/>
    <mergeCell ref="D75:D77"/>
    <mergeCell ref="D78:D79"/>
    <mergeCell ref="D80:D81"/>
    <mergeCell ref="D82:D87"/>
    <mergeCell ref="D88:D92"/>
    <mergeCell ref="D93:D94"/>
    <mergeCell ref="D96:D98"/>
    <mergeCell ref="D99:D100"/>
    <mergeCell ref="D101:D104"/>
    <mergeCell ref="D108:D109"/>
    <mergeCell ref="D110:D111"/>
    <mergeCell ref="D114:D115"/>
    <mergeCell ref="D118:D119"/>
    <mergeCell ref="D120:D121"/>
    <mergeCell ref="D122:D123"/>
    <mergeCell ref="D124:D125"/>
    <mergeCell ref="D127:D129"/>
    <mergeCell ref="D130:D131"/>
    <mergeCell ref="D132:D133"/>
    <mergeCell ref="D141:D142"/>
    <mergeCell ref="D144:D145"/>
    <mergeCell ref="D146:D147"/>
    <mergeCell ref="D148:D149"/>
    <mergeCell ref="D150:D151"/>
    <mergeCell ref="D155:D156"/>
    <mergeCell ref="D157:D158"/>
    <mergeCell ref="D159:D160"/>
    <mergeCell ref="D161:D162"/>
    <mergeCell ref="D163:D164"/>
    <mergeCell ref="D165:D166"/>
    <mergeCell ref="D167:D168"/>
    <mergeCell ref="D169:D170"/>
    <mergeCell ref="D171:D172"/>
    <mergeCell ref="D173:D180"/>
    <mergeCell ref="D183:D184"/>
    <mergeCell ref="D185:D186"/>
    <mergeCell ref="D187:D188"/>
    <mergeCell ref="D189:D190"/>
    <mergeCell ref="D191:D192"/>
    <mergeCell ref="D195:D196"/>
    <mergeCell ref="D197:D198"/>
    <mergeCell ref="D199:D201"/>
    <mergeCell ref="D202:D204"/>
    <mergeCell ref="D205:D206"/>
    <mergeCell ref="D218:D219"/>
    <mergeCell ref="D220:D221"/>
    <mergeCell ref="D222:D223"/>
    <mergeCell ref="D224:D228"/>
    <mergeCell ref="D229:D233"/>
    <mergeCell ref="D234:D236"/>
    <mergeCell ref="D237:D238"/>
    <mergeCell ref="D239:D241"/>
    <mergeCell ref="D242:D244"/>
    <mergeCell ref="D245:D248"/>
    <mergeCell ref="D249:D252"/>
    <mergeCell ref="D255:D256"/>
    <mergeCell ref="D257:D258"/>
    <mergeCell ref="D259:D260"/>
    <mergeCell ref="D261:D262"/>
    <mergeCell ref="D263:D264"/>
    <mergeCell ref="D265:D266"/>
    <mergeCell ref="D271:D273"/>
    <mergeCell ref="D274:D276"/>
    <mergeCell ref="D277:D279"/>
    <mergeCell ref="D280:D282"/>
    <mergeCell ref="D285:D286"/>
    <mergeCell ref="D290:D293"/>
    <mergeCell ref="D295:D298"/>
    <mergeCell ref="D299:D300"/>
    <mergeCell ref="D301:D303"/>
    <mergeCell ref="D304:D306"/>
    <mergeCell ref="D309:D310"/>
    <mergeCell ref="D311:D312"/>
    <mergeCell ref="D313:D314"/>
    <mergeCell ref="D315:D316"/>
    <mergeCell ref="D325:D326"/>
    <mergeCell ref="D329:D330"/>
    <mergeCell ref="D331:D332"/>
    <mergeCell ref="D335:D336"/>
    <mergeCell ref="D337:D338"/>
    <mergeCell ref="D361:D362"/>
    <mergeCell ref="D363:D364"/>
    <mergeCell ref="D365:D366"/>
    <mergeCell ref="D367:D368"/>
    <mergeCell ref="D371:D372"/>
    <mergeCell ref="E4:E7"/>
    <mergeCell ref="E8:E9"/>
    <mergeCell ref="E10:E15"/>
    <mergeCell ref="E17:E18"/>
    <mergeCell ref="E21:E22"/>
    <mergeCell ref="E23:E25"/>
    <mergeCell ref="E26:E27"/>
    <mergeCell ref="E32:E33"/>
    <mergeCell ref="E34:E35"/>
    <mergeCell ref="E36:E39"/>
    <mergeCell ref="E40:E44"/>
    <mergeCell ref="E45:E51"/>
    <mergeCell ref="E53:E55"/>
    <mergeCell ref="E56:E57"/>
    <mergeCell ref="E59:E61"/>
    <mergeCell ref="E62:E67"/>
    <mergeCell ref="E68:E69"/>
    <mergeCell ref="E70:E74"/>
    <mergeCell ref="E75:E77"/>
    <mergeCell ref="E78:E79"/>
    <mergeCell ref="E80:E81"/>
    <mergeCell ref="E82:E87"/>
    <mergeCell ref="E88:E92"/>
    <mergeCell ref="E93:E94"/>
    <mergeCell ref="E96:E98"/>
    <mergeCell ref="E99:E100"/>
    <mergeCell ref="E101:E104"/>
    <mergeCell ref="E108:E109"/>
    <mergeCell ref="E110:E111"/>
    <mergeCell ref="E114:E115"/>
    <mergeCell ref="E118:E119"/>
    <mergeCell ref="E120:E121"/>
    <mergeCell ref="E122:E123"/>
    <mergeCell ref="E124:E125"/>
    <mergeCell ref="E127:E129"/>
    <mergeCell ref="E130:E131"/>
    <mergeCell ref="E132:E133"/>
    <mergeCell ref="E141:E142"/>
    <mergeCell ref="E144:E145"/>
    <mergeCell ref="E146:E147"/>
    <mergeCell ref="E148:E149"/>
    <mergeCell ref="E150:E151"/>
    <mergeCell ref="E155:E156"/>
    <mergeCell ref="E157:E158"/>
    <mergeCell ref="E159:E160"/>
    <mergeCell ref="E161:E162"/>
    <mergeCell ref="E163:E164"/>
    <mergeCell ref="E165:E166"/>
    <mergeCell ref="E167:E168"/>
    <mergeCell ref="E169:E170"/>
    <mergeCell ref="E171:E172"/>
    <mergeCell ref="E173:E180"/>
    <mergeCell ref="E183:E184"/>
    <mergeCell ref="E185:E186"/>
    <mergeCell ref="E187:E188"/>
    <mergeCell ref="E189:E190"/>
    <mergeCell ref="E191:E192"/>
    <mergeCell ref="E195:E196"/>
    <mergeCell ref="E197:E198"/>
    <mergeCell ref="E199:E201"/>
    <mergeCell ref="E202:E204"/>
    <mergeCell ref="E205:E206"/>
    <mergeCell ref="E218:E219"/>
    <mergeCell ref="E220:E221"/>
    <mergeCell ref="E222:E223"/>
    <mergeCell ref="E224:E228"/>
    <mergeCell ref="E229:E233"/>
    <mergeCell ref="E234:E236"/>
    <mergeCell ref="E237:E238"/>
    <mergeCell ref="E239:E241"/>
    <mergeCell ref="E242:E244"/>
    <mergeCell ref="E245:E248"/>
    <mergeCell ref="E249:E252"/>
    <mergeCell ref="E255:E256"/>
    <mergeCell ref="E257:E258"/>
    <mergeCell ref="E259:E260"/>
    <mergeCell ref="E261:E262"/>
    <mergeCell ref="E263:E264"/>
    <mergeCell ref="E265:E266"/>
    <mergeCell ref="E271:E273"/>
    <mergeCell ref="E274:E276"/>
    <mergeCell ref="E277:E279"/>
    <mergeCell ref="E280:E282"/>
    <mergeCell ref="E285:E286"/>
    <mergeCell ref="E290:E293"/>
    <mergeCell ref="E295:E298"/>
    <mergeCell ref="E299:E300"/>
    <mergeCell ref="E301:E303"/>
    <mergeCell ref="E304:E306"/>
    <mergeCell ref="E309:E310"/>
    <mergeCell ref="E311:E312"/>
    <mergeCell ref="E313:E314"/>
    <mergeCell ref="E315:E316"/>
    <mergeCell ref="E325:E326"/>
    <mergeCell ref="E329:E330"/>
    <mergeCell ref="E331:E332"/>
    <mergeCell ref="E335:E336"/>
    <mergeCell ref="E337:E338"/>
    <mergeCell ref="E361:E362"/>
    <mergeCell ref="E363:E364"/>
    <mergeCell ref="E365:E366"/>
    <mergeCell ref="E367:E368"/>
    <mergeCell ref="E371:E372"/>
    <mergeCell ref="F4:F7"/>
    <mergeCell ref="F8:F9"/>
    <mergeCell ref="F10:F15"/>
    <mergeCell ref="F17:F18"/>
    <mergeCell ref="F21:F22"/>
    <mergeCell ref="F23:F25"/>
    <mergeCell ref="F26:F27"/>
    <mergeCell ref="F32:F33"/>
    <mergeCell ref="F34:F35"/>
    <mergeCell ref="F36:F39"/>
    <mergeCell ref="F40:F44"/>
    <mergeCell ref="F45:F51"/>
    <mergeCell ref="F53:F55"/>
    <mergeCell ref="F56:F57"/>
    <mergeCell ref="F59:F61"/>
    <mergeCell ref="F62:F67"/>
    <mergeCell ref="F68:F69"/>
    <mergeCell ref="F70:F74"/>
    <mergeCell ref="F75:F77"/>
    <mergeCell ref="F78:F79"/>
    <mergeCell ref="F80:F81"/>
    <mergeCell ref="F82:F87"/>
    <mergeCell ref="F88:F92"/>
    <mergeCell ref="F93:F94"/>
    <mergeCell ref="F96:F98"/>
    <mergeCell ref="F99:F100"/>
    <mergeCell ref="F101:F104"/>
    <mergeCell ref="F108:F109"/>
    <mergeCell ref="F110:F111"/>
    <mergeCell ref="F114:F115"/>
    <mergeCell ref="F118:F119"/>
    <mergeCell ref="F120:F121"/>
    <mergeCell ref="F122:F123"/>
    <mergeCell ref="F124:F125"/>
    <mergeCell ref="F127:F129"/>
    <mergeCell ref="F130:F131"/>
    <mergeCell ref="F132:F133"/>
    <mergeCell ref="F141:F142"/>
    <mergeCell ref="F144:F145"/>
    <mergeCell ref="F146:F147"/>
    <mergeCell ref="F148:F149"/>
    <mergeCell ref="F150:F151"/>
    <mergeCell ref="F155:F156"/>
    <mergeCell ref="F157:F158"/>
    <mergeCell ref="F159:F160"/>
    <mergeCell ref="F161:F162"/>
    <mergeCell ref="F163:F164"/>
    <mergeCell ref="F165:F166"/>
    <mergeCell ref="F167:F168"/>
    <mergeCell ref="F169:F170"/>
    <mergeCell ref="F171:F172"/>
    <mergeCell ref="F173:F180"/>
    <mergeCell ref="F183:F184"/>
    <mergeCell ref="F185:F186"/>
    <mergeCell ref="F187:F188"/>
    <mergeCell ref="F189:F190"/>
    <mergeCell ref="F191:F192"/>
    <mergeCell ref="F195:F196"/>
    <mergeCell ref="F197:F198"/>
    <mergeCell ref="F199:F201"/>
    <mergeCell ref="F202:F204"/>
    <mergeCell ref="F205:F206"/>
    <mergeCell ref="F218:F219"/>
    <mergeCell ref="F220:F221"/>
    <mergeCell ref="F222:F223"/>
    <mergeCell ref="F224:F228"/>
    <mergeCell ref="F229:F233"/>
    <mergeCell ref="F234:F236"/>
    <mergeCell ref="F237:F238"/>
    <mergeCell ref="F239:F241"/>
    <mergeCell ref="F242:F244"/>
    <mergeCell ref="F245:F248"/>
    <mergeCell ref="F249:F252"/>
    <mergeCell ref="F255:F256"/>
    <mergeCell ref="F257:F258"/>
    <mergeCell ref="F259:F260"/>
    <mergeCell ref="F261:F262"/>
    <mergeCell ref="F263:F264"/>
    <mergeCell ref="F265:F266"/>
    <mergeCell ref="F271:F273"/>
    <mergeCell ref="F274:F276"/>
    <mergeCell ref="F277:F279"/>
    <mergeCell ref="F280:F282"/>
    <mergeCell ref="F285:F286"/>
    <mergeCell ref="F290:F293"/>
    <mergeCell ref="F295:F298"/>
    <mergeCell ref="F299:F300"/>
    <mergeCell ref="F301:F303"/>
    <mergeCell ref="F304:F306"/>
    <mergeCell ref="F309:F310"/>
    <mergeCell ref="F311:F312"/>
    <mergeCell ref="F313:F314"/>
    <mergeCell ref="F315:F316"/>
    <mergeCell ref="F325:F326"/>
    <mergeCell ref="F329:F330"/>
    <mergeCell ref="F331:F332"/>
    <mergeCell ref="F335:F336"/>
    <mergeCell ref="F337:F338"/>
    <mergeCell ref="F361:F362"/>
    <mergeCell ref="F363:F364"/>
    <mergeCell ref="F365:F366"/>
    <mergeCell ref="F367:F368"/>
    <mergeCell ref="F371:F372"/>
    <mergeCell ref="G4:G7"/>
    <mergeCell ref="G8:G9"/>
    <mergeCell ref="G10:G15"/>
    <mergeCell ref="G17:G18"/>
    <mergeCell ref="G21:G22"/>
    <mergeCell ref="G23:G25"/>
    <mergeCell ref="G26:G27"/>
    <mergeCell ref="G32:G33"/>
    <mergeCell ref="G34:G35"/>
    <mergeCell ref="G36:G39"/>
    <mergeCell ref="G40:G44"/>
    <mergeCell ref="G45:G51"/>
    <mergeCell ref="G53:G55"/>
    <mergeCell ref="G56:G57"/>
    <mergeCell ref="G59:G61"/>
    <mergeCell ref="G62:G67"/>
    <mergeCell ref="G68:G69"/>
    <mergeCell ref="G70:G74"/>
    <mergeCell ref="G75:G77"/>
    <mergeCell ref="G78:G79"/>
    <mergeCell ref="G80:G81"/>
    <mergeCell ref="G82:G87"/>
    <mergeCell ref="G88:G92"/>
    <mergeCell ref="G93:G94"/>
    <mergeCell ref="G96:G98"/>
    <mergeCell ref="G99:G100"/>
    <mergeCell ref="G101:G104"/>
    <mergeCell ref="G108:G109"/>
    <mergeCell ref="G110:G111"/>
    <mergeCell ref="G114:G115"/>
    <mergeCell ref="G118:G119"/>
    <mergeCell ref="G120:G121"/>
    <mergeCell ref="G122:G123"/>
    <mergeCell ref="G124:G125"/>
    <mergeCell ref="G127:G129"/>
    <mergeCell ref="G130:G131"/>
    <mergeCell ref="G132:G133"/>
    <mergeCell ref="G141:G142"/>
    <mergeCell ref="G144:G145"/>
    <mergeCell ref="G146:G147"/>
    <mergeCell ref="G148:G149"/>
    <mergeCell ref="G150:G151"/>
    <mergeCell ref="G155:G156"/>
    <mergeCell ref="G157:G158"/>
    <mergeCell ref="G159:G160"/>
    <mergeCell ref="G161:G162"/>
    <mergeCell ref="G163:G164"/>
    <mergeCell ref="G165:G166"/>
    <mergeCell ref="G167:G168"/>
    <mergeCell ref="G169:G170"/>
    <mergeCell ref="G171:G172"/>
    <mergeCell ref="G173:G180"/>
    <mergeCell ref="G183:G184"/>
    <mergeCell ref="G185:G186"/>
    <mergeCell ref="G187:G188"/>
    <mergeCell ref="G189:G190"/>
    <mergeCell ref="G191:G192"/>
    <mergeCell ref="G195:G196"/>
    <mergeCell ref="G197:G198"/>
    <mergeCell ref="G199:G201"/>
    <mergeCell ref="G202:G204"/>
    <mergeCell ref="G205:G206"/>
    <mergeCell ref="G218:G219"/>
    <mergeCell ref="G220:G221"/>
    <mergeCell ref="G222:G223"/>
    <mergeCell ref="G224:G228"/>
    <mergeCell ref="G229:G233"/>
    <mergeCell ref="G234:G236"/>
    <mergeCell ref="G237:G238"/>
    <mergeCell ref="G239:G241"/>
    <mergeCell ref="G242:G244"/>
    <mergeCell ref="G245:G248"/>
    <mergeCell ref="G249:G252"/>
    <mergeCell ref="G255:G256"/>
    <mergeCell ref="G257:G258"/>
    <mergeCell ref="G259:G260"/>
    <mergeCell ref="G261:G262"/>
    <mergeCell ref="G263:G264"/>
    <mergeCell ref="G265:G266"/>
    <mergeCell ref="G271:G273"/>
    <mergeCell ref="G274:G276"/>
    <mergeCell ref="G277:G279"/>
    <mergeCell ref="G280:G282"/>
    <mergeCell ref="G285:G286"/>
    <mergeCell ref="G290:G293"/>
    <mergeCell ref="G295:G298"/>
    <mergeCell ref="G299:G300"/>
    <mergeCell ref="G301:G303"/>
    <mergeCell ref="G304:G306"/>
    <mergeCell ref="G309:G310"/>
    <mergeCell ref="G311:G312"/>
    <mergeCell ref="G313:G314"/>
    <mergeCell ref="G315:G316"/>
    <mergeCell ref="G325:G326"/>
    <mergeCell ref="G329:G330"/>
    <mergeCell ref="G331:G332"/>
    <mergeCell ref="G335:G336"/>
    <mergeCell ref="G337:G338"/>
    <mergeCell ref="G361:G362"/>
    <mergeCell ref="G363:G364"/>
    <mergeCell ref="G365:G366"/>
    <mergeCell ref="G367:G368"/>
    <mergeCell ref="G371:G372"/>
    <mergeCell ref="H4:H7"/>
    <mergeCell ref="H8:H9"/>
    <mergeCell ref="H10:H15"/>
    <mergeCell ref="H17:H18"/>
    <mergeCell ref="H21:H22"/>
    <mergeCell ref="H23:H25"/>
    <mergeCell ref="H26:H27"/>
    <mergeCell ref="H32:H33"/>
    <mergeCell ref="H34:H35"/>
    <mergeCell ref="H36:H39"/>
    <mergeCell ref="H40:H44"/>
    <mergeCell ref="H45:H51"/>
    <mergeCell ref="H53:H55"/>
    <mergeCell ref="H56:H57"/>
    <mergeCell ref="H59:H61"/>
    <mergeCell ref="H62:H67"/>
    <mergeCell ref="H68:H69"/>
    <mergeCell ref="H70:H74"/>
    <mergeCell ref="H75:H77"/>
    <mergeCell ref="H78:H79"/>
    <mergeCell ref="H80:H81"/>
    <mergeCell ref="H82:H87"/>
    <mergeCell ref="H88:H92"/>
    <mergeCell ref="H93:H94"/>
    <mergeCell ref="H96:H98"/>
    <mergeCell ref="H99:H100"/>
    <mergeCell ref="H101:H104"/>
    <mergeCell ref="H108:H109"/>
    <mergeCell ref="H110:H111"/>
    <mergeCell ref="H114:H115"/>
    <mergeCell ref="H118:H119"/>
    <mergeCell ref="H120:H121"/>
    <mergeCell ref="H122:H123"/>
    <mergeCell ref="H124:H125"/>
    <mergeCell ref="H127:H129"/>
    <mergeCell ref="H130:H131"/>
    <mergeCell ref="H132:H133"/>
    <mergeCell ref="H141:H142"/>
    <mergeCell ref="H144:H145"/>
    <mergeCell ref="H146:H147"/>
    <mergeCell ref="H148:H149"/>
    <mergeCell ref="H150:H151"/>
    <mergeCell ref="H155:H156"/>
    <mergeCell ref="H157:H158"/>
    <mergeCell ref="H159:H160"/>
    <mergeCell ref="H161:H162"/>
    <mergeCell ref="H163:H164"/>
    <mergeCell ref="H165:H166"/>
    <mergeCell ref="H167:H168"/>
    <mergeCell ref="H169:H170"/>
    <mergeCell ref="H171:H172"/>
    <mergeCell ref="H173:H180"/>
    <mergeCell ref="H183:H184"/>
    <mergeCell ref="H185:H186"/>
    <mergeCell ref="H187:H188"/>
    <mergeCell ref="H189:H190"/>
    <mergeCell ref="H191:H192"/>
    <mergeCell ref="H195:H196"/>
    <mergeCell ref="H197:H198"/>
    <mergeCell ref="H199:H201"/>
    <mergeCell ref="H202:H204"/>
    <mergeCell ref="H205:H206"/>
    <mergeCell ref="H218:H219"/>
    <mergeCell ref="H220:H221"/>
    <mergeCell ref="H222:H223"/>
    <mergeCell ref="H224:H228"/>
    <mergeCell ref="H229:H233"/>
    <mergeCell ref="H234:H236"/>
    <mergeCell ref="H237:H238"/>
    <mergeCell ref="H239:H241"/>
    <mergeCell ref="H242:H244"/>
    <mergeCell ref="H245:H248"/>
    <mergeCell ref="H249:H252"/>
    <mergeCell ref="H255:H256"/>
    <mergeCell ref="H257:H258"/>
    <mergeCell ref="H259:H260"/>
    <mergeCell ref="H261:H262"/>
    <mergeCell ref="H263:H264"/>
    <mergeCell ref="H265:H266"/>
    <mergeCell ref="H271:H273"/>
    <mergeCell ref="H274:H276"/>
    <mergeCell ref="H277:H279"/>
    <mergeCell ref="H280:H282"/>
    <mergeCell ref="H285:H286"/>
    <mergeCell ref="H290:H293"/>
    <mergeCell ref="H295:H298"/>
    <mergeCell ref="H299:H300"/>
    <mergeCell ref="H301:H303"/>
    <mergeCell ref="H304:H306"/>
    <mergeCell ref="H309:H310"/>
    <mergeCell ref="H311:H312"/>
    <mergeCell ref="H313:H314"/>
    <mergeCell ref="H315:H316"/>
    <mergeCell ref="H325:H326"/>
    <mergeCell ref="H329:H330"/>
    <mergeCell ref="H331:H332"/>
    <mergeCell ref="H335:H336"/>
    <mergeCell ref="H337:H338"/>
    <mergeCell ref="H361:H362"/>
    <mergeCell ref="H363:H364"/>
    <mergeCell ref="H365:H366"/>
    <mergeCell ref="H367:H368"/>
    <mergeCell ref="H371:H372"/>
    <mergeCell ref="I4:I7"/>
    <mergeCell ref="I8:I9"/>
    <mergeCell ref="I10:I15"/>
    <mergeCell ref="I17:I18"/>
    <mergeCell ref="I21:I22"/>
    <mergeCell ref="I23:I25"/>
    <mergeCell ref="I26:I27"/>
    <mergeCell ref="I32:I33"/>
    <mergeCell ref="I34:I35"/>
    <mergeCell ref="I36:I39"/>
    <mergeCell ref="I40:I44"/>
    <mergeCell ref="I45:I51"/>
    <mergeCell ref="I53:I55"/>
    <mergeCell ref="I56:I57"/>
    <mergeCell ref="I59:I61"/>
    <mergeCell ref="I62:I67"/>
    <mergeCell ref="I68:I69"/>
    <mergeCell ref="I70:I74"/>
    <mergeCell ref="I75:I77"/>
    <mergeCell ref="I78:I79"/>
    <mergeCell ref="I80:I81"/>
    <mergeCell ref="I82:I87"/>
    <mergeCell ref="I88:I92"/>
    <mergeCell ref="I93:I94"/>
    <mergeCell ref="I96:I98"/>
    <mergeCell ref="I99:I100"/>
    <mergeCell ref="I101:I104"/>
    <mergeCell ref="I108:I109"/>
    <mergeCell ref="I110:I111"/>
    <mergeCell ref="I114:I115"/>
    <mergeCell ref="I118:I119"/>
    <mergeCell ref="I120:I121"/>
    <mergeCell ref="I122:I123"/>
    <mergeCell ref="I124:I125"/>
    <mergeCell ref="I127:I129"/>
    <mergeCell ref="I130:I131"/>
    <mergeCell ref="I132:I133"/>
    <mergeCell ref="I141:I142"/>
    <mergeCell ref="I144:I145"/>
    <mergeCell ref="I146:I147"/>
    <mergeCell ref="I148:I149"/>
    <mergeCell ref="I150:I151"/>
    <mergeCell ref="I155:I156"/>
    <mergeCell ref="I157:I158"/>
    <mergeCell ref="I159:I160"/>
    <mergeCell ref="I161:I162"/>
    <mergeCell ref="I163:I164"/>
    <mergeCell ref="I165:I166"/>
    <mergeCell ref="I167:I168"/>
    <mergeCell ref="I169:I170"/>
    <mergeCell ref="I171:I172"/>
    <mergeCell ref="I173:I180"/>
    <mergeCell ref="I183:I184"/>
    <mergeCell ref="I185:I186"/>
    <mergeCell ref="I187:I188"/>
    <mergeCell ref="I189:I190"/>
    <mergeCell ref="I191:I192"/>
    <mergeCell ref="I195:I196"/>
    <mergeCell ref="I197:I198"/>
    <mergeCell ref="I199:I201"/>
    <mergeCell ref="I202:I204"/>
    <mergeCell ref="I205:I206"/>
    <mergeCell ref="I218:I219"/>
    <mergeCell ref="I220:I221"/>
    <mergeCell ref="I222:I223"/>
    <mergeCell ref="I224:I228"/>
    <mergeCell ref="I229:I233"/>
    <mergeCell ref="I234:I236"/>
    <mergeCell ref="I237:I238"/>
    <mergeCell ref="I239:I241"/>
    <mergeCell ref="I242:I244"/>
    <mergeCell ref="I245:I248"/>
    <mergeCell ref="I249:I252"/>
    <mergeCell ref="I255:I256"/>
    <mergeCell ref="I257:I258"/>
    <mergeCell ref="I259:I260"/>
    <mergeCell ref="I261:I262"/>
    <mergeCell ref="I263:I264"/>
    <mergeCell ref="I265:I266"/>
    <mergeCell ref="I271:I273"/>
    <mergeCell ref="I274:I276"/>
    <mergeCell ref="I277:I279"/>
    <mergeCell ref="I280:I282"/>
    <mergeCell ref="I285:I286"/>
    <mergeCell ref="I290:I293"/>
    <mergeCell ref="I295:I298"/>
    <mergeCell ref="I299:I300"/>
    <mergeCell ref="I301:I303"/>
    <mergeCell ref="I304:I306"/>
    <mergeCell ref="I309:I310"/>
    <mergeCell ref="I311:I312"/>
    <mergeCell ref="I313:I314"/>
    <mergeCell ref="I315:I316"/>
    <mergeCell ref="I325:I326"/>
    <mergeCell ref="I329:I330"/>
    <mergeCell ref="I331:I332"/>
    <mergeCell ref="I335:I336"/>
    <mergeCell ref="I337:I338"/>
    <mergeCell ref="I361:I362"/>
    <mergeCell ref="I363:I364"/>
    <mergeCell ref="I365:I366"/>
    <mergeCell ref="I367:I368"/>
    <mergeCell ref="I371:I372"/>
    <mergeCell ref="J4:J7"/>
    <mergeCell ref="J8:J9"/>
    <mergeCell ref="J10:J15"/>
    <mergeCell ref="J17:J18"/>
    <mergeCell ref="J21:J22"/>
    <mergeCell ref="J23:J25"/>
    <mergeCell ref="J26:J27"/>
    <mergeCell ref="J32:J33"/>
    <mergeCell ref="J34:J35"/>
    <mergeCell ref="J36:J39"/>
    <mergeCell ref="J40:J44"/>
    <mergeCell ref="J45:J51"/>
    <mergeCell ref="J53:J55"/>
    <mergeCell ref="J56:J57"/>
    <mergeCell ref="J59:J61"/>
    <mergeCell ref="J62:J67"/>
    <mergeCell ref="J68:J69"/>
    <mergeCell ref="J70:J74"/>
    <mergeCell ref="J75:J77"/>
    <mergeCell ref="J78:J79"/>
    <mergeCell ref="J80:J81"/>
    <mergeCell ref="J82:J87"/>
    <mergeCell ref="J88:J92"/>
    <mergeCell ref="J93:J94"/>
    <mergeCell ref="J96:J98"/>
    <mergeCell ref="J99:J100"/>
    <mergeCell ref="J101:J104"/>
    <mergeCell ref="J108:J109"/>
    <mergeCell ref="J110:J111"/>
    <mergeCell ref="J114:J115"/>
    <mergeCell ref="J118:J119"/>
    <mergeCell ref="J120:J121"/>
    <mergeCell ref="J122:J123"/>
    <mergeCell ref="J124:J125"/>
    <mergeCell ref="J127:J129"/>
    <mergeCell ref="J130:J131"/>
    <mergeCell ref="J132:J133"/>
    <mergeCell ref="J141:J142"/>
    <mergeCell ref="J144:J145"/>
    <mergeCell ref="J146:J147"/>
    <mergeCell ref="J148:J149"/>
    <mergeCell ref="J150:J151"/>
    <mergeCell ref="J155:J156"/>
    <mergeCell ref="J157:J158"/>
    <mergeCell ref="J159:J160"/>
    <mergeCell ref="J161:J162"/>
    <mergeCell ref="J163:J164"/>
    <mergeCell ref="J165:J166"/>
    <mergeCell ref="J167:J168"/>
    <mergeCell ref="J169:J170"/>
    <mergeCell ref="J171:J172"/>
    <mergeCell ref="J173:J180"/>
    <mergeCell ref="J183:J184"/>
    <mergeCell ref="J185:J186"/>
    <mergeCell ref="J187:J188"/>
    <mergeCell ref="J189:J190"/>
    <mergeCell ref="J191:J192"/>
    <mergeCell ref="J195:J196"/>
    <mergeCell ref="J197:J198"/>
    <mergeCell ref="J199:J201"/>
    <mergeCell ref="J202:J204"/>
    <mergeCell ref="J205:J206"/>
    <mergeCell ref="J218:J219"/>
    <mergeCell ref="J220:J221"/>
    <mergeCell ref="J222:J223"/>
    <mergeCell ref="J224:J228"/>
    <mergeCell ref="J229:J233"/>
    <mergeCell ref="J234:J236"/>
    <mergeCell ref="J237:J238"/>
    <mergeCell ref="J239:J241"/>
    <mergeCell ref="J242:J244"/>
    <mergeCell ref="J245:J248"/>
    <mergeCell ref="J249:J252"/>
    <mergeCell ref="J255:J256"/>
    <mergeCell ref="J257:J258"/>
    <mergeCell ref="J259:J260"/>
    <mergeCell ref="J261:J262"/>
    <mergeCell ref="J263:J264"/>
    <mergeCell ref="J265:J266"/>
    <mergeCell ref="J271:J273"/>
    <mergeCell ref="J274:J276"/>
    <mergeCell ref="J277:J279"/>
    <mergeCell ref="J280:J282"/>
    <mergeCell ref="J285:J286"/>
    <mergeCell ref="J290:J293"/>
    <mergeCell ref="J295:J298"/>
    <mergeCell ref="J299:J300"/>
    <mergeCell ref="J301:J303"/>
    <mergeCell ref="J304:J306"/>
    <mergeCell ref="J309:J310"/>
    <mergeCell ref="J311:J312"/>
    <mergeCell ref="J313:J314"/>
    <mergeCell ref="J315:J316"/>
    <mergeCell ref="J325:J326"/>
    <mergeCell ref="J329:J330"/>
    <mergeCell ref="J331:J332"/>
    <mergeCell ref="J335:J336"/>
    <mergeCell ref="J337:J338"/>
    <mergeCell ref="J361:J362"/>
    <mergeCell ref="J363:J364"/>
    <mergeCell ref="J365:J366"/>
    <mergeCell ref="J367:J368"/>
    <mergeCell ref="J371:J372"/>
    <mergeCell ref="K4:K7"/>
    <mergeCell ref="K8:K9"/>
    <mergeCell ref="K10:K15"/>
    <mergeCell ref="K17:K18"/>
    <mergeCell ref="K21:K22"/>
    <mergeCell ref="K23:K25"/>
    <mergeCell ref="K26:K27"/>
    <mergeCell ref="K32:K33"/>
    <mergeCell ref="K34:K35"/>
    <mergeCell ref="K36:K39"/>
    <mergeCell ref="K40:K44"/>
    <mergeCell ref="K45:K51"/>
    <mergeCell ref="K53:K55"/>
    <mergeCell ref="K56:K57"/>
    <mergeCell ref="K59:K61"/>
    <mergeCell ref="K62:K67"/>
    <mergeCell ref="K68:K69"/>
    <mergeCell ref="K70:K74"/>
    <mergeCell ref="K75:K77"/>
    <mergeCell ref="K78:K79"/>
    <mergeCell ref="K80:K81"/>
    <mergeCell ref="K82:K87"/>
    <mergeCell ref="K88:K92"/>
    <mergeCell ref="K93:K94"/>
    <mergeCell ref="K96:K98"/>
    <mergeCell ref="K99:K100"/>
    <mergeCell ref="K101:K104"/>
    <mergeCell ref="K108:K109"/>
    <mergeCell ref="K110:K111"/>
    <mergeCell ref="K114:K115"/>
    <mergeCell ref="K118:K119"/>
    <mergeCell ref="K120:K121"/>
    <mergeCell ref="K122:K123"/>
    <mergeCell ref="K124:K125"/>
    <mergeCell ref="K127:K129"/>
    <mergeCell ref="K130:K131"/>
    <mergeCell ref="K132:K133"/>
    <mergeCell ref="K141:K142"/>
    <mergeCell ref="K144:K145"/>
    <mergeCell ref="K146:K147"/>
    <mergeCell ref="K148:K149"/>
    <mergeCell ref="K150:K151"/>
    <mergeCell ref="K155:K156"/>
    <mergeCell ref="K157:K158"/>
    <mergeCell ref="K159:K160"/>
    <mergeCell ref="K161:K162"/>
    <mergeCell ref="K163:K164"/>
    <mergeCell ref="K165:K166"/>
    <mergeCell ref="K167:K168"/>
    <mergeCell ref="K169:K170"/>
    <mergeCell ref="K171:K172"/>
    <mergeCell ref="K173:K180"/>
    <mergeCell ref="K183:K184"/>
    <mergeCell ref="K185:K186"/>
    <mergeCell ref="K187:K188"/>
    <mergeCell ref="K189:K190"/>
    <mergeCell ref="K191:K192"/>
    <mergeCell ref="K195:K196"/>
    <mergeCell ref="K197:K198"/>
    <mergeCell ref="K199:K201"/>
    <mergeCell ref="K202:K204"/>
    <mergeCell ref="K205:K206"/>
    <mergeCell ref="K218:K219"/>
    <mergeCell ref="K220:K221"/>
    <mergeCell ref="K222:K223"/>
    <mergeCell ref="K224:K228"/>
    <mergeCell ref="K229:K233"/>
    <mergeCell ref="K234:K236"/>
    <mergeCell ref="K237:K238"/>
    <mergeCell ref="K239:K241"/>
    <mergeCell ref="K242:K244"/>
    <mergeCell ref="K245:K248"/>
    <mergeCell ref="K249:K252"/>
    <mergeCell ref="K255:K256"/>
    <mergeCell ref="K257:K258"/>
    <mergeCell ref="K259:K260"/>
    <mergeCell ref="K261:K262"/>
    <mergeCell ref="K263:K264"/>
    <mergeCell ref="K265:K266"/>
    <mergeCell ref="K271:K273"/>
    <mergeCell ref="K274:K276"/>
    <mergeCell ref="K277:K279"/>
    <mergeCell ref="K280:K282"/>
    <mergeCell ref="K285:K286"/>
    <mergeCell ref="K290:K293"/>
    <mergeCell ref="K295:K298"/>
    <mergeCell ref="K299:K300"/>
    <mergeCell ref="K301:K303"/>
    <mergeCell ref="K304:K306"/>
    <mergeCell ref="K309:K310"/>
    <mergeCell ref="K311:K312"/>
    <mergeCell ref="K313:K314"/>
    <mergeCell ref="K315:K316"/>
    <mergeCell ref="K325:K326"/>
    <mergeCell ref="K329:K330"/>
    <mergeCell ref="K331:K332"/>
    <mergeCell ref="K335:K336"/>
    <mergeCell ref="K337:K338"/>
    <mergeCell ref="K361:K362"/>
    <mergeCell ref="K363:K364"/>
    <mergeCell ref="K365:K366"/>
    <mergeCell ref="K367:K368"/>
    <mergeCell ref="K371:K372"/>
    <mergeCell ref="L4:L7"/>
    <mergeCell ref="L8:L9"/>
    <mergeCell ref="L10:L15"/>
    <mergeCell ref="L17:L18"/>
    <mergeCell ref="L21:L22"/>
    <mergeCell ref="L23:L25"/>
    <mergeCell ref="L26:L27"/>
    <mergeCell ref="L32:L33"/>
    <mergeCell ref="L34:L35"/>
    <mergeCell ref="L36:L39"/>
    <mergeCell ref="L40:L44"/>
    <mergeCell ref="L45:L51"/>
    <mergeCell ref="L53:L55"/>
    <mergeCell ref="L56:L57"/>
    <mergeCell ref="L59:L61"/>
    <mergeCell ref="L62:L67"/>
    <mergeCell ref="L68:L69"/>
    <mergeCell ref="L70:L74"/>
    <mergeCell ref="L75:L77"/>
    <mergeCell ref="L78:L79"/>
    <mergeCell ref="L80:L81"/>
    <mergeCell ref="L82:L87"/>
    <mergeCell ref="L88:L92"/>
    <mergeCell ref="L93:L94"/>
    <mergeCell ref="L96:L98"/>
    <mergeCell ref="L99:L100"/>
    <mergeCell ref="L101:L104"/>
    <mergeCell ref="L108:L109"/>
    <mergeCell ref="L110:L111"/>
    <mergeCell ref="L114:L115"/>
    <mergeCell ref="L118:L119"/>
    <mergeCell ref="L120:L121"/>
    <mergeCell ref="L122:L123"/>
    <mergeCell ref="L124:L125"/>
    <mergeCell ref="L127:L129"/>
    <mergeCell ref="L130:L131"/>
    <mergeCell ref="L132:L133"/>
    <mergeCell ref="L141:L142"/>
    <mergeCell ref="L144:L145"/>
    <mergeCell ref="L146:L147"/>
    <mergeCell ref="L148:L149"/>
    <mergeCell ref="L150:L151"/>
    <mergeCell ref="L155:L156"/>
    <mergeCell ref="L157:L158"/>
    <mergeCell ref="L159:L160"/>
    <mergeCell ref="L161:L162"/>
    <mergeCell ref="L163:L164"/>
    <mergeCell ref="L165:L166"/>
    <mergeCell ref="L167:L168"/>
    <mergeCell ref="L169:L170"/>
    <mergeCell ref="L171:L172"/>
    <mergeCell ref="L173:L180"/>
    <mergeCell ref="L183:L184"/>
    <mergeCell ref="L185:L186"/>
    <mergeCell ref="L187:L188"/>
    <mergeCell ref="L189:L190"/>
    <mergeCell ref="L191:L192"/>
    <mergeCell ref="L195:L196"/>
    <mergeCell ref="L197:L198"/>
    <mergeCell ref="L199:L201"/>
    <mergeCell ref="L202:L204"/>
    <mergeCell ref="L205:L206"/>
    <mergeCell ref="L218:L219"/>
    <mergeCell ref="L220:L221"/>
    <mergeCell ref="L222:L223"/>
    <mergeCell ref="L224:L228"/>
    <mergeCell ref="L229:L233"/>
    <mergeCell ref="L234:L236"/>
    <mergeCell ref="L237:L238"/>
    <mergeCell ref="L239:L241"/>
    <mergeCell ref="L242:L244"/>
    <mergeCell ref="L245:L248"/>
    <mergeCell ref="L249:L252"/>
    <mergeCell ref="L255:L256"/>
    <mergeCell ref="L257:L258"/>
    <mergeCell ref="L259:L260"/>
    <mergeCell ref="L261:L262"/>
    <mergeCell ref="L263:L264"/>
    <mergeCell ref="L265:L266"/>
    <mergeCell ref="L271:L273"/>
    <mergeCell ref="L274:L276"/>
    <mergeCell ref="L277:L279"/>
    <mergeCell ref="L280:L282"/>
    <mergeCell ref="L285:L286"/>
    <mergeCell ref="L290:L293"/>
    <mergeCell ref="L295:L298"/>
    <mergeCell ref="L299:L300"/>
    <mergeCell ref="L301:L303"/>
    <mergeCell ref="L304:L306"/>
    <mergeCell ref="L309:L310"/>
    <mergeCell ref="L311:L312"/>
    <mergeCell ref="L313:L314"/>
    <mergeCell ref="L315:L316"/>
    <mergeCell ref="L325:L326"/>
    <mergeCell ref="L329:L330"/>
    <mergeCell ref="L331:L332"/>
    <mergeCell ref="L335:L336"/>
    <mergeCell ref="L337:L338"/>
    <mergeCell ref="L361:L362"/>
    <mergeCell ref="L363:L364"/>
    <mergeCell ref="L365:L366"/>
    <mergeCell ref="L367:L368"/>
    <mergeCell ref="L371:L372"/>
    <mergeCell ref="M4:M7"/>
    <mergeCell ref="M8:M9"/>
    <mergeCell ref="M10:M15"/>
    <mergeCell ref="M17:M18"/>
    <mergeCell ref="M21:M22"/>
    <mergeCell ref="M23:M25"/>
    <mergeCell ref="M26:M27"/>
    <mergeCell ref="M32:M33"/>
    <mergeCell ref="M34:M35"/>
    <mergeCell ref="M36:M39"/>
    <mergeCell ref="M40:M44"/>
    <mergeCell ref="M45:M51"/>
    <mergeCell ref="M53:M55"/>
    <mergeCell ref="M56:M57"/>
    <mergeCell ref="M59:M61"/>
    <mergeCell ref="M62:M67"/>
    <mergeCell ref="M68:M69"/>
    <mergeCell ref="M70:M74"/>
    <mergeCell ref="M75:M77"/>
    <mergeCell ref="M78:M79"/>
    <mergeCell ref="M80:M81"/>
    <mergeCell ref="M82:M87"/>
    <mergeCell ref="M88:M92"/>
    <mergeCell ref="M93:M94"/>
    <mergeCell ref="M96:M98"/>
    <mergeCell ref="M99:M100"/>
    <mergeCell ref="M101:M104"/>
    <mergeCell ref="M108:M109"/>
    <mergeCell ref="M110:M111"/>
    <mergeCell ref="M114:M115"/>
    <mergeCell ref="M118:M119"/>
    <mergeCell ref="M120:M121"/>
    <mergeCell ref="M122:M123"/>
    <mergeCell ref="M124:M125"/>
    <mergeCell ref="M127:M129"/>
    <mergeCell ref="M130:M131"/>
    <mergeCell ref="M132:M133"/>
    <mergeCell ref="M141:M142"/>
    <mergeCell ref="M144:M145"/>
    <mergeCell ref="M146:M147"/>
    <mergeCell ref="M148:M149"/>
    <mergeCell ref="M150:M151"/>
    <mergeCell ref="M155:M156"/>
    <mergeCell ref="M157:M158"/>
    <mergeCell ref="M159:M160"/>
    <mergeCell ref="M161:M162"/>
    <mergeCell ref="M163:M164"/>
    <mergeCell ref="M165:M166"/>
    <mergeCell ref="M167:M168"/>
    <mergeCell ref="M169:M170"/>
    <mergeCell ref="M171:M172"/>
    <mergeCell ref="M173:M180"/>
    <mergeCell ref="M183:M184"/>
    <mergeCell ref="M185:M186"/>
    <mergeCell ref="M187:M188"/>
    <mergeCell ref="M189:M190"/>
    <mergeCell ref="M191:M192"/>
    <mergeCell ref="M195:M196"/>
    <mergeCell ref="M197:M198"/>
    <mergeCell ref="M199:M201"/>
    <mergeCell ref="M202:M204"/>
    <mergeCell ref="M205:M206"/>
    <mergeCell ref="M218:M219"/>
    <mergeCell ref="M220:M221"/>
    <mergeCell ref="M222:M223"/>
    <mergeCell ref="M224:M228"/>
    <mergeCell ref="M229:M233"/>
    <mergeCell ref="M234:M236"/>
    <mergeCell ref="M237:M238"/>
    <mergeCell ref="M239:M241"/>
    <mergeCell ref="M242:M244"/>
    <mergeCell ref="M245:M248"/>
    <mergeCell ref="M249:M252"/>
    <mergeCell ref="M255:M256"/>
    <mergeCell ref="M257:M258"/>
    <mergeCell ref="M259:M260"/>
    <mergeCell ref="M261:M262"/>
    <mergeCell ref="M263:M264"/>
    <mergeCell ref="M265:M266"/>
    <mergeCell ref="M271:M273"/>
    <mergeCell ref="M274:M276"/>
    <mergeCell ref="M277:M279"/>
    <mergeCell ref="M280:M282"/>
    <mergeCell ref="M285:M286"/>
    <mergeCell ref="M290:M293"/>
    <mergeCell ref="M295:M298"/>
    <mergeCell ref="M299:M300"/>
    <mergeCell ref="M301:M303"/>
    <mergeCell ref="M304:M306"/>
    <mergeCell ref="M309:M310"/>
    <mergeCell ref="M311:M312"/>
    <mergeCell ref="M313:M314"/>
    <mergeCell ref="M315:M316"/>
    <mergeCell ref="M325:M326"/>
    <mergeCell ref="M329:M330"/>
    <mergeCell ref="M331:M332"/>
    <mergeCell ref="M335:M336"/>
    <mergeCell ref="M337:M338"/>
    <mergeCell ref="M361:M362"/>
    <mergeCell ref="M363:M364"/>
    <mergeCell ref="M365:M366"/>
    <mergeCell ref="M367:M368"/>
    <mergeCell ref="M371:M372"/>
    <mergeCell ref="Q4:Q7"/>
    <mergeCell ref="Q8:Q9"/>
    <mergeCell ref="Q10:Q15"/>
    <mergeCell ref="Q17:Q18"/>
    <mergeCell ref="Q21:Q22"/>
    <mergeCell ref="Q23:Q25"/>
    <mergeCell ref="Q26:Q27"/>
    <mergeCell ref="Q32:Q33"/>
    <mergeCell ref="Q34:Q35"/>
    <mergeCell ref="Q36:Q39"/>
    <mergeCell ref="Q40:Q44"/>
    <mergeCell ref="Q45:Q51"/>
    <mergeCell ref="Q53:Q55"/>
    <mergeCell ref="Q56:Q57"/>
    <mergeCell ref="Q59:Q61"/>
    <mergeCell ref="Q62:Q67"/>
    <mergeCell ref="Q68:Q69"/>
    <mergeCell ref="Q70:Q74"/>
    <mergeCell ref="Q75:Q77"/>
    <mergeCell ref="Q78:Q79"/>
    <mergeCell ref="Q80:Q81"/>
    <mergeCell ref="Q82:Q87"/>
    <mergeCell ref="Q88:Q92"/>
    <mergeCell ref="Q93:Q94"/>
    <mergeCell ref="Q96:Q98"/>
    <mergeCell ref="Q99:Q100"/>
    <mergeCell ref="Q101:Q104"/>
    <mergeCell ref="Q108:Q109"/>
    <mergeCell ref="Q110:Q111"/>
    <mergeCell ref="Q114:Q115"/>
    <mergeCell ref="Q118:Q119"/>
    <mergeCell ref="Q120:Q121"/>
    <mergeCell ref="Q122:Q123"/>
    <mergeCell ref="Q124:Q125"/>
    <mergeCell ref="Q127:Q129"/>
    <mergeCell ref="Q130:Q131"/>
    <mergeCell ref="Q132:Q133"/>
    <mergeCell ref="Q141:Q142"/>
    <mergeCell ref="Q144:Q145"/>
    <mergeCell ref="Q146:Q147"/>
    <mergeCell ref="Q148:Q149"/>
    <mergeCell ref="Q150:Q151"/>
    <mergeCell ref="Q155:Q156"/>
    <mergeCell ref="Q157:Q158"/>
    <mergeCell ref="Q159:Q160"/>
    <mergeCell ref="Q161:Q162"/>
    <mergeCell ref="Q163:Q164"/>
    <mergeCell ref="Q165:Q166"/>
    <mergeCell ref="Q167:Q168"/>
    <mergeCell ref="Q169:Q170"/>
    <mergeCell ref="Q171:Q172"/>
    <mergeCell ref="Q173:Q180"/>
    <mergeCell ref="Q183:Q184"/>
    <mergeCell ref="Q185:Q186"/>
    <mergeCell ref="Q187:Q188"/>
    <mergeCell ref="Q189:Q190"/>
    <mergeCell ref="Q191:Q192"/>
    <mergeCell ref="Q195:Q196"/>
    <mergeCell ref="Q197:Q198"/>
    <mergeCell ref="Q199:Q201"/>
    <mergeCell ref="Q202:Q204"/>
    <mergeCell ref="Q205:Q206"/>
    <mergeCell ref="Q218:Q219"/>
    <mergeCell ref="Q220:Q221"/>
    <mergeCell ref="Q222:Q223"/>
    <mergeCell ref="Q224:Q228"/>
    <mergeCell ref="Q229:Q233"/>
    <mergeCell ref="Q234:Q236"/>
    <mergeCell ref="Q237:Q238"/>
    <mergeCell ref="Q239:Q241"/>
    <mergeCell ref="Q242:Q244"/>
    <mergeCell ref="Q245:Q248"/>
    <mergeCell ref="Q249:Q252"/>
    <mergeCell ref="Q255:Q256"/>
    <mergeCell ref="Q257:Q258"/>
    <mergeCell ref="Q259:Q260"/>
    <mergeCell ref="Q261:Q262"/>
    <mergeCell ref="Q263:Q264"/>
    <mergeCell ref="Q265:Q266"/>
    <mergeCell ref="Q271:Q273"/>
    <mergeCell ref="Q274:Q276"/>
    <mergeCell ref="Q277:Q279"/>
    <mergeCell ref="Q280:Q282"/>
    <mergeCell ref="Q285:Q286"/>
    <mergeCell ref="Q290:Q293"/>
    <mergeCell ref="Q295:Q298"/>
    <mergeCell ref="Q299:Q300"/>
    <mergeCell ref="Q301:Q303"/>
    <mergeCell ref="Q304:Q306"/>
    <mergeCell ref="Q309:Q310"/>
    <mergeCell ref="Q311:Q312"/>
    <mergeCell ref="Q313:Q314"/>
    <mergeCell ref="Q315:Q316"/>
    <mergeCell ref="Q325:Q326"/>
    <mergeCell ref="Q329:Q330"/>
    <mergeCell ref="Q331:Q332"/>
    <mergeCell ref="Q335:Q336"/>
    <mergeCell ref="Q337:Q338"/>
    <mergeCell ref="Q361:Q362"/>
    <mergeCell ref="Q363:Q364"/>
    <mergeCell ref="Q365:Q366"/>
    <mergeCell ref="Q367:Q368"/>
    <mergeCell ref="Q371:Q372"/>
    <mergeCell ref="R4:R7"/>
    <mergeCell ref="R8:R9"/>
    <mergeCell ref="R10:R15"/>
    <mergeCell ref="R17:R18"/>
    <mergeCell ref="R21:R22"/>
    <mergeCell ref="R23:R25"/>
    <mergeCell ref="R26:R27"/>
    <mergeCell ref="R32:R33"/>
    <mergeCell ref="R34:R35"/>
    <mergeCell ref="R36:R39"/>
    <mergeCell ref="R40:R44"/>
    <mergeCell ref="R45:R51"/>
    <mergeCell ref="R53:R55"/>
    <mergeCell ref="R56:R57"/>
    <mergeCell ref="R59:R61"/>
    <mergeCell ref="R62:R67"/>
    <mergeCell ref="R68:R69"/>
    <mergeCell ref="R70:R74"/>
    <mergeCell ref="R75:R77"/>
    <mergeCell ref="R78:R79"/>
    <mergeCell ref="R80:R81"/>
    <mergeCell ref="R82:R87"/>
    <mergeCell ref="R88:R92"/>
    <mergeCell ref="R93:R94"/>
    <mergeCell ref="R96:R98"/>
    <mergeCell ref="R99:R100"/>
    <mergeCell ref="R101:R104"/>
    <mergeCell ref="R108:R109"/>
    <mergeCell ref="R110:R111"/>
    <mergeCell ref="R114:R115"/>
    <mergeCell ref="R118:R119"/>
    <mergeCell ref="R120:R121"/>
    <mergeCell ref="R122:R123"/>
    <mergeCell ref="R124:R125"/>
    <mergeCell ref="R127:R129"/>
    <mergeCell ref="R130:R131"/>
    <mergeCell ref="R132:R133"/>
    <mergeCell ref="R141:R142"/>
    <mergeCell ref="R144:R145"/>
    <mergeCell ref="R146:R147"/>
    <mergeCell ref="R148:R149"/>
    <mergeCell ref="R150:R151"/>
    <mergeCell ref="R155:R156"/>
    <mergeCell ref="R157:R158"/>
    <mergeCell ref="R159:R160"/>
    <mergeCell ref="R161:R162"/>
    <mergeCell ref="R163:R164"/>
    <mergeCell ref="R165:R166"/>
    <mergeCell ref="R167:R168"/>
    <mergeCell ref="R169:R170"/>
    <mergeCell ref="R171:R172"/>
    <mergeCell ref="R173:R180"/>
    <mergeCell ref="R183:R184"/>
    <mergeCell ref="R185:R186"/>
    <mergeCell ref="R187:R188"/>
    <mergeCell ref="R189:R190"/>
    <mergeCell ref="R191:R192"/>
    <mergeCell ref="R195:R196"/>
    <mergeCell ref="R197:R198"/>
    <mergeCell ref="R199:R201"/>
    <mergeCell ref="R202:R204"/>
    <mergeCell ref="R205:R206"/>
    <mergeCell ref="R218:R219"/>
    <mergeCell ref="R220:R221"/>
    <mergeCell ref="R222:R223"/>
    <mergeCell ref="R224:R228"/>
    <mergeCell ref="R229:R233"/>
    <mergeCell ref="R234:R236"/>
    <mergeCell ref="R237:R238"/>
    <mergeCell ref="R239:R241"/>
    <mergeCell ref="R242:R244"/>
    <mergeCell ref="R245:R248"/>
    <mergeCell ref="R249:R252"/>
    <mergeCell ref="R255:R256"/>
    <mergeCell ref="R257:R258"/>
    <mergeCell ref="R259:R260"/>
    <mergeCell ref="R261:R262"/>
    <mergeCell ref="R263:R264"/>
    <mergeCell ref="R265:R266"/>
    <mergeCell ref="R271:R273"/>
    <mergeCell ref="R274:R276"/>
    <mergeCell ref="R277:R279"/>
    <mergeCell ref="R280:R282"/>
    <mergeCell ref="R285:R286"/>
    <mergeCell ref="R290:R293"/>
    <mergeCell ref="R295:R298"/>
    <mergeCell ref="R299:R300"/>
    <mergeCell ref="R301:R303"/>
    <mergeCell ref="R304:R306"/>
    <mergeCell ref="R309:R310"/>
    <mergeCell ref="R311:R312"/>
    <mergeCell ref="R313:R314"/>
    <mergeCell ref="R315:R316"/>
    <mergeCell ref="R325:R326"/>
    <mergeCell ref="R329:R330"/>
    <mergeCell ref="R331:R332"/>
    <mergeCell ref="R335:R336"/>
    <mergeCell ref="R337:R338"/>
    <mergeCell ref="R361:R362"/>
    <mergeCell ref="R363:R364"/>
    <mergeCell ref="R365:R366"/>
    <mergeCell ref="R367:R368"/>
    <mergeCell ref="R371:R372"/>
    <mergeCell ref="S4:S7"/>
    <mergeCell ref="S8:S9"/>
    <mergeCell ref="S10:S15"/>
    <mergeCell ref="S17:S18"/>
    <mergeCell ref="S21:S22"/>
    <mergeCell ref="S23:S25"/>
    <mergeCell ref="S26:S27"/>
    <mergeCell ref="S32:S33"/>
    <mergeCell ref="S34:S35"/>
    <mergeCell ref="S36:S39"/>
    <mergeCell ref="S40:S44"/>
    <mergeCell ref="S45:S51"/>
    <mergeCell ref="S53:S55"/>
    <mergeCell ref="S56:S57"/>
    <mergeCell ref="S59:S61"/>
    <mergeCell ref="S62:S67"/>
    <mergeCell ref="S68:S69"/>
    <mergeCell ref="S70:S74"/>
    <mergeCell ref="S75:S77"/>
    <mergeCell ref="S78:S79"/>
    <mergeCell ref="S80:S81"/>
    <mergeCell ref="S82:S87"/>
    <mergeCell ref="S88:S92"/>
    <mergeCell ref="S93:S94"/>
    <mergeCell ref="S96:S98"/>
    <mergeCell ref="S99:S100"/>
    <mergeCell ref="S101:S104"/>
    <mergeCell ref="S108:S109"/>
    <mergeCell ref="S110:S111"/>
    <mergeCell ref="S114:S115"/>
    <mergeCell ref="S118:S119"/>
    <mergeCell ref="S120:S121"/>
    <mergeCell ref="S122:S123"/>
    <mergeCell ref="S124:S125"/>
    <mergeCell ref="S127:S129"/>
    <mergeCell ref="S130:S131"/>
    <mergeCell ref="S132:S133"/>
    <mergeCell ref="S141:S142"/>
    <mergeCell ref="S144:S145"/>
    <mergeCell ref="S146:S147"/>
    <mergeCell ref="S148:S149"/>
    <mergeCell ref="S150:S151"/>
    <mergeCell ref="S155:S156"/>
    <mergeCell ref="S157:S158"/>
    <mergeCell ref="S159:S160"/>
    <mergeCell ref="S161:S162"/>
    <mergeCell ref="S163:S164"/>
    <mergeCell ref="S165:S166"/>
    <mergeCell ref="S167:S168"/>
    <mergeCell ref="S169:S170"/>
    <mergeCell ref="S171:S172"/>
    <mergeCell ref="S173:S180"/>
    <mergeCell ref="S183:S184"/>
    <mergeCell ref="S185:S186"/>
    <mergeCell ref="S187:S188"/>
    <mergeCell ref="S189:S190"/>
    <mergeCell ref="S191:S192"/>
    <mergeCell ref="S195:S196"/>
    <mergeCell ref="S197:S198"/>
    <mergeCell ref="S199:S201"/>
    <mergeCell ref="S202:S204"/>
    <mergeCell ref="S205:S206"/>
    <mergeCell ref="S218:S219"/>
    <mergeCell ref="S220:S221"/>
    <mergeCell ref="S222:S223"/>
    <mergeCell ref="S224:S228"/>
    <mergeCell ref="S229:S233"/>
    <mergeCell ref="S234:S236"/>
    <mergeCell ref="S237:S238"/>
    <mergeCell ref="S239:S241"/>
    <mergeCell ref="S242:S244"/>
    <mergeCell ref="S245:S248"/>
    <mergeCell ref="S249:S252"/>
    <mergeCell ref="S255:S256"/>
    <mergeCell ref="S257:S258"/>
    <mergeCell ref="S259:S260"/>
    <mergeCell ref="S261:S262"/>
    <mergeCell ref="S263:S264"/>
    <mergeCell ref="S265:S266"/>
    <mergeCell ref="S271:S273"/>
    <mergeCell ref="S274:S276"/>
    <mergeCell ref="S277:S279"/>
    <mergeCell ref="S280:S282"/>
    <mergeCell ref="S285:S286"/>
    <mergeCell ref="S290:S293"/>
    <mergeCell ref="S295:S298"/>
    <mergeCell ref="S299:S300"/>
    <mergeCell ref="S301:S303"/>
    <mergeCell ref="S304:S306"/>
    <mergeCell ref="S309:S310"/>
    <mergeCell ref="S311:S312"/>
    <mergeCell ref="S313:S314"/>
    <mergeCell ref="S315:S316"/>
    <mergeCell ref="S325:S326"/>
    <mergeCell ref="S329:S330"/>
    <mergeCell ref="S331:S332"/>
    <mergeCell ref="S335:S336"/>
    <mergeCell ref="S337:S338"/>
    <mergeCell ref="S361:S362"/>
    <mergeCell ref="S363:S364"/>
    <mergeCell ref="S365:S366"/>
    <mergeCell ref="S367:S368"/>
    <mergeCell ref="S371:S372"/>
    <mergeCell ref="T4:T7"/>
    <mergeCell ref="T8:T9"/>
    <mergeCell ref="T10:T15"/>
    <mergeCell ref="T17:T18"/>
    <mergeCell ref="T21:T22"/>
    <mergeCell ref="T23:T25"/>
    <mergeCell ref="T26:T27"/>
    <mergeCell ref="T32:T33"/>
    <mergeCell ref="T34:T35"/>
    <mergeCell ref="T36:T39"/>
    <mergeCell ref="T40:T44"/>
    <mergeCell ref="T45:T51"/>
    <mergeCell ref="T53:T55"/>
    <mergeCell ref="T56:T57"/>
    <mergeCell ref="T59:T61"/>
    <mergeCell ref="T62:T67"/>
    <mergeCell ref="T68:T69"/>
    <mergeCell ref="T70:T74"/>
    <mergeCell ref="T75:T77"/>
    <mergeCell ref="T78:T79"/>
    <mergeCell ref="T80:T81"/>
    <mergeCell ref="T82:T87"/>
    <mergeCell ref="T88:T92"/>
    <mergeCell ref="T93:T94"/>
    <mergeCell ref="T96:T98"/>
    <mergeCell ref="T99:T100"/>
    <mergeCell ref="T101:T104"/>
    <mergeCell ref="T108:T109"/>
    <mergeCell ref="T110:T111"/>
    <mergeCell ref="T114:T115"/>
    <mergeCell ref="T118:T119"/>
    <mergeCell ref="T120:T121"/>
    <mergeCell ref="T122:T123"/>
    <mergeCell ref="T124:T125"/>
    <mergeCell ref="T127:T129"/>
    <mergeCell ref="T130:T131"/>
    <mergeCell ref="T132:T133"/>
    <mergeCell ref="T141:T142"/>
    <mergeCell ref="T144:T145"/>
    <mergeCell ref="T146:T147"/>
    <mergeCell ref="T148:T149"/>
    <mergeCell ref="T150:T151"/>
    <mergeCell ref="T155:T156"/>
    <mergeCell ref="T157:T158"/>
    <mergeCell ref="T159:T160"/>
    <mergeCell ref="T161:T162"/>
    <mergeCell ref="T163:T164"/>
    <mergeCell ref="T165:T166"/>
    <mergeCell ref="T167:T168"/>
    <mergeCell ref="T169:T170"/>
    <mergeCell ref="T171:T172"/>
    <mergeCell ref="T173:T180"/>
    <mergeCell ref="T183:T184"/>
    <mergeCell ref="T185:T186"/>
    <mergeCell ref="T187:T188"/>
    <mergeCell ref="T189:T190"/>
    <mergeCell ref="T191:T192"/>
    <mergeCell ref="T195:T196"/>
    <mergeCell ref="T197:T198"/>
    <mergeCell ref="T199:T201"/>
    <mergeCell ref="T202:T204"/>
    <mergeCell ref="T205:T206"/>
    <mergeCell ref="T218:T219"/>
    <mergeCell ref="T220:T221"/>
    <mergeCell ref="T222:T223"/>
    <mergeCell ref="T224:T228"/>
    <mergeCell ref="T229:T233"/>
    <mergeCell ref="T234:T236"/>
    <mergeCell ref="T237:T238"/>
    <mergeCell ref="T239:T241"/>
    <mergeCell ref="T242:T244"/>
    <mergeCell ref="T245:T248"/>
    <mergeCell ref="T249:T252"/>
    <mergeCell ref="T255:T256"/>
    <mergeCell ref="T257:T258"/>
    <mergeCell ref="T259:T260"/>
    <mergeCell ref="T261:T262"/>
    <mergeCell ref="T263:T264"/>
    <mergeCell ref="T265:T266"/>
    <mergeCell ref="T271:T273"/>
    <mergeCell ref="T274:T276"/>
    <mergeCell ref="T277:T279"/>
    <mergeCell ref="T280:T282"/>
    <mergeCell ref="T285:T286"/>
    <mergeCell ref="T290:T293"/>
    <mergeCell ref="T295:T298"/>
    <mergeCell ref="T299:T300"/>
    <mergeCell ref="T301:T303"/>
    <mergeCell ref="T304:T306"/>
    <mergeCell ref="T309:T310"/>
    <mergeCell ref="T311:T312"/>
    <mergeCell ref="T313:T314"/>
    <mergeCell ref="T315:T316"/>
    <mergeCell ref="T325:T326"/>
    <mergeCell ref="T329:T330"/>
    <mergeCell ref="T331:T332"/>
    <mergeCell ref="T335:T336"/>
    <mergeCell ref="T337:T338"/>
    <mergeCell ref="T361:T362"/>
    <mergeCell ref="T363:T364"/>
    <mergeCell ref="T365:T366"/>
    <mergeCell ref="T367:T368"/>
    <mergeCell ref="T371:T372"/>
    <mergeCell ref="U4:U7"/>
    <mergeCell ref="U8:U9"/>
    <mergeCell ref="U10:U15"/>
    <mergeCell ref="U17:U18"/>
    <mergeCell ref="U21:U22"/>
    <mergeCell ref="U23:U25"/>
    <mergeCell ref="U26:U27"/>
    <mergeCell ref="U32:U33"/>
    <mergeCell ref="U34:U35"/>
    <mergeCell ref="U36:U39"/>
    <mergeCell ref="U40:U44"/>
    <mergeCell ref="U45:U51"/>
    <mergeCell ref="U53:U55"/>
    <mergeCell ref="U56:U57"/>
    <mergeCell ref="U59:U61"/>
    <mergeCell ref="U62:U67"/>
    <mergeCell ref="U68:U69"/>
    <mergeCell ref="U70:U74"/>
    <mergeCell ref="U75:U77"/>
    <mergeCell ref="U78:U79"/>
    <mergeCell ref="U80:U81"/>
    <mergeCell ref="U82:U87"/>
    <mergeCell ref="U88:U92"/>
    <mergeCell ref="U93:U94"/>
    <mergeCell ref="U96:U98"/>
    <mergeCell ref="U99:U100"/>
    <mergeCell ref="U101:U104"/>
    <mergeCell ref="U108:U109"/>
    <mergeCell ref="U110:U111"/>
    <mergeCell ref="U114:U115"/>
    <mergeCell ref="U118:U119"/>
    <mergeCell ref="U120:U121"/>
    <mergeCell ref="U122:U123"/>
    <mergeCell ref="U124:U125"/>
    <mergeCell ref="U127:U129"/>
    <mergeCell ref="U130:U131"/>
    <mergeCell ref="U132:U133"/>
    <mergeCell ref="U141:U142"/>
    <mergeCell ref="U144:U145"/>
    <mergeCell ref="U146:U147"/>
    <mergeCell ref="U148:U149"/>
    <mergeCell ref="U150:U151"/>
    <mergeCell ref="U155:U156"/>
    <mergeCell ref="U157:U158"/>
    <mergeCell ref="U159:U160"/>
    <mergeCell ref="U161:U162"/>
    <mergeCell ref="U163:U164"/>
    <mergeCell ref="U165:U166"/>
    <mergeCell ref="U167:U168"/>
    <mergeCell ref="U169:U170"/>
    <mergeCell ref="U171:U172"/>
    <mergeCell ref="U173:U180"/>
    <mergeCell ref="U183:U184"/>
    <mergeCell ref="U185:U186"/>
    <mergeCell ref="U187:U188"/>
    <mergeCell ref="U189:U190"/>
    <mergeCell ref="U191:U192"/>
    <mergeCell ref="U195:U196"/>
    <mergeCell ref="U197:U198"/>
    <mergeCell ref="U199:U201"/>
    <mergeCell ref="U202:U204"/>
    <mergeCell ref="U205:U206"/>
    <mergeCell ref="U218:U219"/>
    <mergeCell ref="U220:U221"/>
    <mergeCell ref="U222:U223"/>
    <mergeCell ref="U224:U228"/>
    <mergeCell ref="U229:U233"/>
    <mergeCell ref="U234:U236"/>
    <mergeCell ref="U237:U238"/>
    <mergeCell ref="U239:U241"/>
    <mergeCell ref="U242:U244"/>
    <mergeCell ref="U245:U248"/>
    <mergeCell ref="U249:U252"/>
    <mergeCell ref="U255:U256"/>
    <mergeCell ref="U257:U258"/>
    <mergeCell ref="U259:U260"/>
    <mergeCell ref="U261:U262"/>
    <mergeCell ref="U263:U264"/>
    <mergeCell ref="U265:U266"/>
    <mergeCell ref="U271:U273"/>
    <mergeCell ref="U274:U276"/>
    <mergeCell ref="U277:U279"/>
    <mergeCell ref="U280:U282"/>
    <mergeCell ref="U285:U286"/>
    <mergeCell ref="U290:U293"/>
    <mergeCell ref="U295:U298"/>
    <mergeCell ref="U299:U300"/>
    <mergeCell ref="U301:U303"/>
    <mergeCell ref="U304:U306"/>
    <mergeCell ref="U309:U310"/>
    <mergeCell ref="U311:U312"/>
    <mergeCell ref="U313:U314"/>
    <mergeCell ref="U315:U316"/>
    <mergeCell ref="U325:U326"/>
    <mergeCell ref="U329:U330"/>
    <mergeCell ref="U331:U332"/>
    <mergeCell ref="U335:U336"/>
    <mergeCell ref="U337:U338"/>
    <mergeCell ref="U361:U362"/>
    <mergeCell ref="U363:U364"/>
    <mergeCell ref="U365:U366"/>
    <mergeCell ref="U367:U368"/>
    <mergeCell ref="U371:U372"/>
  </mergeCells>
  <conditionalFormatting sqref="X3">
    <cfRule type="duplicateValues" dxfId="0" priority="1"/>
  </conditionalFormatting>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9"/>
  <sheetViews>
    <sheetView workbookViewId="0">
      <selection activeCell="K1" sqref="K1:M19"/>
    </sheetView>
  </sheetViews>
  <sheetFormatPr defaultColWidth="9" defaultRowHeight="14.25"/>
  <cols>
    <col min="1" max="1" width="17.5" customWidth="1"/>
    <col min="2" max="2" width="11.25" customWidth="1"/>
    <col min="3" max="3" width="22" customWidth="1"/>
    <col min="4" max="4" width="14.125" customWidth="1"/>
    <col min="6" max="6" width="5.375" customWidth="1"/>
    <col min="7" max="7" width="19.25" customWidth="1"/>
    <col min="8" max="13" width="8.5" customWidth="1"/>
    <col min="14" max="14" width="15.125" customWidth="1"/>
    <col min="15" max="15" width="27.375" customWidth="1"/>
    <col min="16" max="16" width="3.875" customWidth="1"/>
    <col min="17" max="17" width="17.125" customWidth="1"/>
    <col min="18" max="18" width="31.375" customWidth="1"/>
    <col min="19" max="19" width="5.75" customWidth="1"/>
    <col min="20" max="20" width="12" customWidth="1"/>
  </cols>
  <sheetData>
    <row r="1" ht="35" customHeight="1" spans="1:23">
      <c r="A1" s="14" t="s">
        <v>24</v>
      </c>
      <c r="B1" s="14" t="s">
        <v>25</v>
      </c>
      <c r="C1" s="15" t="s">
        <v>5</v>
      </c>
      <c r="D1" s="14" t="s">
        <v>26</v>
      </c>
      <c r="E1" s="14" t="s">
        <v>27</v>
      </c>
      <c r="F1" s="14" t="s">
        <v>9</v>
      </c>
      <c r="G1" s="14" t="s">
        <v>28</v>
      </c>
      <c r="H1" s="24" t="s">
        <v>29</v>
      </c>
      <c r="I1" s="24" t="s">
        <v>30</v>
      </c>
      <c r="J1" s="24" t="s">
        <v>31</v>
      </c>
      <c r="K1" s="24" t="s">
        <v>1859</v>
      </c>
      <c r="L1" s="24" t="s">
        <v>1860</v>
      </c>
      <c r="M1" s="24" t="s">
        <v>1861</v>
      </c>
      <c r="N1" s="14" t="s">
        <v>4</v>
      </c>
      <c r="O1" s="14" t="s">
        <v>5</v>
      </c>
      <c r="P1" s="14" t="s">
        <v>6</v>
      </c>
      <c r="Q1" s="14" t="s">
        <v>7</v>
      </c>
      <c r="R1" s="14" t="s">
        <v>8</v>
      </c>
      <c r="S1" s="14" t="s">
        <v>9</v>
      </c>
      <c r="T1" s="14" t="s">
        <v>10</v>
      </c>
      <c r="U1" s="14" t="s">
        <v>16</v>
      </c>
      <c r="V1" s="14" t="s">
        <v>17</v>
      </c>
      <c r="W1" s="14" t="s">
        <v>18</v>
      </c>
    </row>
    <row r="2" ht="26" customHeight="1" spans="1:23">
      <c r="A2" s="16" t="s">
        <v>1862</v>
      </c>
      <c r="B2" s="16">
        <v>330802004</v>
      </c>
      <c r="C2" s="16" t="s">
        <v>1863</v>
      </c>
      <c r="D2" s="16" t="s">
        <v>1864</v>
      </c>
      <c r="E2" s="16"/>
      <c r="F2" s="16" t="s">
        <v>924</v>
      </c>
      <c r="G2" s="25" t="s">
        <v>928</v>
      </c>
      <c r="H2" s="16">
        <v>9900</v>
      </c>
      <c r="I2" s="16">
        <v>8910</v>
      </c>
      <c r="J2" s="16">
        <v>7570</v>
      </c>
      <c r="K2" s="16">
        <f>U2+U3*0.5</f>
        <v>10600</v>
      </c>
      <c r="L2" s="16">
        <f>V2+V3*0.5</f>
        <v>9545</v>
      </c>
      <c r="M2" s="16">
        <f>W2+W3*0.5</f>
        <v>8115</v>
      </c>
      <c r="N2" s="34" t="s">
        <v>916</v>
      </c>
      <c r="O2" s="34" t="s">
        <v>917</v>
      </c>
      <c r="P2" s="34" t="s">
        <v>350</v>
      </c>
      <c r="Q2" s="38" t="s">
        <v>918</v>
      </c>
      <c r="R2" s="38" t="s">
        <v>919</v>
      </c>
      <c r="S2" s="34" t="s">
        <v>54</v>
      </c>
      <c r="T2" s="34" t="s">
        <v>40</v>
      </c>
      <c r="U2" s="34">
        <v>7950</v>
      </c>
      <c r="V2" s="34">
        <v>7160</v>
      </c>
      <c r="W2" s="34">
        <v>6090</v>
      </c>
    </row>
    <row r="3" ht="26" customHeight="1" spans="1:23">
      <c r="A3" s="16"/>
      <c r="B3" s="16"/>
      <c r="C3" s="16"/>
      <c r="D3" s="16"/>
      <c r="E3" s="16"/>
      <c r="F3" s="16"/>
      <c r="G3" s="25"/>
      <c r="H3" s="16"/>
      <c r="I3" s="16"/>
      <c r="J3" s="16"/>
      <c r="K3" s="16"/>
      <c r="L3" s="16"/>
      <c r="M3" s="16"/>
      <c r="N3" s="35" t="s">
        <v>1486</v>
      </c>
      <c r="O3" s="35" t="s">
        <v>1487</v>
      </c>
      <c r="P3" s="35" t="s">
        <v>350</v>
      </c>
      <c r="Q3" s="39" t="s">
        <v>1488</v>
      </c>
      <c r="R3" s="39" t="s">
        <v>1435</v>
      </c>
      <c r="S3" s="35" t="s">
        <v>54</v>
      </c>
      <c r="T3" s="39" t="s">
        <v>40</v>
      </c>
      <c r="U3" s="35">
        <v>5300</v>
      </c>
      <c r="V3" s="35">
        <v>4770</v>
      </c>
      <c r="W3" s="35">
        <v>4050</v>
      </c>
    </row>
    <row r="4" ht="26" customHeight="1" spans="1:23">
      <c r="A4" s="17" t="s">
        <v>1865</v>
      </c>
      <c r="B4" s="17">
        <v>33080200402</v>
      </c>
      <c r="C4" s="17" t="s">
        <v>1866</v>
      </c>
      <c r="D4" s="17"/>
      <c r="E4" s="17"/>
      <c r="F4" s="17" t="s">
        <v>924</v>
      </c>
      <c r="G4" s="17" t="s">
        <v>40</v>
      </c>
      <c r="H4" s="17">
        <v>12870</v>
      </c>
      <c r="I4" s="17">
        <v>11585</v>
      </c>
      <c r="J4" s="17">
        <v>9845</v>
      </c>
      <c r="K4" s="27">
        <f>U4+U5+(U6+U7)*0.5</f>
        <v>13780</v>
      </c>
      <c r="L4" s="27">
        <f>V4+V5+(V6+V7)*0.5</f>
        <v>12410</v>
      </c>
      <c r="M4" s="27">
        <f>W4+W5+(W6+W7)*0.5</f>
        <v>10547.5</v>
      </c>
      <c r="N4" s="34" t="s">
        <v>916</v>
      </c>
      <c r="O4" s="34" t="s">
        <v>917</v>
      </c>
      <c r="P4" s="34" t="s">
        <v>350</v>
      </c>
      <c r="Q4" s="38" t="s">
        <v>918</v>
      </c>
      <c r="R4" s="38" t="s">
        <v>919</v>
      </c>
      <c r="S4" s="34" t="s">
        <v>54</v>
      </c>
      <c r="T4" s="34" t="s">
        <v>40</v>
      </c>
      <c r="U4" s="34">
        <v>7950</v>
      </c>
      <c r="V4" s="34">
        <v>7160</v>
      </c>
      <c r="W4" s="34">
        <v>6090</v>
      </c>
    </row>
    <row r="5" ht="26" customHeight="1" spans="1:23">
      <c r="A5" s="18"/>
      <c r="B5" s="18"/>
      <c r="C5" s="18"/>
      <c r="D5" s="18"/>
      <c r="E5" s="18"/>
      <c r="F5" s="18"/>
      <c r="G5" s="18"/>
      <c r="H5" s="18"/>
      <c r="I5" s="18"/>
      <c r="J5" s="18"/>
      <c r="K5" s="28"/>
      <c r="L5" s="28"/>
      <c r="M5" s="28"/>
      <c r="N5" s="34" t="s">
        <v>929</v>
      </c>
      <c r="O5" s="34" t="s">
        <v>930</v>
      </c>
      <c r="P5" s="34" t="s">
        <v>350</v>
      </c>
      <c r="Q5" s="38" t="s">
        <v>40</v>
      </c>
      <c r="R5" s="38" t="s">
        <v>40</v>
      </c>
      <c r="S5" s="34" t="s">
        <v>54</v>
      </c>
      <c r="T5" s="34" t="s">
        <v>40</v>
      </c>
      <c r="U5" s="34">
        <v>2385</v>
      </c>
      <c r="V5" s="34">
        <v>2150</v>
      </c>
      <c r="W5" s="34">
        <v>1825</v>
      </c>
    </row>
    <row r="6" ht="26" customHeight="1" spans="1:23">
      <c r="A6" s="18"/>
      <c r="B6" s="18"/>
      <c r="C6" s="18"/>
      <c r="D6" s="18"/>
      <c r="E6" s="18"/>
      <c r="F6" s="18"/>
      <c r="G6" s="18"/>
      <c r="H6" s="18"/>
      <c r="I6" s="18"/>
      <c r="J6" s="18"/>
      <c r="K6" s="28"/>
      <c r="L6" s="28"/>
      <c r="M6" s="28"/>
      <c r="N6" s="35" t="s">
        <v>1486</v>
      </c>
      <c r="O6" s="35" t="s">
        <v>1487</v>
      </c>
      <c r="P6" s="35" t="s">
        <v>350</v>
      </c>
      <c r="Q6" s="39" t="s">
        <v>1488</v>
      </c>
      <c r="R6" s="39" t="s">
        <v>1435</v>
      </c>
      <c r="S6" s="35" t="s">
        <v>54</v>
      </c>
      <c r="T6" s="39" t="s">
        <v>40</v>
      </c>
      <c r="U6" s="35">
        <v>5300</v>
      </c>
      <c r="V6" s="35">
        <v>4770</v>
      </c>
      <c r="W6" s="35">
        <v>4050</v>
      </c>
    </row>
    <row r="7" ht="26" customHeight="1" spans="1:23">
      <c r="A7" s="19"/>
      <c r="B7" s="19"/>
      <c r="C7" s="19"/>
      <c r="D7" s="19"/>
      <c r="E7" s="19"/>
      <c r="F7" s="19"/>
      <c r="G7" s="19"/>
      <c r="H7" s="19"/>
      <c r="I7" s="19"/>
      <c r="J7" s="19"/>
      <c r="K7" s="29"/>
      <c r="L7" s="29"/>
      <c r="M7" s="29"/>
      <c r="N7" s="35" t="s">
        <v>1493</v>
      </c>
      <c r="O7" s="35" t="s">
        <v>1494</v>
      </c>
      <c r="P7" s="35" t="s">
        <v>350</v>
      </c>
      <c r="Q7" s="39" t="s">
        <v>40</v>
      </c>
      <c r="R7" s="39" t="s">
        <v>40</v>
      </c>
      <c r="S7" s="35" t="s">
        <v>54</v>
      </c>
      <c r="T7" s="39" t="s">
        <v>40</v>
      </c>
      <c r="U7" s="35">
        <v>1590</v>
      </c>
      <c r="V7" s="35">
        <v>1430</v>
      </c>
      <c r="W7" s="35">
        <v>1215</v>
      </c>
    </row>
    <row r="8" ht="26" customHeight="1" spans="1:23">
      <c r="A8" s="20" t="s">
        <v>1867</v>
      </c>
      <c r="B8" s="20">
        <v>330802005</v>
      </c>
      <c r="C8" s="20" t="s">
        <v>1868</v>
      </c>
      <c r="D8" s="20"/>
      <c r="E8" s="20"/>
      <c r="F8" s="20" t="s">
        <v>924</v>
      </c>
      <c r="G8" s="26" t="s">
        <v>928</v>
      </c>
      <c r="H8" s="20">
        <v>10100</v>
      </c>
      <c r="I8" s="20">
        <v>9090</v>
      </c>
      <c r="J8" s="20">
        <v>7730</v>
      </c>
      <c r="K8" s="30">
        <f>U9+U8*0.5</f>
        <v>12640</v>
      </c>
      <c r="L8" s="30">
        <f>V9+V8*0.5</f>
        <v>11380</v>
      </c>
      <c r="M8" s="30">
        <f>W9+W8*0.5</f>
        <v>9675</v>
      </c>
      <c r="N8" s="36" t="s">
        <v>916</v>
      </c>
      <c r="O8" s="36" t="s">
        <v>917</v>
      </c>
      <c r="P8" s="36" t="s">
        <v>350</v>
      </c>
      <c r="Q8" s="40" t="s">
        <v>918</v>
      </c>
      <c r="R8" s="40" t="s">
        <v>919</v>
      </c>
      <c r="S8" s="36" t="s">
        <v>54</v>
      </c>
      <c r="T8" s="36" t="s">
        <v>40</v>
      </c>
      <c r="U8" s="36">
        <v>7950</v>
      </c>
      <c r="V8" s="36">
        <v>7160</v>
      </c>
      <c r="W8" s="36">
        <v>6090</v>
      </c>
    </row>
    <row r="9" ht="26" customHeight="1" spans="1:23">
      <c r="A9" s="20"/>
      <c r="B9" s="20"/>
      <c r="C9" s="20"/>
      <c r="D9" s="20"/>
      <c r="E9" s="20"/>
      <c r="F9" s="20"/>
      <c r="G9" s="26"/>
      <c r="H9" s="20"/>
      <c r="I9" s="20"/>
      <c r="J9" s="20"/>
      <c r="K9" s="30"/>
      <c r="L9" s="30"/>
      <c r="M9" s="30"/>
      <c r="N9" s="36" t="s">
        <v>1630</v>
      </c>
      <c r="O9" s="36" t="s">
        <v>1631</v>
      </c>
      <c r="P9" s="36" t="s">
        <v>350</v>
      </c>
      <c r="Q9" s="40" t="s">
        <v>1632</v>
      </c>
      <c r="R9" s="40" t="s">
        <v>1633</v>
      </c>
      <c r="S9" s="36" t="s">
        <v>54</v>
      </c>
      <c r="T9" s="36" t="s">
        <v>40</v>
      </c>
      <c r="U9" s="36">
        <v>8665</v>
      </c>
      <c r="V9" s="36">
        <v>7800</v>
      </c>
      <c r="W9" s="36">
        <v>6630</v>
      </c>
    </row>
    <row r="10" ht="26" customHeight="1" spans="1:23">
      <c r="A10" s="21" t="s">
        <v>1869</v>
      </c>
      <c r="B10" s="21">
        <v>33080200502</v>
      </c>
      <c r="C10" s="21" t="s">
        <v>1870</v>
      </c>
      <c r="D10" s="21"/>
      <c r="E10" s="21"/>
      <c r="F10" s="21" t="s">
        <v>924</v>
      </c>
      <c r="G10" s="21"/>
      <c r="H10" s="21">
        <v>13130</v>
      </c>
      <c r="I10" s="21">
        <v>11815</v>
      </c>
      <c r="J10" s="21">
        <v>10045</v>
      </c>
      <c r="K10" s="31">
        <f>U12+U13+(U10+U11)*0.5</f>
        <v>16432.5</v>
      </c>
      <c r="L10" s="31">
        <f>V12+V13+(V10+V11)*0.5</f>
        <v>14795</v>
      </c>
      <c r="M10" s="31">
        <f>W12+W13+(W10+W11)*0.5</f>
        <v>12577.5</v>
      </c>
      <c r="N10" s="36" t="s">
        <v>916</v>
      </c>
      <c r="O10" s="36" t="s">
        <v>917</v>
      </c>
      <c r="P10" s="36" t="s">
        <v>350</v>
      </c>
      <c r="Q10" s="40" t="s">
        <v>918</v>
      </c>
      <c r="R10" s="40" t="s">
        <v>919</v>
      </c>
      <c r="S10" s="36" t="s">
        <v>54</v>
      </c>
      <c r="T10" s="36" t="s">
        <v>40</v>
      </c>
      <c r="U10" s="36">
        <v>7950</v>
      </c>
      <c r="V10" s="36">
        <v>7160</v>
      </c>
      <c r="W10" s="36">
        <v>6090</v>
      </c>
    </row>
    <row r="11" ht="26" customHeight="1" spans="1:23">
      <c r="A11" s="22"/>
      <c r="B11" s="22"/>
      <c r="C11" s="22"/>
      <c r="D11" s="22"/>
      <c r="E11" s="22"/>
      <c r="F11" s="22"/>
      <c r="G11" s="22"/>
      <c r="H11" s="22"/>
      <c r="I11" s="22"/>
      <c r="J11" s="22"/>
      <c r="K11" s="32"/>
      <c r="L11" s="32"/>
      <c r="M11" s="32"/>
      <c r="N11" s="36" t="s">
        <v>929</v>
      </c>
      <c r="O11" s="36" t="s">
        <v>930</v>
      </c>
      <c r="P11" s="36" t="s">
        <v>350</v>
      </c>
      <c r="Q11" s="40" t="s">
        <v>40</v>
      </c>
      <c r="R11" s="40" t="s">
        <v>40</v>
      </c>
      <c r="S11" s="36" t="s">
        <v>54</v>
      </c>
      <c r="T11" s="36" t="s">
        <v>40</v>
      </c>
      <c r="U11" s="36">
        <v>2385</v>
      </c>
      <c r="V11" s="36">
        <v>2150</v>
      </c>
      <c r="W11" s="36">
        <v>1825</v>
      </c>
    </row>
    <row r="12" ht="26" customHeight="1" spans="1:23">
      <c r="A12" s="22"/>
      <c r="B12" s="22"/>
      <c r="C12" s="22"/>
      <c r="D12" s="22"/>
      <c r="E12" s="22"/>
      <c r="F12" s="22"/>
      <c r="G12" s="22"/>
      <c r="H12" s="22"/>
      <c r="I12" s="22"/>
      <c r="J12" s="22"/>
      <c r="K12" s="32"/>
      <c r="L12" s="32"/>
      <c r="M12" s="32"/>
      <c r="N12" s="36" t="s">
        <v>1630</v>
      </c>
      <c r="O12" s="36" t="s">
        <v>1631</v>
      </c>
      <c r="P12" s="36" t="s">
        <v>350</v>
      </c>
      <c r="Q12" s="40" t="s">
        <v>1632</v>
      </c>
      <c r="R12" s="40" t="s">
        <v>1633</v>
      </c>
      <c r="S12" s="36" t="s">
        <v>54</v>
      </c>
      <c r="T12" s="36" t="s">
        <v>40</v>
      </c>
      <c r="U12" s="36">
        <v>8665</v>
      </c>
      <c r="V12" s="36">
        <v>7800</v>
      </c>
      <c r="W12" s="36">
        <v>6630</v>
      </c>
    </row>
    <row r="13" ht="26" customHeight="1" spans="1:23">
      <c r="A13" s="23"/>
      <c r="B13" s="23"/>
      <c r="C13" s="23"/>
      <c r="D13" s="23"/>
      <c r="E13" s="23"/>
      <c r="F13" s="23"/>
      <c r="G13" s="23"/>
      <c r="H13" s="23"/>
      <c r="I13" s="23"/>
      <c r="J13" s="23"/>
      <c r="K13" s="33"/>
      <c r="L13" s="33"/>
      <c r="M13" s="33"/>
      <c r="N13" s="37" t="s">
        <v>1636</v>
      </c>
      <c r="O13" s="37" t="s">
        <v>1637</v>
      </c>
      <c r="P13" s="37" t="s">
        <v>350</v>
      </c>
      <c r="Q13" s="41" t="s">
        <v>40</v>
      </c>
      <c r="R13" s="41" t="s">
        <v>40</v>
      </c>
      <c r="S13" s="37" t="s">
        <v>54</v>
      </c>
      <c r="T13" s="36" t="s">
        <v>40</v>
      </c>
      <c r="U13" s="37">
        <v>2600</v>
      </c>
      <c r="V13" s="37">
        <v>2340</v>
      </c>
      <c r="W13" s="37">
        <v>1990</v>
      </c>
    </row>
    <row r="14" ht="26" customHeight="1" spans="1:23">
      <c r="A14" s="16" t="s">
        <v>1871</v>
      </c>
      <c r="B14" s="16">
        <v>330802030</v>
      </c>
      <c r="C14" s="16" t="s">
        <v>1872</v>
      </c>
      <c r="D14" s="16" t="s">
        <v>1873</v>
      </c>
      <c r="E14" s="16"/>
      <c r="F14" s="16" t="s">
        <v>54</v>
      </c>
      <c r="G14" s="25" t="s">
        <v>40</v>
      </c>
      <c r="H14" s="16">
        <v>7480</v>
      </c>
      <c r="I14" s="16">
        <v>6730</v>
      </c>
      <c r="J14" s="16">
        <v>5380</v>
      </c>
      <c r="K14" s="16">
        <f t="shared" ref="K14:M14" si="0">U14+U15*0.5</f>
        <v>11415</v>
      </c>
      <c r="L14" s="16">
        <f t="shared" si="0"/>
        <v>10275</v>
      </c>
      <c r="M14" s="16">
        <f t="shared" si="0"/>
        <v>8730</v>
      </c>
      <c r="N14" s="34" t="s">
        <v>1630</v>
      </c>
      <c r="O14" s="34" t="s">
        <v>1631</v>
      </c>
      <c r="P14" s="34" t="s">
        <v>350</v>
      </c>
      <c r="Q14" s="38" t="s">
        <v>1632</v>
      </c>
      <c r="R14" s="38" t="s">
        <v>1633</v>
      </c>
      <c r="S14" s="34" t="s">
        <v>54</v>
      </c>
      <c r="T14" s="34" t="s">
        <v>40</v>
      </c>
      <c r="U14" s="34">
        <v>8665</v>
      </c>
      <c r="V14" s="34">
        <v>7800</v>
      </c>
      <c r="W14" s="34">
        <v>6630</v>
      </c>
    </row>
    <row r="15" ht="26" customHeight="1" spans="1:23">
      <c r="A15" s="16"/>
      <c r="B15" s="16"/>
      <c r="C15" s="16"/>
      <c r="D15" s="16"/>
      <c r="E15" s="16"/>
      <c r="F15" s="16"/>
      <c r="G15" s="25"/>
      <c r="H15" s="16"/>
      <c r="I15" s="16"/>
      <c r="J15" s="16"/>
      <c r="K15" s="16"/>
      <c r="L15" s="16"/>
      <c r="M15" s="16"/>
      <c r="N15" s="123" t="s">
        <v>1432</v>
      </c>
      <c r="O15" s="35" t="s">
        <v>1433</v>
      </c>
      <c r="P15" s="35" t="s">
        <v>350</v>
      </c>
      <c r="Q15" s="39" t="s">
        <v>1434</v>
      </c>
      <c r="R15" s="39" t="s">
        <v>1435</v>
      </c>
      <c r="S15" s="35" t="s">
        <v>54</v>
      </c>
      <c r="T15" s="39" t="s">
        <v>1436</v>
      </c>
      <c r="U15" s="35">
        <v>5500</v>
      </c>
      <c r="V15" s="35">
        <v>4950</v>
      </c>
      <c r="W15" s="35">
        <v>4200</v>
      </c>
    </row>
    <row r="16" ht="26" customHeight="1" spans="1:23">
      <c r="A16" s="17" t="s">
        <v>1874</v>
      </c>
      <c r="B16" s="17">
        <v>33080203001</v>
      </c>
      <c r="C16" s="17" t="s">
        <v>1875</v>
      </c>
      <c r="D16" s="17"/>
      <c r="E16" s="17"/>
      <c r="F16" s="17" t="s">
        <v>54</v>
      </c>
      <c r="G16" s="17" t="s">
        <v>40</v>
      </c>
      <c r="H16" s="17">
        <v>9725</v>
      </c>
      <c r="I16" s="17">
        <v>8750</v>
      </c>
      <c r="J16" s="17">
        <v>6995</v>
      </c>
      <c r="K16" s="27">
        <f t="shared" ref="K16:M16" si="1">U16+U17+(U18+U19)*0.5</f>
        <v>14840</v>
      </c>
      <c r="L16" s="27">
        <f t="shared" si="1"/>
        <v>13357.5</v>
      </c>
      <c r="M16" s="27">
        <f t="shared" si="1"/>
        <v>11350</v>
      </c>
      <c r="N16" s="34" t="s">
        <v>1630</v>
      </c>
      <c r="O16" s="34" t="s">
        <v>1631</v>
      </c>
      <c r="P16" s="34" t="s">
        <v>350</v>
      </c>
      <c r="Q16" s="38" t="s">
        <v>1632</v>
      </c>
      <c r="R16" s="38" t="s">
        <v>1633</v>
      </c>
      <c r="S16" s="34" t="s">
        <v>54</v>
      </c>
      <c r="T16" s="34" t="s">
        <v>40</v>
      </c>
      <c r="U16" s="34">
        <v>8665</v>
      </c>
      <c r="V16" s="34">
        <v>7800</v>
      </c>
      <c r="W16" s="34">
        <v>6630</v>
      </c>
    </row>
    <row r="17" ht="26" customHeight="1" spans="1:23">
      <c r="A17" s="18"/>
      <c r="B17" s="18"/>
      <c r="C17" s="18"/>
      <c r="D17" s="18"/>
      <c r="E17" s="18"/>
      <c r="F17" s="18"/>
      <c r="G17" s="18"/>
      <c r="H17" s="18"/>
      <c r="I17" s="18"/>
      <c r="J17" s="18"/>
      <c r="K17" s="28"/>
      <c r="L17" s="28"/>
      <c r="M17" s="28"/>
      <c r="N17" s="35" t="s">
        <v>1636</v>
      </c>
      <c r="O17" s="35" t="s">
        <v>1637</v>
      </c>
      <c r="P17" s="35" t="s">
        <v>350</v>
      </c>
      <c r="Q17" s="39" t="s">
        <v>40</v>
      </c>
      <c r="R17" s="39" t="s">
        <v>40</v>
      </c>
      <c r="S17" s="35" t="s">
        <v>54</v>
      </c>
      <c r="T17" s="34" t="s">
        <v>40</v>
      </c>
      <c r="U17" s="35">
        <v>2600</v>
      </c>
      <c r="V17" s="35">
        <v>2340</v>
      </c>
      <c r="W17" s="35">
        <v>1990</v>
      </c>
    </row>
    <row r="18" ht="26" customHeight="1" spans="1:23">
      <c r="A18" s="18"/>
      <c r="B18" s="18"/>
      <c r="C18" s="18"/>
      <c r="D18" s="18"/>
      <c r="E18" s="18"/>
      <c r="F18" s="18"/>
      <c r="G18" s="18"/>
      <c r="H18" s="18"/>
      <c r="I18" s="18"/>
      <c r="J18" s="18"/>
      <c r="K18" s="28"/>
      <c r="L18" s="28"/>
      <c r="M18" s="28"/>
      <c r="N18" s="124" t="s">
        <v>1432</v>
      </c>
      <c r="O18" s="34" t="s">
        <v>1433</v>
      </c>
      <c r="P18" s="34" t="s">
        <v>350</v>
      </c>
      <c r="Q18" s="38" t="s">
        <v>1434</v>
      </c>
      <c r="R18" s="38" t="s">
        <v>1435</v>
      </c>
      <c r="S18" s="34" t="s">
        <v>54</v>
      </c>
      <c r="T18" s="34" t="s">
        <v>1436</v>
      </c>
      <c r="U18" s="34">
        <v>5500</v>
      </c>
      <c r="V18" s="34">
        <v>4950</v>
      </c>
      <c r="W18" s="34">
        <v>4200</v>
      </c>
    </row>
    <row r="19" ht="26" customHeight="1" spans="1:23">
      <c r="A19" s="19"/>
      <c r="B19" s="19"/>
      <c r="C19" s="19"/>
      <c r="D19" s="19"/>
      <c r="E19" s="19"/>
      <c r="F19" s="19"/>
      <c r="G19" s="19"/>
      <c r="H19" s="19"/>
      <c r="I19" s="19"/>
      <c r="J19" s="19"/>
      <c r="K19" s="29"/>
      <c r="L19" s="29"/>
      <c r="M19" s="29"/>
      <c r="N19" s="35" t="s">
        <v>1452</v>
      </c>
      <c r="O19" s="35" t="s">
        <v>1453</v>
      </c>
      <c r="P19" s="35" t="s">
        <v>350</v>
      </c>
      <c r="Q19" s="39" t="s">
        <v>40</v>
      </c>
      <c r="R19" s="39" t="s">
        <v>40</v>
      </c>
      <c r="S19" s="35" t="s">
        <v>54</v>
      </c>
      <c r="T19" s="34"/>
      <c r="U19" s="35">
        <v>1650</v>
      </c>
      <c r="V19" s="35">
        <v>1485</v>
      </c>
      <c r="W19" s="35">
        <v>1260</v>
      </c>
    </row>
  </sheetData>
  <mergeCells count="78">
    <mergeCell ref="A2:A3"/>
    <mergeCell ref="A4:A7"/>
    <mergeCell ref="A8:A9"/>
    <mergeCell ref="A10:A13"/>
    <mergeCell ref="A14:A15"/>
    <mergeCell ref="A16:A19"/>
    <mergeCell ref="B2:B3"/>
    <mergeCell ref="B4:B7"/>
    <mergeCell ref="B8:B9"/>
    <mergeCell ref="B10:B13"/>
    <mergeCell ref="B14:B15"/>
    <mergeCell ref="B16:B19"/>
    <mergeCell ref="C2:C3"/>
    <mergeCell ref="C4:C7"/>
    <mergeCell ref="C8:C9"/>
    <mergeCell ref="C10:C13"/>
    <mergeCell ref="C14:C15"/>
    <mergeCell ref="C16:C19"/>
    <mergeCell ref="D2:D3"/>
    <mergeCell ref="D4:D7"/>
    <mergeCell ref="D8:D9"/>
    <mergeCell ref="D10:D13"/>
    <mergeCell ref="D14:D15"/>
    <mergeCell ref="D16:D19"/>
    <mergeCell ref="E2:E3"/>
    <mergeCell ref="E4:E7"/>
    <mergeCell ref="E8:E9"/>
    <mergeCell ref="E10:E13"/>
    <mergeCell ref="E14:E15"/>
    <mergeCell ref="E16:E19"/>
    <mergeCell ref="F2:F3"/>
    <mergeCell ref="F4:F7"/>
    <mergeCell ref="F8:F9"/>
    <mergeCell ref="F10:F13"/>
    <mergeCell ref="F14:F15"/>
    <mergeCell ref="F16:F19"/>
    <mergeCell ref="G2:G3"/>
    <mergeCell ref="G4:G7"/>
    <mergeCell ref="G8:G9"/>
    <mergeCell ref="G10:G13"/>
    <mergeCell ref="G14:G15"/>
    <mergeCell ref="G16:G19"/>
    <mergeCell ref="H2:H3"/>
    <mergeCell ref="H4:H7"/>
    <mergeCell ref="H8:H9"/>
    <mergeCell ref="H10:H13"/>
    <mergeCell ref="H14:H15"/>
    <mergeCell ref="H16:H19"/>
    <mergeCell ref="I2:I3"/>
    <mergeCell ref="I4:I7"/>
    <mergeCell ref="I8:I9"/>
    <mergeCell ref="I10:I13"/>
    <mergeCell ref="I14:I15"/>
    <mergeCell ref="I16:I19"/>
    <mergeCell ref="J2:J3"/>
    <mergeCell ref="J4:J7"/>
    <mergeCell ref="J8:J9"/>
    <mergeCell ref="J10:J13"/>
    <mergeCell ref="J14:J15"/>
    <mergeCell ref="J16:J19"/>
    <mergeCell ref="K2:K3"/>
    <mergeCell ref="K4:K7"/>
    <mergeCell ref="K8:K9"/>
    <mergeCell ref="K10:K13"/>
    <mergeCell ref="K14:K15"/>
    <mergeCell ref="K16:K19"/>
    <mergeCell ref="L2:L3"/>
    <mergeCell ref="L4:L7"/>
    <mergeCell ref="L8:L9"/>
    <mergeCell ref="L10:L13"/>
    <mergeCell ref="L14:L15"/>
    <mergeCell ref="L16:L19"/>
    <mergeCell ref="M2:M3"/>
    <mergeCell ref="M4:M7"/>
    <mergeCell ref="M8:M9"/>
    <mergeCell ref="M10:M13"/>
    <mergeCell ref="M14:M15"/>
    <mergeCell ref="M16:M19"/>
  </mergeCells>
  <conditionalFormatting sqref="C1">
    <cfRule type="duplicateValues" dxfId="0" priority="1"/>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72"/>
  <sheetViews>
    <sheetView topLeftCell="G1" workbookViewId="0">
      <selection activeCell="N2" sqref="N2:P2"/>
    </sheetView>
  </sheetViews>
  <sheetFormatPr defaultColWidth="9" defaultRowHeight="14.25"/>
  <cols>
    <col min="4" max="4" width="19.875" customWidth="1"/>
    <col min="5" max="5" width="30.375" customWidth="1"/>
    <col min="6" max="6" width="28.25" customWidth="1"/>
    <col min="7" max="7" width="34.625" customWidth="1"/>
    <col min="15" max="16" width="12.625"/>
    <col min="23" max="23" width="13" customWidth="1"/>
  </cols>
  <sheetData>
    <row r="1" ht="38.25" spans="1:23">
      <c r="A1" s="4" t="s">
        <v>1876</v>
      </c>
      <c r="B1" s="4" t="s">
        <v>1877</v>
      </c>
      <c r="C1" s="4" t="s">
        <v>1878</v>
      </c>
      <c r="D1" s="5" t="s">
        <v>1879</v>
      </c>
      <c r="E1" s="4" t="s">
        <v>1880</v>
      </c>
      <c r="F1" s="5" t="s">
        <v>1881</v>
      </c>
      <c r="G1" s="4" t="s">
        <v>1882</v>
      </c>
      <c r="H1" s="4" t="s">
        <v>1883</v>
      </c>
      <c r="I1" s="4" t="s">
        <v>1884</v>
      </c>
      <c r="J1" s="4" t="s">
        <v>1885</v>
      </c>
      <c r="K1" s="4" t="s">
        <v>1886</v>
      </c>
      <c r="L1" s="4" t="s">
        <v>1887</v>
      </c>
      <c r="M1" s="4" t="s">
        <v>1888</v>
      </c>
      <c r="N1" s="4" t="s">
        <v>1889</v>
      </c>
      <c r="O1" s="4" t="s">
        <v>1890</v>
      </c>
      <c r="P1" s="4" t="s">
        <v>1891</v>
      </c>
      <c r="Q1" s="4" t="s">
        <v>1892</v>
      </c>
      <c r="R1" s="4" t="s">
        <v>1893</v>
      </c>
      <c r="S1" s="4" t="s">
        <v>1894</v>
      </c>
      <c r="T1" s="4" t="s">
        <v>1895</v>
      </c>
      <c r="U1" s="4" t="s">
        <v>1896</v>
      </c>
      <c r="V1" s="4" t="s">
        <v>1897</v>
      </c>
      <c r="W1" s="7"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row r="2" ht="15.75" spans="1:23">
      <c r="A2">
        <v>1695</v>
      </c>
      <c r="B2" t="s">
        <v>1898</v>
      </c>
      <c r="C2">
        <v>1</v>
      </c>
      <c r="D2" s="9" t="s">
        <v>1899</v>
      </c>
      <c r="E2" t="s">
        <v>44</v>
      </c>
      <c r="F2" t="s">
        <v>44</v>
      </c>
      <c r="G2" t="s">
        <v>45</v>
      </c>
      <c r="H2" t="s">
        <v>1898</v>
      </c>
      <c r="I2" t="s">
        <v>1898</v>
      </c>
      <c r="J2">
        <v>4.5</v>
      </c>
      <c r="K2">
        <v>4.1</v>
      </c>
      <c r="L2">
        <v>3.4</v>
      </c>
      <c r="M2" t="s">
        <v>1898</v>
      </c>
      <c r="N2" s="6">
        <v>4.75</v>
      </c>
      <c r="O2" s="6">
        <v>4.5</v>
      </c>
      <c r="P2" s="6">
        <v>4</v>
      </c>
      <c r="Q2" t="s">
        <v>39</v>
      </c>
      <c r="R2">
        <v>23</v>
      </c>
      <c r="S2">
        <v>1</v>
      </c>
      <c r="T2" s="8" t="s">
        <v>1900</v>
      </c>
      <c r="U2" s="8" t="s">
        <v>1901</v>
      </c>
      <c r="V2" s="10">
        <v>0</v>
      </c>
      <c r="W2" s="11" t="str">
        <f>"("&amp;A2&amp;","&amp;B2&amp;","&amp;C2&amp;",'"&amp;D2&amp;"','"&amp;E2&amp;"','"&amp;F2&amp;"','"&amp;G2&amp;"',"&amp;H2&amp;","&amp;I2&amp;","&amp;J2&amp;","&amp;K2&amp;","&amp;L2&amp;","&amp;M2&amp;","&amp;N2&amp;","&amp;O2&amp;","&amp;P2&amp;",'"&amp;Q2&amp;"',"&amp;R2&amp;","&amp;S2&amp;",'"&amp;T2&amp;"','"&amp;U2&amp;"',"&amp;V2&amp;"),"</f>
        <v>(1695,null,1,'2026-03-24 00:00:00','003107010220000-310701022','003107010220000-310701022','心电监测',null,null,4.5,4.1,3.4,null,4.75,4.5,4,'小时',23,1,'merge','main',0),</v>
      </c>
    </row>
    <row r="3" ht="15.75" spans="1:23">
      <c r="A3">
        <v>1696</v>
      </c>
      <c r="B3" t="s">
        <v>1898</v>
      </c>
      <c r="C3">
        <v>1</v>
      </c>
      <c r="D3" s="9" t="s">
        <v>1899</v>
      </c>
      <c r="E3" t="s">
        <v>60</v>
      </c>
      <c r="F3" t="s">
        <v>60</v>
      </c>
      <c r="G3" t="s">
        <v>61</v>
      </c>
      <c r="H3" t="s">
        <v>1898</v>
      </c>
      <c r="I3" t="s">
        <v>1898</v>
      </c>
      <c r="J3">
        <v>57.5</v>
      </c>
      <c r="K3">
        <v>50</v>
      </c>
      <c r="L3">
        <v>42.5</v>
      </c>
      <c r="M3" t="s">
        <v>1898</v>
      </c>
      <c r="N3" s="6">
        <v>180.5</v>
      </c>
      <c r="O3" s="6">
        <v>171</v>
      </c>
      <c r="P3" s="6">
        <v>152</v>
      </c>
      <c r="Q3" t="s">
        <v>63</v>
      </c>
      <c r="R3">
        <v>23</v>
      </c>
      <c r="S3">
        <v>1</v>
      </c>
      <c r="T3" s="8" t="s">
        <v>1900</v>
      </c>
      <c r="U3" s="8" t="s">
        <v>1901</v>
      </c>
      <c r="V3" s="10">
        <v>0</v>
      </c>
      <c r="W3" s="11" t="str">
        <f t="shared" ref="W3:W66" si="0">"("&amp;A3&amp;","&amp;B3&amp;","&amp;C3&amp;",'"&amp;D3&amp;"','"&amp;E3&amp;"','"&amp;F3&amp;"','"&amp;G3&amp;"',"&amp;H3&amp;","&amp;I3&amp;","&amp;J3&amp;","&amp;K3&amp;","&amp;L3&amp;","&amp;M3&amp;","&amp;N3&amp;","&amp;O3&amp;","&amp;P3&amp;",'"&amp;Q3&amp;"',"&amp;R3&amp;","&amp;S3&amp;",'"&amp;T3&amp;"','"&amp;U3&amp;"',"&amp;V3&amp;"),"</f>
        <v>(1696,null,1,'2026-03-24 00:00:00','003107010090000-310701009','003107010090000-310701009','心电监测电话传输',null,null,57.5,50,42.5,null,180.5,171,152,'日',23,1,'merge','main',0),</v>
      </c>
    </row>
    <row r="4" ht="15.75" spans="1:23">
      <c r="A4">
        <v>1697</v>
      </c>
      <c r="B4" t="s">
        <v>1898</v>
      </c>
      <c r="C4">
        <v>1</v>
      </c>
      <c r="D4" s="9" t="s">
        <v>1899</v>
      </c>
      <c r="E4" t="s">
        <v>72</v>
      </c>
      <c r="F4" t="s">
        <v>72</v>
      </c>
      <c r="G4" t="s">
        <v>73</v>
      </c>
      <c r="H4" t="s">
        <v>1898</v>
      </c>
      <c r="I4" t="s">
        <v>1898</v>
      </c>
      <c r="J4">
        <v>11.5</v>
      </c>
      <c r="K4">
        <v>10</v>
      </c>
      <c r="L4">
        <v>8.5</v>
      </c>
      <c r="M4" t="s">
        <v>1898</v>
      </c>
      <c r="N4" s="6">
        <v>27</v>
      </c>
      <c r="O4" s="6">
        <v>25</v>
      </c>
      <c r="P4" s="6">
        <v>23</v>
      </c>
      <c r="Q4" t="s">
        <v>54</v>
      </c>
      <c r="R4">
        <v>23</v>
      </c>
      <c r="S4">
        <v>1</v>
      </c>
      <c r="T4" s="8" t="s">
        <v>1902</v>
      </c>
      <c r="U4" s="8" t="s">
        <v>1901</v>
      </c>
      <c r="V4" s="10">
        <v>0</v>
      </c>
      <c r="W4" s="11" t="str">
        <f t="shared" si="0"/>
        <v>(1697,null,1,'2026-03-24 00:00:00','003107010010000-310701001','003107010010000-310701001','常规心电图检查',null,null,11.5,10,8.5,null,27,25,23,'次',23,1,'normal','main',0),</v>
      </c>
    </row>
    <row r="5" ht="15.75" spans="1:23">
      <c r="A5">
        <v>1698</v>
      </c>
      <c r="B5" t="s">
        <v>1898</v>
      </c>
      <c r="C5">
        <v>1</v>
      </c>
      <c r="D5" s="9" t="s">
        <v>1899</v>
      </c>
      <c r="E5" t="s">
        <v>76</v>
      </c>
      <c r="F5" t="s">
        <v>76</v>
      </c>
      <c r="G5" t="s">
        <v>77</v>
      </c>
      <c r="H5" t="s">
        <v>1898</v>
      </c>
      <c r="I5" t="s">
        <v>1898</v>
      </c>
      <c r="J5">
        <v>11.5</v>
      </c>
      <c r="K5">
        <v>10</v>
      </c>
      <c r="L5">
        <v>8.5</v>
      </c>
      <c r="M5" t="s">
        <v>1898</v>
      </c>
      <c r="N5" s="6">
        <v>0</v>
      </c>
      <c r="O5" s="6">
        <v>0</v>
      </c>
      <c r="P5" s="6">
        <v>0</v>
      </c>
      <c r="Q5" t="s">
        <v>54</v>
      </c>
      <c r="R5">
        <v>23</v>
      </c>
      <c r="S5">
        <v>1</v>
      </c>
      <c r="T5" s="8" t="s">
        <v>1902</v>
      </c>
      <c r="U5" s="8" t="s">
        <v>1901</v>
      </c>
      <c r="V5" s="10">
        <v>0</v>
      </c>
      <c r="W5" s="11" t="str">
        <f t="shared" si="0"/>
        <v>(1698,null,1,'2026-03-24 00:00:00','003107010010002-31070100102','003107010010002-31070100102','常规心电图检查（十二通道加收）',null,null,11.5,10,8.5,null,0,0,0,'次',23,1,'normal','main',0),</v>
      </c>
    </row>
    <row r="6" ht="15.75" spans="1:23">
      <c r="A6">
        <v>1699</v>
      </c>
      <c r="B6" t="s">
        <v>1898</v>
      </c>
      <c r="C6">
        <v>1</v>
      </c>
      <c r="D6" s="9" t="s">
        <v>1899</v>
      </c>
      <c r="E6" t="s">
        <v>79</v>
      </c>
      <c r="F6" t="s">
        <v>79</v>
      </c>
      <c r="G6" t="s">
        <v>80</v>
      </c>
      <c r="H6" t="s">
        <v>1898</v>
      </c>
      <c r="I6" t="s">
        <v>1898</v>
      </c>
      <c r="J6">
        <v>23</v>
      </c>
      <c r="K6">
        <v>20</v>
      </c>
      <c r="L6">
        <v>17</v>
      </c>
      <c r="M6" t="s">
        <v>1898</v>
      </c>
      <c r="N6" s="6">
        <v>0</v>
      </c>
      <c r="O6" s="6">
        <v>0</v>
      </c>
      <c r="P6" s="6">
        <v>0</v>
      </c>
      <c r="Q6" t="s">
        <v>54</v>
      </c>
      <c r="R6">
        <v>23</v>
      </c>
      <c r="S6">
        <v>1</v>
      </c>
      <c r="T6" s="8" t="s">
        <v>1902</v>
      </c>
      <c r="U6" s="8" t="s">
        <v>1901</v>
      </c>
      <c r="V6" s="10">
        <v>0</v>
      </c>
      <c r="W6" s="11" t="str">
        <f t="shared" si="0"/>
        <v>(1699,null,1,'2026-03-24 00:00:00','003107010010003-31070100103','003107010010003-31070100103','常规心电图检查（床边）',null,null,23,20,17,null,0,0,0,'次',23,1,'normal','main',0),</v>
      </c>
    </row>
    <row r="7" ht="15.75" spans="1:23">
      <c r="A7">
        <v>1700</v>
      </c>
      <c r="B7" t="s">
        <v>1898</v>
      </c>
      <c r="C7">
        <v>1</v>
      </c>
      <c r="D7" s="9" t="s">
        <v>1899</v>
      </c>
      <c r="E7" t="s">
        <v>82</v>
      </c>
      <c r="F7" t="s">
        <v>82</v>
      </c>
      <c r="G7" t="s">
        <v>83</v>
      </c>
      <c r="H7" t="s">
        <v>1898</v>
      </c>
      <c r="I7" t="s">
        <v>1898</v>
      </c>
      <c r="J7">
        <v>0</v>
      </c>
      <c r="K7">
        <v>0</v>
      </c>
      <c r="L7">
        <v>0</v>
      </c>
      <c r="M7" t="s">
        <v>1898</v>
      </c>
      <c r="N7" s="6">
        <v>0</v>
      </c>
      <c r="O7" s="6">
        <v>0</v>
      </c>
      <c r="P7" s="6">
        <v>0</v>
      </c>
      <c r="Q7" t="s">
        <v>54</v>
      </c>
      <c r="R7">
        <v>23</v>
      </c>
      <c r="S7">
        <v>1</v>
      </c>
      <c r="T7" s="8" t="s">
        <v>1902</v>
      </c>
      <c r="U7" s="8" t="s">
        <v>1901</v>
      </c>
      <c r="V7" s="10">
        <v>0</v>
      </c>
      <c r="W7" s="11" t="str">
        <f t="shared" si="0"/>
        <v>(1700,null,1,'2026-03-24 00:00:00','003107010050000-310701005','003107010050000-310701005','标测心电图',null,null,0,0,0,null,0,0,0,'次',23,1,'normal','main',0),</v>
      </c>
    </row>
    <row r="8" ht="15.75" spans="1:23">
      <c r="A8">
        <v>1701</v>
      </c>
      <c r="B8" t="s">
        <v>1898</v>
      </c>
      <c r="C8">
        <v>1</v>
      </c>
      <c r="D8" s="9" t="s">
        <v>1899</v>
      </c>
      <c r="E8" t="s">
        <v>85</v>
      </c>
      <c r="F8" t="s">
        <v>85</v>
      </c>
      <c r="G8" t="s">
        <v>86</v>
      </c>
      <c r="H8" t="s">
        <v>1898</v>
      </c>
      <c r="I8" t="s">
        <v>1898</v>
      </c>
      <c r="J8">
        <v>0</v>
      </c>
      <c r="K8">
        <v>0</v>
      </c>
      <c r="L8">
        <v>0</v>
      </c>
      <c r="M8" t="s">
        <v>1898</v>
      </c>
      <c r="N8" s="6">
        <v>0</v>
      </c>
      <c r="O8" s="6">
        <v>0</v>
      </c>
      <c r="P8" s="6">
        <v>0</v>
      </c>
      <c r="Q8" t="s">
        <v>54</v>
      </c>
      <c r="R8">
        <v>23</v>
      </c>
      <c r="S8">
        <v>1</v>
      </c>
      <c r="T8" s="8" t="s">
        <v>1902</v>
      </c>
      <c r="U8" s="8" t="s">
        <v>1901</v>
      </c>
      <c r="V8" s="10">
        <v>0</v>
      </c>
      <c r="W8" s="11" t="str">
        <f t="shared" si="0"/>
        <v>(1701,null,1,'2026-03-24 00:00:00','003107010060000-310701006','003107010060000-310701006','体表窦房结心电图',null,null,0,0,0,null,0,0,0,'次',23,1,'normal','main',0),</v>
      </c>
    </row>
    <row r="9" ht="15.75" spans="1:23">
      <c r="A9">
        <v>1702</v>
      </c>
      <c r="B9" t="s">
        <v>1898</v>
      </c>
      <c r="C9">
        <v>1</v>
      </c>
      <c r="D9" s="9" t="s">
        <v>1899</v>
      </c>
      <c r="E9" t="s">
        <v>93</v>
      </c>
      <c r="F9" t="s">
        <v>93</v>
      </c>
      <c r="G9" t="s">
        <v>94</v>
      </c>
      <c r="H9" t="s">
        <v>1898</v>
      </c>
      <c r="I9" t="s">
        <v>1898</v>
      </c>
      <c r="J9">
        <v>2.3</v>
      </c>
      <c r="K9">
        <v>2</v>
      </c>
      <c r="L9">
        <v>1.7</v>
      </c>
      <c r="M9" t="s">
        <v>1898</v>
      </c>
      <c r="N9">
        <v>2</v>
      </c>
      <c r="O9">
        <v>1.9</v>
      </c>
      <c r="P9">
        <v>1.8</v>
      </c>
      <c r="Q9" t="s">
        <v>54</v>
      </c>
      <c r="R9">
        <v>23</v>
      </c>
      <c r="S9">
        <v>1</v>
      </c>
      <c r="T9" s="8" t="s">
        <v>1902</v>
      </c>
      <c r="U9" s="8" t="s">
        <v>1901</v>
      </c>
      <c r="V9" s="10">
        <v>0</v>
      </c>
      <c r="W9" s="11" t="str">
        <f t="shared" si="0"/>
        <v>(1702,null,1,'2026-03-24 00:00:00','003107010010001-31070100101','003107010010001-31070100101','常规心电图检查（附加导联加收）',null,null,2.3,2,1.7,null,2,1.9,1.8,'次',23,1,'normal','main',0),</v>
      </c>
    </row>
    <row r="10" ht="15.75" spans="1:23">
      <c r="A10">
        <v>1703</v>
      </c>
      <c r="B10" t="s">
        <v>1898</v>
      </c>
      <c r="C10">
        <v>1</v>
      </c>
      <c r="D10" s="9" t="s">
        <v>1899</v>
      </c>
      <c r="E10" t="s">
        <v>99</v>
      </c>
      <c r="F10" t="s">
        <v>99</v>
      </c>
      <c r="G10" t="s">
        <v>100</v>
      </c>
      <c r="H10" t="s">
        <v>1898</v>
      </c>
      <c r="I10" t="s">
        <v>1898</v>
      </c>
      <c r="J10">
        <v>69</v>
      </c>
      <c r="K10">
        <v>60</v>
      </c>
      <c r="L10">
        <v>51</v>
      </c>
      <c r="M10" t="s">
        <v>1898</v>
      </c>
      <c r="N10" s="6">
        <v>15</v>
      </c>
      <c r="O10" s="6">
        <v>14</v>
      </c>
      <c r="P10" s="6">
        <v>13</v>
      </c>
      <c r="Q10" t="s">
        <v>54</v>
      </c>
      <c r="R10">
        <v>23</v>
      </c>
      <c r="S10">
        <v>1</v>
      </c>
      <c r="T10" s="8" t="s">
        <v>1902</v>
      </c>
      <c r="U10" s="8" t="s">
        <v>1901</v>
      </c>
      <c r="V10" s="10">
        <v>0</v>
      </c>
      <c r="W10" s="11" t="str">
        <f t="shared" si="0"/>
        <v>(1703,null,1,'2026-03-24 00:00:00','003107010150000-310701015','003107010150000-310701015','心室晚电位',null,null,69,60,51,null,15,14,13,'次',23,1,'normal','main',0),</v>
      </c>
    </row>
    <row r="11" ht="15.75" spans="1:23">
      <c r="A11">
        <v>1704</v>
      </c>
      <c r="B11" t="s">
        <v>1898</v>
      </c>
      <c r="C11">
        <v>1</v>
      </c>
      <c r="D11" s="9" t="s">
        <v>1899</v>
      </c>
      <c r="E11" t="s">
        <v>101</v>
      </c>
      <c r="F11" t="s">
        <v>101</v>
      </c>
      <c r="G11" t="s">
        <v>102</v>
      </c>
      <c r="H11" t="s">
        <v>1898</v>
      </c>
      <c r="I11" t="s">
        <v>1898</v>
      </c>
      <c r="J11">
        <v>69</v>
      </c>
      <c r="K11">
        <v>60</v>
      </c>
      <c r="L11">
        <v>51</v>
      </c>
      <c r="M11" t="s">
        <v>1898</v>
      </c>
      <c r="N11" s="6">
        <v>15</v>
      </c>
      <c r="O11" s="6">
        <v>14</v>
      </c>
      <c r="P11" s="6">
        <v>13</v>
      </c>
      <c r="Q11" t="s">
        <v>54</v>
      </c>
      <c r="R11">
        <v>23</v>
      </c>
      <c r="S11">
        <v>1</v>
      </c>
      <c r="T11" s="8" t="s">
        <v>1902</v>
      </c>
      <c r="U11" s="8" t="s">
        <v>1901</v>
      </c>
      <c r="V11" s="10">
        <v>0</v>
      </c>
      <c r="W11" s="11" t="str">
        <f t="shared" si="0"/>
        <v>(1704,null,1,'2026-03-24 00:00:00','003107010160000-310701016','003107010160000-310701016','心房晚电位',null,null,69,60,51,null,15,14,13,'次',23,1,'normal','main',0),</v>
      </c>
    </row>
    <row r="12" ht="15.75" spans="1:23">
      <c r="A12">
        <v>1705</v>
      </c>
      <c r="B12" t="s">
        <v>1898</v>
      </c>
      <c r="C12">
        <v>1</v>
      </c>
      <c r="D12" s="9" t="s">
        <v>1899</v>
      </c>
      <c r="E12" t="s">
        <v>106</v>
      </c>
      <c r="F12" t="s">
        <v>106</v>
      </c>
      <c r="G12" t="s">
        <v>107</v>
      </c>
      <c r="H12" t="s">
        <v>1898</v>
      </c>
      <c r="I12" t="s">
        <v>1898</v>
      </c>
      <c r="J12">
        <v>34.5</v>
      </c>
      <c r="K12">
        <v>30</v>
      </c>
      <c r="L12">
        <v>25.5</v>
      </c>
      <c r="M12" t="s">
        <v>1898</v>
      </c>
      <c r="N12" s="6">
        <v>27</v>
      </c>
      <c r="O12" s="6">
        <v>25</v>
      </c>
      <c r="P12" s="6">
        <v>23</v>
      </c>
      <c r="Q12" t="s">
        <v>54</v>
      </c>
      <c r="R12">
        <v>23</v>
      </c>
      <c r="S12">
        <v>1</v>
      </c>
      <c r="T12" s="8" t="s">
        <v>1902</v>
      </c>
      <c r="U12" s="8" t="s">
        <v>1901</v>
      </c>
      <c r="V12" s="10">
        <v>0</v>
      </c>
      <c r="W12" s="11" t="str">
        <f t="shared" si="0"/>
        <v>(1705,null,1,'2026-03-24 00:00:00','003107010120000-310701012','003107010120000-310701012','心电向量图',null,null,34.5,30,25.5,null,27,25,23,'次',23,1,'normal','main',0),</v>
      </c>
    </row>
    <row r="13" ht="15.75" spans="1:23">
      <c r="A13">
        <v>1706</v>
      </c>
      <c r="B13" t="s">
        <v>1898</v>
      </c>
      <c r="C13">
        <v>1</v>
      </c>
      <c r="D13" s="9" t="s">
        <v>1899</v>
      </c>
      <c r="E13" t="s">
        <v>110</v>
      </c>
      <c r="F13" t="s">
        <v>110</v>
      </c>
      <c r="G13" t="s">
        <v>111</v>
      </c>
      <c r="H13" t="s">
        <v>1898</v>
      </c>
      <c r="I13" t="s">
        <v>1898</v>
      </c>
      <c r="J13">
        <v>46</v>
      </c>
      <c r="K13">
        <v>40</v>
      </c>
      <c r="L13">
        <v>34</v>
      </c>
      <c r="M13" t="s">
        <v>1898</v>
      </c>
      <c r="N13" s="6">
        <v>27</v>
      </c>
      <c r="O13" s="6">
        <v>25</v>
      </c>
      <c r="P13" s="6">
        <v>23</v>
      </c>
      <c r="Q13" t="s">
        <v>54</v>
      </c>
      <c r="R13">
        <v>23</v>
      </c>
      <c r="S13">
        <v>1</v>
      </c>
      <c r="T13" s="8" t="s">
        <v>1902</v>
      </c>
      <c r="U13" s="8" t="s">
        <v>1901</v>
      </c>
      <c r="V13" s="10">
        <v>0</v>
      </c>
      <c r="W13" s="11" t="str">
        <f t="shared" si="0"/>
        <v>(1706,null,1,'2026-03-24 00:00:00','003107010040000-310701004','003107010040000-310701004','频谱心电图',null,null,46,40,34,null,27,25,23,'次',23,1,'normal','main',0),</v>
      </c>
    </row>
    <row r="14" ht="15.75" spans="1:23">
      <c r="A14">
        <v>1707</v>
      </c>
      <c r="B14" t="s">
        <v>1898</v>
      </c>
      <c r="C14">
        <v>1</v>
      </c>
      <c r="D14" s="9" t="s">
        <v>1899</v>
      </c>
      <c r="E14" t="s">
        <v>117</v>
      </c>
      <c r="F14" t="s">
        <v>117</v>
      </c>
      <c r="G14" t="s">
        <v>118</v>
      </c>
      <c r="H14" t="s">
        <v>1898</v>
      </c>
      <c r="I14" t="s">
        <v>1898</v>
      </c>
      <c r="J14">
        <v>92</v>
      </c>
      <c r="K14">
        <v>80</v>
      </c>
      <c r="L14">
        <v>68</v>
      </c>
      <c r="M14" t="s">
        <v>1898</v>
      </c>
      <c r="N14" s="6">
        <v>80</v>
      </c>
      <c r="O14" s="6">
        <v>72</v>
      </c>
      <c r="P14" s="6">
        <v>65</v>
      </c>
      <c r="Q14" t="s">
        <v>54</v>
      </c>
      <c r="R14">
        <v>23</v>
      </c>
      <c r="S14">
        <v>1</v>
      </c>
      <c r="T14" s="8" t="s">
        <v>1902</v>
      </c>
      <c r="U14" s="8" t="s">
        <v>1901</v>
      </c>
      <c r="V14" s="10">
        <v>0</v>
      </c>
      <c r="W14" s="11" t="str">
        <f t="shared" si="0"/>
        <v>(1707,null,1,'2026-03-24 00:00:00','003107010180000-310701018','003107010180000-310701018','心率变异性分析',null,null,92,80,68,null,80,72,65,'次',23,1,'normal','main',0),</v>
      </c>
    </row>
    <row r="15" ht="15.75" spans="1:23">
      <c r="A15">
        <v>1708</v>
      </c>
      <c r="B15" t="s">
        <v>1898</v>
      </c>
      <c r="C15">
        <v>1</v>
      </c>
      <c r="D15" s="9" t="s">
        <v>1899</v>
      </c>
      <c r="E15" t="s">
        <v>121</v>
      </c>
      <c r="F15" t="s">
        <v>121</v>
      </c>
      <c r="G15" t="s">
        <v>122</v>
      </c>
      <c r="H15" t="s">
        <v>1898</v>
      </c>
      <c r="I15" t="s">
        <v>1898</v>
      </c>
      <c r="J15">
        <v>17.3</v>
      </c>
      <c r="K15">
        <v>15</v>
      </c>
      <c r="L15">
        <v>12.8</v>
      </c>
      <c r="M15" t="s">
        <v>1898</v>
      </c>
      <c r="N15" s="6">
        <v>0</v>
      </c>
      <c r="O15" s="6">
        <v>0</v>
      </c>
      <c r="P15" s="6">
        <v>0</v>
      </c>
      <c r="Q15" t="s">
        <v>54</v>
      </c>
      <c r="R15">
        <v>23</v>
      </c>
      <c r="S15">
        <v>1</v>
      </c>
      <c r="T15" s="8" t="s">
        <v>1902</v>
      </c>
      <c r="U15" s="8" t="s">
        <v>1901</v>
      </c>
      <c r="V15" s="10">
        <v>0</v>
      </c>
      <c r="W15" s="11" t="str">
        <f t="shared" si="0"/>
        <v>(1708,null,1,'2026-03-24 00:00:00','003107010180001-31070101801','003107010180001-31070101801','心率变异性分析（超过24小时加收）',null,null,17.3,15,12.8,null,0,0,0,'次',23,1,'normal','main',0),</v>
      </c>
    </row>
    <row r="16" ht="15.75" spans="1:23">
      <c r="A16">
        <v>1709</v>
      </c>
      <c r="B16" t="s">
        <v>1898</v>
      </c>
      <c r="C16">
        <v>1</v>
      </c>
      <c r="D16" s="9" t="s">
        <v>1899</v>
      </c>
      <c r="E16" t="s">
        <v>129</v>
      </c>
      <c r="F16" t="s">
        <v>129</v>
      </c>
      <c r="G16" t="s">
        <v>130</v>
      </c>
      <c r="H16" t="s">
        <v>1898</v>
      </c>
      <c r="I16" t="s">
        <v>1898</v>
      </c>
      <c r="J16">
        <v>149.5</v>
      </c>
      <c r="K16">
        <v>130</v>
      </c>
      <c r="L16">
        <v>110.5</v>
      </c>
      <c r="M16" t="s">
        <v>1898</v>
      </c>
      <c r="N16" s="6">
        <v>105</v>
      </c>
      <c r="O16" s="6">
        <v>95</v>
      </c>
      <c r="P16" s="6">
        <v>80</v>
      </c>
      <c r="Q16" t="s">
        <v>54</v>
      </c>
      <c r="R16">
        <v>23</v>
      </c>
      <c r="S16">
        <v>1</v>
      </c>
      <c r="T16" s="8" t="s">
        <v>1902</v>
      </c>
      <c r="U16" s="8" t="s">
        <v>1901</v>
      </c>
      <c r="V16" s="10">
        <v>0</v>
      </c>
      <c r="W16" s="11" t="str">
        <f t="shared" si="0"/>
        <v>(1709,null,1,'2026-03-24 00:00:00','003107010100000-310701010','003107010100000-310701010','心电图踏车负荷试验',null,null,149.5,130,110.5,null,105,95,80,'次',23,1,'normal','main',0),</v>
      </c>
    </row>
    <row r="17" ht="15.75" spans="1:23">
      <c r="A17">
        <v>1710</v>
      </c>
      <c r="B17" t="s">
        <v>1898</v>
      </c>
      <c r="C17">
        <v>1</v>
      </c>
      <c r="D17" s="9" t="s">
        <v>1899</v>
      </c>
      <c r="E17" t="s">
        <v>133</v>
      </c>
      <c r="F17" t="s">
        <v>133</v>
      </c>
      <c r="G17" t="s">
        <v>134</v>
      </c>
      <c r="H17" t="s">
        <v>1898</v>
      </c>
      <c r="I17" t="s">
        <v>1898</v>
      </c>
      <c r="J17">
        <v>34.5</v>
      </c>
      <c r="K17">
        <v>30</v>
      </c>
      <c r="L17">
        <v>25.5</v>
      </c>
      <c r="M17" t="s">
        <v>1898</v>
      </c>
      <c r="N17" s="6">
        <v>105</v>
      </c>
      <c r="O17" s="6">
        <v>95</v>
      </c>
      <c r="P17" s="6">
        <v>80</v>
      </c>
      <c r="Q17" t="s">
        <v>54</v>
      </c>
      <c r="R17">
        <v>23</v>
      </c>
      <c r="S17">
        <v>1</v>
      </c>
      <c r="T17" s="8" t="s">
        <v>1902</v>
      </c>
      <c r="U17" s="8" t="s">
        <v>1901</v>
      </c>
      <c r="V17" s="10">
        <v>0</v>
      </c>
      <c r="W17" s="11" t="str">
        <f t="shared" si="0"/>
        <v>(1710,null,1,'2026-03-24 00:00:00','003107010100100-31070101001','003107010100100-31070101001','心电图踏车负荷试验（二阶梯）',null,null,34.5,30,25.5,null,105,95,80,'次',23,1,'normal','main',0),</v>
      </c>
    </row>
    <row r="18" ht="15.75" spans="1:23">
      <c r="A18">
        <v>1711</v>
      </c>
      <c r="B18" t="s">
        <v>1898</v>
      </c>
      <c r="C18">
        <v>1</v>
      </c>
      <c r="D18" s="9" t="s">
        <v>1899</v>
      </c>
      <c r="E18" t="s">
        <v>136</v>
      </c>
      <c r="F18" t="s">
        <v>136</v>
      </c>
      <c r="G18" t="s">
        <v>137</v>
      </c>
      <c r="H18" t="s">
        <v>1898</v>
      </c>
      <c r="I18" t="s">
        <v>1898</v>
      </c>
      <c r="J18">
        <v>51.8</v>
      </c>
      <c r="K18">
        <v>45</v>
      </c>
      <c r="L18">
        <v>38.3</v>
      </c>
      <c r="M18" t="s">
        <v>1898</v>
      </c>
      <c r="N18" s="6">
        <v>105</v>
      </c>
      <c r="O18" s="6">
        <v>95</v>
      </c>
      <c r="P18" s="6">
        <v>80</v>
      </c>
      <c r="Q18" t="s">
        <v>54</v>
      </c>
      <c r="R18">
        <v>23</v>
      </c>
      <c r="S18">
        <v>1</v>
      </c>
      <c r="T18" s="8" t="s">
        <v>1902</v>
      </c>
      <c r="U18" s="8" t="s">
        <v>1901</v>
      </c>
      <c r="V18" s="10">
        <v>0</v>
      </c>
      <c r="W18" s="11" t="str">
        <f t="shared" si="0"/>
        <v>(1711,null,1,'2026-03-24 00:00:00','003107010110000-310701011','003107010110000-310701011','心电图药物负荷试验',null,null,51.8,45,38.3,null,105,95,80,'次',23,1,'normal','main',0),</v>
      </c>
    </row>
    <row r="19" ht="15.75" spans="1:23">
      <c r="A19">
        <v>1712</v>
      </c>
      <c r="B19" t="s">
        <v>1898</v>
      </c>
      <c r="C19">
        <v>1</v>
      </c>
      <c r="D19" s="9" t="s">
        <v>1899</v>
      </c>
      <c r="E19" t="s">
        <v>143</v>
      </c>
      <c r="F19" t="s">
        <v>143</v>
      </c>
      <c r="G19" t="s">
        <v>144</v>
      </c>
      <c r="H19" t="s">
        <v>1898</v>
      </c>
      <c r="I19" t="s">
        <v>1898</v>
      </c>
      <c r="J19">
        <v>172.5</v>
      </c>
      <c r="K19">
        <v>150</v>
      </c>
      <c r="L19">
        <v>127.5</v>
      </c>
      <c r="M19" t="s">
        <v>1898</v>
      </c>
      <c r="N19" s="6">
        <v>150</v>
      </c>
      <c r="O19" s="6">
        <v>135</v>
      </c>
      <c r="P19" s="6">
        <v>120</v>
      </c>
      <c r="Q19" t="s">
        <v>54</v>
      </c>
      <c r="R19">
        <v>23</v>
      </c>
      <c r="S19">
        <v>1</v>
      </c>
      <c r="T19" s="8" t="s">
        <v>1902</v>
      </c>
      <c r="U19" s="8" t="s">
        <v>1901</v>
      </c>
      <c r="V19" s="10">
        <v>0</v>
      </c>
      <c r="W19" s="11" t="str">
        <f t="shared" si="0"/>
        <v>(1712,null,1,'2026-03-24 00:00:00','003107010030000-310701003','003107010030000-310701003','动态心电图',null,null,172.5,150,127.5,null,150,135,120,'次',23,1,'normal','main',0),</v>
      </c>
    </row>
    <row r="20" ht="15.75" spans="1:23">
      <c r="A20">
        <v>1713</v>
      </c>
      <c r="B20" t="s">
        <v>1898</v>
      </c>
      <c r="C20">
        <v>1</v>
      </c>
      <c r="D20" s="9" t="s">
        <v>1899</v>
      </c>
      <c r="E20" t="s">
        <v>146</v>
      </c>
      <c r="F20" t="s">
        <v>146</v>
      </c>
      <c r="G20" t="s">
        <v>147</v>
      </c>
      <c r="H20" t="s">
        <v>1898</v>
      </c>
      <c r="I20" t="s">
        <v>1898</v>
      </c>
      <c r="J20">
        <v>11.5</v>
      </c>
      <c r="K20">
        <v>10</v>
      </c>
      <c r="L20">
        <v>8.5</v>
      </c>
      <c r="M20" t="s">
        <v>1898</v>
      </c>
      <c r="N20" s="6">
        <v>0</v>
      </c>
      <c r="O20" s="6">
        <v>0</v>
      </c>
      <c r="P20" s="6">
        <v>0</v>
      </c>
      <c r="Q20" t="s">
        <v>54</v>
      </c>
      <c r="R20">
        <v>23</v>
      </c>
      <c r="S20">
        <v>1</v>
      </c>
      <c r="T20" s="8" t="s">
        <v>1902</v>
      </c>
      <c r="U20" s="8" t="s">
        <v>1901</v>
      </c>
      <c r="V20" s="10">
        <v>0</v>
      </c>
      <c r="W20" s="11" t="str">
        <f t="shared" si="0"/>
        <v>(1713,null,1,'2026-03-24 00:00:00','003107010070000-310701007','003107010070000-310701007','心电事件记录',null,null,11.5,10,8.5,null,0,0,0,'次',23,1,'normal','main',0),</v>
      </c>
    </row>
    <row r="21" ht="15.75" spans="1:23">
      <c r="A21">
        <v>1714</v>
      </c>
      <c r="B21" t="s">
        <v>1898</v>
      </c>
      <c r="C21">
        <v>1</v>
      </c>
      <c r="D21" s="9" t="s">
        <v>1899</v>
      </c>
      <c r="E21" t="s">
        <v>154</v>
      </c>
      <c r="F21" t="s">
        <v>154</v>
      </c>
      <c r="G21" t="s">
        <v>155</v>
      </c>
      <c r="H21" t="s">
        <v>1898</v>
      </c>
      <c r="I21" t="s">
        <v>1898</v>
      </c>
      <c r="J21">
        <v>138</v>
      </c>
      <c r="K21">
        <v>120</v>
      </c>
      <c r="L21">
        <v>102</v>
      </c>
      <c r="M21" t="s">
        <v>1898</v>
      </c>
      <c r="N21" s="6">
        <v>132</v>
      </c>
      <c r="O21" s="6">
        <v>119</v>
      </c>
      <c r="P21" s="6">
        <v>102</v>
      </c>
      <c r="Q21" t="s">
        <v>54</v>
      </c>
      <c r="R21">
        <v>23</v>
      </c>
      <c r="S21">
        <v>1</v>
      </c>
      <c r="T21" s="8" t="s">
        <v>1902</v>
      </c>
      <c r="U21" s="8" t="s">
        <v>1901</v>
      </c>
      <c r="V21" s="10">
        <v>0</v>
      </c>
      <c r="W21" s="11" t="str">
        <f t="shared" si="0"/>
        <v>(1714,null,1,'2026-03-24 00:00:00','003107020150000-310702015','003107020150000-310702015','经食管心脏调搏术',null,null,138,120,102,null,132,119,102,'次',23,1,'normal','main',0),</v>
      </c>
    </row>
    <row r="22" ht="15.75" spans="1:23">
      <c r="A22">
        <v>1715</v>
      </c>
      <c r="B22" t="s">
        <v>1898</v>
      </c>
      <c r="C22">
        <v>1</v>
      </c>
      <c r="D22" s="9" t="s">
        <v>1899</v>
      </c>
      <c r="E22" t="s">
        <v>163</v>
      </c>
      <c r="F22" t="s">
        <v>163</v>
      </c>
      <c r="G22" t="s">
        <v>164</v>
      </c>
      <c r="H22" t="s">
        <v>1898</v>
      </c>
      <c r="I22" t="s">
        <v>1898</v>
      </c>
      <c r="J22">
        <v>138</v>
      </c>
      <c r="K22">
        <v>120</v>
      </c>
      <c r="L22">
        <v>102</v>
      </c>
      <c r="M22" t="s">
        <v>1898</v>
      </c>
      <c r="N22" s="6">
        <v>132</v>
      </c>
      <c r="O22" s="6">
        <v>119</v>
      </c>
      <c r="P22" s="6">
        <v>102</v>
      </c>
      <c r="Q22" t="s">
        <v>54</v>
      </c>
      <c r="R22">
        <v>23</v>
      </c>
      <c r="S22">
        <v>1</v>
      </c>
      <c r="T22" s="8" t="s">
        <v>1902</v>
      </c>
      <c r="U22" s="8" t="s">
        <v>1901</v>
      </c>
      <c r="V22" s="10">
        <v>0</v>
      </c>
      <c r="W22" s="11" t="str">
        <f t="shared" si="0"/>
        <v>(1715,null,1,'2026-03-24 00:00:00','003107020140000-310702014','003107020140000-310702014','经食管心脏起搏术',null,null,138,120,102,null,132,119,102,'次',23,1,'normal','main',0),</v>
      </c>
    </row>
    <row r="23" ht="15.75" spans="1:23">
      <c r="A23">
        <v>1716</v>
      </c>
      <c r="B23" t="s">
        <v>1898</v>
      </c>
      <c r="C23">
        <v>1</v>
      </c>
      <c r="D23" s="9" t="s">
        <v>1899</v>
      </c>
      <c r="E23" t="s">
        <v>177</v>
      </c>
      <c r="F23" t="s">
        <v>177</v>
      </c>
      <c r="G23" t="s">
        <v>178</v>
      </c>
      <c r="H23" t="s">
        <v>1898</v>
      </c>
      <c r="I23" t="s">
        <v>1898</v>
      </c>
      <c r="J23">
        <v>184</v>
      </c>
      <c r="K23">
        <v>160</v>
      </c>
      <c r="L23">
        <v>136</v>
      </c>
      <c r="M23" t="s">
        <v>1898</v>
      </c>
      <c r="N23">
        <v>160</v>
      </c>
      <c r="O23">
        <v>144</v>
      </c>
      <c r="P23">
        <v>125</v>
      </c>
      <c r="Q23" t="s">
        <v>54</v>
      </c>
      <c r="R23">
        <v>23</v>
      </c>
      <c r="S23">
        <v>1</v>
      </c>
      <c r="T23" s="8" t="s">
        <v>1902</v>
      </c>
      <c r="U23" s="8" t="s">
        <v>1901</v>
      </c>
      <c r="V23" s="10">
        <v>0</v>
      </c>
      <c r="W23" s="11" t="str">
        <f t="shared" si="0"/>
        <v>(1716,null,1,'2026-03-24 00:00:00','003107010170000-310701017','003107010170000-310701017','倾斜试验',null,null,184,160,136,null,160,144,125,'次',23,1,'normal','main',0),</v>
      </c>
    </row>
    <row r="24" ht="15.75" spans="1:23">
      <c r="A24">
        <v>1717</v>
      </c>
      <c r="B24" t="s">
        <v>1898</v>
      </c>
      <c r="C24">
        <v>1</v>
      </c>
      <c r="D24" s="9" t="s">
        <v>1899</v>
      </c>
      <c r="E24" t="s">
        <v>184</v>
      </c>
      <c r="F24" t="s">
        <v>184</v>
      </c>
      <c r="G24" t="s">
        <v>185</v>
      </c>
      <c r="H24" t="s">
        <v>1898</v>
      </c>
      <c r="I24" t="s">
        <v>1898</v>
      </c>
      <c r="J24">
        <v>36</v>
      </c>
      <c r="K24">
        <v>32</v>
      </c>
      <c r="L24">
        <v>27</v>
      </c>
      <c r="M24" t="s">
        <v>1898</v>
      </c>
      <c r="N24">
        <v>36</v>
      </c>
      <c r="O24">
        <v>32</v>
      </c>
      <c r="P24">
        <v>27</v>
      </c>
      <c r="Q24" t="s">
        <v>54</v>
      </c>
      <c r="R24">
        <v>23</v>
      </c>
      <c r="S24">
        <v>1</v>
      </c>
      <c r="T24" s="8" t="s">
        <v>1902</v>
      </c>
      <c r="U24" s="8" t="s">
        <v>1901</v>
      </c>
      <c r="V24" s="10">
        <v>0</v>
      </c>
      <c r="W24" s="11" t="str">
        <f t="shared" si="0"/>
        <v>(1717,null,1,'2026-03-24 00:00:00','003402000070000-340200046','003402000070000-340200046','6分钟步行测试',null,null,36,32,27,null,36,32,27,'次',23,1,'normal','main',0),</v>
      </c>
    </row>
    <row r="25" ht="15.75" spans="1:23">
      <c r="A25">
        <v>1718</v>
      </c>
      <c r="B25" t="s">
        <v>1898</v>
      </c>
      <c r="C25">
        <v>1</v>
      </c>
      <c r="D25" s="9" t="s">
        <v>1899</v>
      </c>
      <c r="E25" t="s">
        <v>192</v>
      </c>
      <c r="F25" t="s">
        <v>192</v>
      </c>
      <c r="G25" t="s">
        <v>193</v>
      </c>
      <c r="H25" t="s">
        <v>1898</v>
      </c>
      <c r="I25" t="s">
        <v>1898</v>
      </c>
      <c r="J25">
        <v>11.5</v>
      </c>
      <c r="K25">
        <v>10</v>
      </c>
      <c r="L25">
        <v>8.5</v>
      </c>
      <c r="M25" t="s">
        <v>1898</v>
      </c>
      <c r="N25" s="6">
        <v>200</v>
      </c>
      <c r="O25" s="6">
        <v>180</v>
      </c>
      <c r="P25" s="6">
        <v>165</v>
      </c>
      <c r="Q25" t="s">
        <v>39</v>
      </c>
      <c r="R25">
        <v>23</v>
      </c>
      <c r="S25">
        <v>1</v>
      </c>
      <c r="T25" s="8" t="s">
        <v>1902</v>
      </c>
      <c r="U25" s="8" t="s">
        <v>1903</v>
      </c>
      <c r="V25" s="10">
        <v>1</v>
      </c>
      <c r="W25" s="11" t="str">
        <f t="shared" si="0"/>
        <v>(1718,null,1,'2026-03-24 00:00:00','003107010210000-310701021','003107010210000-310701021','动态血压监测',null,null,11.5,10,8.5,null,200,180,165,'小时',23,1,'normal','limit',1),</v>
      </c>
    </row>
    <row r="26" ht="15.75" spans="1:23">
      <c r="A26">
        <v>1719</v>
      </c>
      <c r="B26" t="s">
        <v>1898</v>
      </c>
      <c r="C26">
        <v>1</v>
      </c>
      <c r="D26" s="9" t="s">
        <v>1899</v>
      </c>
      <c r="E26" t="s">
        <v>195</v>
      </c>
      <c r="F26" t="s">
        <v>195</v>
      </c>
      <c r="G26" t="s">
        <v>196</v>
      </c>
      <c r="H26" t="s">
        <v>1898</v>
      </c>
      <c r="I26" t="s">
        <v>1898</v>
      </c>
      <c r="J26">
        <v>11.5</v>
      </c>
      <c r="K26">
        <v>10</v>
      </c>
      <c r="L26">
        <v>8.5</v>
      </c>
      <c r="M26" t="s">
        <v>1898</v>
      </c>
      <c r="N26" s="6">
        <v>200</v>
      </c>
      <c r="O26" s="6">
        <v>180</v>
      </c>
      <c r="P26" s="6">
        <v>165</v>
      </c>
      <c r="Q26" t="s">
        <v>39</v>
      </c>
      <c r="R26">
        <v>23</v>
      </c>
      <c r="S26">
        <v>1</v>
      </c>
      <c r="T26" s="8" t="s">
        <v>1902</v>
      </c>
      <c r="U26" s="8" t="s">
        <v>1903</v>
      </c>
      <c r="V26" s="10">
        <v>1</v>
      </c>
      <c r="W26" s="11" t="str">
        <f t="shared" si="0"/>
        <v>(1719,null,1,'2026-03-24 00:00:00','003107010210100-31070102101','003107010210100-31070102101','动态血压监测（运动血压监测）',null,null,11.5,10,8.5,null,200,180,165,'小时',23,1,'normal','limit',1),</v>
      </c>
    </row>
    <row r="27" ht="15.75" spans="1:23">
      <c r="A27">
        <v>1720</v>
      </c>
      <c r="B27" t="s">
        <v>1898</v>
      </c>
      <c r="C27">
        <v>1</v>
      </c>
      <c r="D27" s="9" t="s">
        <v>1899</v>
      </c>
      <c r="E27" t="s">
        <v>202</v>
      </c>
      <c r="F27" t="s">
        <v>202</v>
      </c>
      <c r="G27" t="s">
        <v>203</v>
      </c>
      <c r="H27" t="s">
        <v>1898</v>
      </c>
      <c r="I27" t="s">
        <v>1898</v>
      </c>
      <c r="J27">
        <v>50</v>
      </c>
      <c r="K27">
        <v>50</v>
      </c>
      <c r="L27">
        <v>42.5</v>
      </c>
      <c r="M27" t="s">
        <v>1898</v>
      </c>
      <c r="N27" s="6">
        <v>47</v>
      </c>
      <c r="O27" s="6">
        <v>42</v>
      </c>
      <c r="P27" s="6">
        <v>37</v>
      </c>
      <c r="Q27" t="s">
        <v>54</v>
      </c>
      <c r="R27">
        <v>23</v>
      </c>
      <c r="S27">
        <v>1</v>
      </c>
      <c r="T27" s="8" t="s">
        <v>1902</v>
      </c>
      <c r="U27" s="8" t="s">
        <v>1901</v>
      </c>
      <c r="V27" s="10">
        <v>0</v>
      </c>
      <c r="W27" s="11" t="str">
        <f t="shared" si="0"/>
        <v>(1720,null,1,'2026-03-24 00:00:00','353107010310000-310701029','353107010310000-310701029','动脉弹性功能检测',null,null,50,50,42.5,null,47,42,37,'次',23,1,'normal','main',0),</v>
      </c>
    </row>
    <row r="28" ht="15.75" spans="1:23">
      <c r="A28">
        <v>1721</v>
      </c>
      <c r="B28" t="s">
        <v>1898</v>
      </c>
      <c r="C28">
        <v>1</v>
      </c>
      <c r="D28" s="9" t="s">
        <v>1899</v>
      </c>
      <c r="E28" t="s">
        <v>205</v>
      </c>
      <c r="F28" t="s">
        <v>205</v>
      </c>
      <c r="G28" t="s">
        <v>206</v>
      </c>
      <c r="H28" t="s">
        <v>1898</v>
      </c>
      <c r="I28" t="s">
        <v>1898</v>
      </c>
      <c r="J28">
        <v>35</v>
      </c>
      <c r="K28">
        <v>35</v>
      </c>
      <c r="L28">
        <v>29.8</v>
      </c>
      <c r="M28" t="s">
        <v>1898</v>
      </c>
      <c r="N28" s="6">
        <v>47</v>
      </c>
      <c r="O28" s="6">
        <v>42</v>
      </c>
      <c r="P28" s="6">
        <v>37</v>
      </c>
      <c r="Q28" t="s">
        <v>54</v>
      </c>
      <c r="R28">
        <v>23</v>
      </c>
      <c r="S28">
        <v>1</v>
      </c>
      <c r="T28" s="8" t="s">
        <v>1902</v>
      </c>
      <c r="U28" s="8" t="s">
        <v>1901</v>
      </c>
      <c r="V28" s="10">
        <v>0</v>
      </c>
      <c r="W28" s="11" t="str">
        <f t="shared" si="0"/>
        <v>(1721,null,1,'2026-03-24 00:00:00','353107010300000-310701030','353107010300000-310701030','大动脉功能检测',null,null,35,35,29.8,null,47,42,37,'次',23,1,'normal','main',0),</v>
      </c>
    </row>
    <row r="29" ht="15.75" spans="1:23">
      <c r="A29">
        <v>1722</v>
      </c>
      <c r="B29" t="s">
        <v>1898</v>
      </c>
      <c r="C29">
        <v>1</v>
      </c>
      <c r="D29" s="9" t="s">
        <v>1899</v>
      </c>
      <c r="E29" t="s">
        <v>213</v>
      </c>
      <c r="F29" t="s">
        <v>213</v>
      </c>
      <c r="G29" t="s">
        <v>214</v>
      </c>
      <c r="H29" t="s">
        <v>1898</v>
      </c>
      <c r="I29" t="s">
        <v>1898</v>
      </c>
      <c r="J29">
        <v>51.8</v>
      </c>
      <c r="K29">
        <v>45</v>
      </c>
      <c r="L29">
        <v>38.3</v>
      </c>
      <c r="M29" t="s">
        <v>1898</v>
      </c>
      <c r="N29" s="6">
        <v>57</v>
      </c>
      <c r="O29" s="6">
        <v>51</v>
      </c>
      <c r="P29" s="6">
        <v>43</v>
      </c>
      <c r="Q29" t="s">
        <v>54</v>
      </c>
      <c r="R29">
        <v>23</v>
      </c>
      <c r="S29">
        <v>1</v>
      </c>
      <c r="T29" s="8" t="s">
        <v>1902</v>
      </c>
      <c r="U29" s="8" t="s">
        <v>1901</v>
      </c>
      <c r="V29" s="10">
        <v>0</v>
      </c>
      <c r="W29" s="11" t="str">
        <f t="shared" si="0"/>
        <v>(1722,null,1,'2026-03-24 00:00:00','003107020130000-310702013','003107020130000-310702013','体外经胸型心脏临时起搏术',null,null,51.8,45,38.3,null,57,51,43,'次',23,1,'normal','main',0),</v>
      </c>
    </row>
    <row r="30" ht="15.75" spans="1:23">
      <c r="A30">
        <v>1723</v>
      </c>
      <c r="B30" t="s">
        <v>1898</v>
      </c>
      <c r="C30">
        <v>1</v>
      </c>
      <c r="D30" s="9" t="s">
        <v>1899</v>
      </c>
      <c r="E30" t="s">
        <v>215</v>
      </c>
      <c r="F30" t="s">
        <v>215</v>
      </c>
      <c r="G30" t="s">
        <v>216</v>
      </c>
      <c r="H30" t="s">
        <v>1898</v>
      </c>
      <c r="I30" t="s">
        <v>1898</v>
      </c>
      <c r="J30">
        <v>69</v>
      </c>
      <c r="K30">
        <v>60</v>
      </c>
      <c r="L30">
        <v>51</v>
      </c>
      <c r="M30" t="s">
        <v>1898</v>
      </c>
      <c r="N30" s="6">
        <v>57</v>
      </c>
      <c r="O30" s="6">
        <v>51</v>
      </c>
      <c r="P30" s="6">
        <v>43</v>
      </c>
      <c r="Q30" t="s">
        <v>54</v>
      </c>
      <c r="R30">
        <v>23</v>
      </c>
      <c r="S30">
        <v>1</v>
      </c>
      <c r="T30" s="8" t="s">
        <v>1902</v>
      </c>
      <c r="U30" s="8" t="s">
        <v>1901</v>
      </c>
      <c r="V30" s="10">
        <v>0</v>
      </c>
      <c r="W30" s="11" t="str">
        <f t="shared" si="0"/>
        <v>(1723,null,1,'2026-03-24 00:00:00','003107020160000-310702016','003107020160000-310702016','心脏电复律术',null,null,69,60,51,null,57,51,43,'次',23,1,'normal','main',0),</v>
      </c>
    </row>
    <row r="31" ht="15.75" spans="1:23">
      <c r="A31">
        <v>1724</v>
      </c>
      <c r="B31" t="s">
        <v>1898</v>
      </c>
      <c r="C31">
        <v>1</v>
      </c>
      <c r="D31" s="9" t="s">
        <v>1899</v>
      </c>
      <c r="E31" t="s">
        <v>217</v>
      </c>
      <c r="F31" t="s">
        <v>217</v>
      </c>
      <c r="G31" t="s">
        <v>218</v>
      </c>
      <c r="H31" t="s">
        <v>1898</v>
      </c>
      <c r="I31" t="s">
        <v>1898</v>
      </c>
      <c r="J31">
        <v>57.5</v>
      </c>
      <c r="K31">
        <v>50</v>
      </c>
      <c r="L31">
        <v>42.5</v>
      </c>
      <c r="M31" t="s">
        <v>1898</v>
      </c>
      <c r="N31" s="6">
        <v>57</v>
      </c>
      <c r="O31" s="6">
        <v>51</v>
      </c>
      <c r="P31" s="6">
        <v>43</v>
      </c>
      <c r="Q31" t="s">
        <v>54</v>
      </c>
      <c r="R31">
        <v>23</v>
      </c>
      <c r="S31">
        <v>1</v>
      </c>
      <c r="T31" s="8" t="s">
        <v>1902</v>
      </c>
      <c r="U31" s="8" t="s">
        <v>1901</v>
      </c>
      <c r="V31" s="10">
        <v>0</v>
      </c>
      <c r="W31" s="11" t="str">
        <f t="shared" si="0"/>
        <v>(1724,null,1,'2026-03-24 00:00:00','003107020170000-310702017','003107020170000-310702017','心脏电除颤术',null,null,57.5,50,42.5,null,57,51,43,'次',23,1,'normal','main',0),</v>
      </c>
    </row>
    <row r="32" ht="15.75" spans="1:23">
      <c r="A32">
        <v>1725</v>
      </c>
      <c r="B32" t="s">
        <v>1898</v>
      </c>
      <c r="C32">
        <v>1</v>
      </c>
      <c r="D32" s="9" t="s">
        <v>1899</v>
      </c>
      <c r="E32" t="s">
        <v>219</v>
      </c>
      <c r="F32" t="s">
        <v>219</v>
      </c>
      <c r="G32" t="s">
        <v>220</v>
      </c>
      <c r="H32" t="s">
        <v>1898</v>
      </c>
      <c r="I32" t="s">
        <v>1898</v>
      </c>
      <c r="J32">
        <v>57.5</v>
      </c>
      <c r="K32">
        <v>50</v>
      </c>
      <c r="L32">
        <v>42.5</v>
      </c>
      <c r="M32" t="s">
        <v>1898</v>
      </c>
      <c r="N32" s="6">
        <v>57</v>
      </c>
      <c r="O32" s="6">
        <v>51</v>
      </c>
      <c r="P32" s="6">
        <v>43</v>
      </c>
      <c r="Q32" t="s">
        <v>54</v>
      </c>
      <c r="R32">
        <v>23</v>
      </c>
      <c r="S32">
        <v>1</v>
      </c>
      <c r="T32" s="8" t="s">
        <v>1902</v>
      </c>
      <c r="U32" s="8" t="s">
        <v>1901</v>
      </c>
      <c r="V32" s="10">
        <v>0</v>
      </c>
      <c r="W32" s="11" t="str">
        <f t="shared" si="0"/>
        <v>(1725,null,1,'2026-03-24 00:00:00','003107020180000-310702018','003107020180000-310702018','体外自动心脏变律除颤术',null,null,57.5,50,42.5,null,57,51,43,'次',23,1,'normal','main',0),</v>
      </c>
    </row>
    <row r="33" ht="15.75" spans="1:23">
      <c r="A33">
        <v>1726</v>
      </c>
      <c r="B33" t="s">
        <v>1898</v>
      </c>
      <c r="C33">
        <v>1</v>
      </c>
      <c r="D33" s="9" t="s">
        <v>1899</v>
      </c>
      <c r="E33" t="s">
        <v>228</v>
      </c>
      <c r="F33" t="s">
        <v>228</v>
      </c>
      <c r="G33" t="s">
        <v>229</v>
      </c>
      <c r="H33" t="s">
        <v>1898</v>
      </c>
      <c r="I33" t="s">
        <v>1898</v>
      </c>
      <c r="J33">
        <v>115</v>
      </c>
      <c r="K33">
        <v>100</v>
      </c>
      <c r="L33">
        <v>85</v>
      </c>
      <c r="M33" t="s">
        <v>1898</v>
      </c>
      <c r="N33" s="6">
        <v>15</v>
      </c>
      <c r="O33" s="6">
        <v>14</v>
      </c>
      <c r="P33" s="6">
        <v>13</v>
      </c>
      <c r="Q33" t="s">
        <v>54</v>
      </c>
      <c r="R33">
        <v>23</v>
      </c>
      <c r="S33">
        <v>1</v>
      </c>
      <c r="T33" s="8" t="s">
        <v>1902</v>
      </c>
      <c r="U33" s="8" t="s">
        <v>1901</v>
      </c>
      <c r="V33" s="10">
        <v>0</v>
      </c>
      <c r="W33" s="11" t="str">
        <f t="shared" si="0"/>
        <v>(1726,null,1,'2026-03-24 00:00:00','003107020010000-310702001','003107020010000-310702001','有创性血流动力学监测（床旁）',null,null,115,100,85,null,15,14,13,'次',23,1,'normal','main',0),</v>
      </c>
    </row>
    <row r="34" ht="15.75" spans="1:23">
      <c r="A34">
        <v>1727</v>
      </c>
      <c r="B34" t="s">
        <v>1898</v>
      </c>
      <c r="C34">
        <v>1</v>
      </c>
      <c r="D34" s="9" t="s">
        <v>1899</v>
      </c>
      <c r="E34" t="s">
        <v>233</v>
      </c>
      <c r="F34" t="s">
        <v>233</v>
      </c>
      <c r="G34" t="s">
        <v>234</v>
      </c>
      <c r="H34" t="s">
        <v>1898</v>
      </c>
      <c r="I34" t="s">
        <v>1898</v>
      </c>
      <c r="J34">
        <v>40.3</v>
      </c>
      <c r="K34">
        <v>35</v>
      </c>
      <c r="L34">
        <v>30</v>
      </c>
      <c r="M34" t="s">
        <v>1898</v>
      </c>
      <c r="N34" s="6">
        <v>15</v>
      </c>
      <c r="O34" s="6">
        <v>14</v>
      </c>
      <c r="P34" s="6">
        <v>13</v>
      </c>
      <c r="Q34" t="s">
        <v>39</v>
      </c>
      <c r="R34">
        <v>23</v>
      </c>
      <c r="S34">
        <v>1</v>
      </c>
      <c r="T34" s="8" t="s">
        <v>1902</v>
      </c>
      <c r="U34" s="8" t="s">
        <v>1901</v>
      </c>
      <c r="V34" s="10">
        <v>0</v>
      </c>
      <c r="W34" s="11" t="str">
        <f t="shared" si="0"/>
        <v>(1727,null,1,'2026-03-24 00:00:00','003107020010000-31070200102','003107020010000-31070200102','有创性血流动力学监测（床旁）（心电、压力连续示波）',null,null,40.3,35,30,null,15,14,13,'小时',23,1,'normal','main',0),</v>
      </c>
    </row>
    <row r="35" ht="15.75" spans="1:23">
      <c r="A35">
        <v>1728</v>
      </c>
      <c r="B35" t="s">
        <v>1898</v>
      </c>
      <c r="C35">
        <v>1</v>
      </c>
      <c r="D35" s="9" t="s">
        <v>1899</v>
      </c>
      <c r="E35" t="s">
        <v>236</v>
      </c>
      <c r="F35" t="s">
        <v>236</v>
      </c>
      <c r="G35" t="s">
        <v>237</v>
      </c>
      <c r="H35" t="s">
        <v>1898</v>
      </c>
      <c r="I35" t="s">
        <v>1898</v>
      </c>
      <c r="J35">
        <v>23</v>
      </c>
      <c r="K35">
        <v>20</v>
      </c>
      <c r="L35">
        <v>17</v>
      </c>
      <c r="M35" t="s">
        <v>1898</v>
      </c>
      <c r="N35" s="6">
        <v>15</v>
      </c>
      <c r="O35" s="6">
        <v>14</v>
      </c>
      <c r="P35" s="6">
        <v>13</v>
      </c>
      <c r="Q35" t="s">
        <v>39</v>
      </c>
      <c r="R35">
        <v>23</v>
      </c>
      <c r="S35">
        <v>1</v>
      </c>
      <c r="T35" s="8" t="s">
        <v>1902</v>
      </c>
      <c r="U35" s="8" t="s">
        <v>1901</v>
      </c>
      <c r="V35" s="10">
        <v>0</v>
      </c>
      <c r="W35" s="11" t="str">
        <f t="shared" si="0"/>
        <v>(1728,null,1,'2026-03-24 00:00:00','003107020020000-310702002','003107020020000-310702002','持续有创性血压监测',null,null,23,20,17,null,15,14,13,'小时',23,1,'normal','main',0),</v>
      </c>
    </row>
    <row r="36" ht="15.75" spans="1:23">
      <c r="A36">
        <v>1729</v>
      </c>
      <c r="B36" t="s">
        <v>1898</v>
      </c>
      <c r="C36">
        <v>1</v>
      </c>
      <c r="D36" s="9" t="s">
        <v>1899</v>
      </c>
      <c r="E36" t="s">
        <v>240</v>
      </c>
      <c r="F36" t="s">
        <v>240</v>
      </c>
      <c r="G36" t="s">
        <v>241</v>
      </c>
      <c r="H36" t="s">
        <v>1898</v>
      </c>
      <c r="I36" t="s">
        <v>1898</v>
      </c>
      <c r="J36">
        <v>17.3</v>
      </c>
      <c r="K36">
        <v>15</v>
      </c>
      <c r="L36">
        <v>12.8</v>
      </c>
      <c r="M36" t="s">
        <v>1898</v>
      </c>
      <c r="N36" s="6">
        <v>15</v>
      </c>
      <c r="O36" s="6">
        <v>14</v>
      </c>
      <c r="P36" s="6">
        <v>13</v>
      </c>
      <c r="Q36" t="s">
        <v>39</v>
      </c>
      <c r="R36">
        <v>23</v>
      </c>
      <c r="S36">
        <v>1</v>
      </c>
      <c r="T36" s="8" t="s">
        <v>1902</v>
      </c>
      <c r="U36" s="8" t="s">
        <v>1901</v>
      </c>
      <c r="V36" s="10">
        <v>0</v>
      </c>
      <c r="W36" s="11" t="str">
        <f t="shared" si="0"/>
        <v>(1729,null,1,'2026-03-24 00:00:00','003107010250000-310701025','003107010250000-310701025','动脉内压力监测',null,null,17.3,15,12.8,null,15,14,13,'小时',23,1,'normal','main',0),</v>
      </c>
    </row>
    <row r="37" ht="15.75" spans="1:23">
      <c r="A37">
        <v>1730</v>
      </c>
      <c r="B37" t="s">
        <v>1898</v>
      </c>
      <c r="C37">
        <v>1</v>
      </c>
      <c r="D37" s="9" t="s">
        <v>1899</v>
      </c>
      <c r="E37" t="s">
        <v>243</v>
      </c>
      <c r="F37" t="s">
        <v>243</v>
      </c>
      <c r="G37" t="s">
        <v>244</v>
      </c>
      <c r="H37" t="s">
        <v>1898</v>
      </c>
      <c r="I37" t="s">
        <v>1898</v>
      </c>
      <c r="J37">
        <v>115</v>
      </c>
      <c r="K37">
        <v>100</v>
      </c>
      <c r="L37">
        <v>85</v>
      </c>
      <c r="M37" t="s">
        <v>1898</v>
      </c>
      <c r="N37" s="6">
        <v>15</v>
      </c>
      <c r="O37" s="6">
        <v>14</v>
      </c>
      <c r="P37" s="6">
        <v>13</v>
      </c>
      <c r="Q37" t="s">
        <v>54</v>
      </c>
      <c r="R37">
        <v>23</v>
      </c>
      <c r="S37">
        <v>1</v>
      </c>
      <c r="T37" s="8" t="s">
        <v>1902</v>
      </c>
      <c r="U37" s="8" t="s">
        <v>1901</v>
      </c>
      <c r="V37" s="10">
        <v>0</v>
      </c>
      <c r="W37" s="11" t="str">
        <f t="shared" si="0"/>
        <v>(1730,null,1,'2026-03-24 00:00:00','003107010230000-310701023','003107010230000-310701023','心输出量测定',null,null,115,100,85,null,15,14,13,'次',23,1,'normal','main',0),</v>
      </c>
    </row>
    <row r="38" ht="15.75" spans="1:23">
      <c r="A38">
        <v>1731</v>
      </c>
      <c r="B38" t="s">
        <v>1898</v>
      </c>
      <c r="C38">
        <v>1</v>
      </c>
      <c r="D38" s="9" t="s">
        <v>1899</v>
      </c>
      <c r="E38" t="s">
        <v>252</v>
      </c>
      <c r="F38" t="s">
        <v>252</v>
      </c>
      <c r="G38" t="s">
        <v>253</v>
      </c>
      <c r="H38" t="s">
        <v>1898</v>
      </c>
      <c r="I38" t="s">
        <v>1898</v>
      </c>
      <c r="J38">
        <v>23</v>
      </c>
      <c r="K38">
        <v>20</v>
      </c>
      <c r="L38">
        <v>17</v>
      </c>
      <c r="M38" t="s">
        <v>1898</v>
      </c>
      <c r="N38" s="6">
        <v>8</v>
      </c>
      <c r="O38" s="6">
        <v>7</v>
      </c>
      <c r="P38" s="6">
        <v>6</v>
      </c>
      <c r="Q38" t="s">
        <v>54</v>
      </c>
      <c r="R38">
        <v>23</v>
      </c>
      <c r="S38">
        <v>1</v>
      </c>
      <c r="T38" s="8" t="s">
        <v>1902</v>
      </c>
      <c r="U38" s="8" t="s">
        <v>1901</v>
      </c>
      <c r="V38" s="10">
        <v>0</v>
      </c>
      <c r="W38" s="11" t="str">
        <f t="shared" si="0"/>
        <v>(1731,null,1,'2026-03-24 00:00:00','003107010130000-310701013','003107010130000-310701013','心音图',null,null,23,20,17,null,8,7,6,'次',23,1,'normal','main',0),</v>
      </c>
    </row>
    <row r="39" ht="15.75" spans="1:23">
      <c r="A39">
        <v>1732</v>
      </c>
      <c r="B39" t="s">
        <v>1898</v>
      </c>
      <c r="C39">
        <v>1</v>
      </c>
      <c r="D39" s="9" t="s">
        <v>1899</v>
      </c>
      <c r="E39" t="s">
        <v>254</v>
      </c>
      <c r="F39" t="s">
        <v>254</v>
      </c>
      <c r="G39" t="s">
        <v>255</v>
      </c>
      <c r="H39" t="s">
        <v>1898</v>
      </c>
      <c r="I39" t="s">
        <v>1898</v>
      </c>
      <c r="J39">
        <v>17.3</v>
      </c>
      <c r="K39">
        <v>15</v>
      </c>
      <c r="L39">
        <v>12.8</v>
      </c>
      <c r="M39" t="s">
        <v>1898</v>
      </c>
      <c r="N39" s="6">
        <v>8</v>
      </c>
      <c r="O39" s="6">
        <v>7</v>
      </c>
      <c r="P39" s="6">
        <v>6</v>
      </c>
      <c r="Q39" t="s">
        <v>54</v>
      </c>
      <c r="R39">
        <v>23</v>
      </c>
      <c r="S39">
        <v>1</v>
      </c>
      <c r="T39" s="8" t="s">
        <v>1902</v>
      </c>
      <c r="U39" s="8" t="s">
        <v>1901</v>
      </c>
      <c r="V39" s="10">
        <v>0</v>
      </c>
      <c r="W39" s="11" t="str">
        <f t="shared" si="0"/>
        <v>(1732,null,1,'2026-03-24 00:00:00','003107010140000-310701014','003107010140000-310701014','心阻抗图',null,null,17.3,15,12.8,null,8,7,6,'次',23,1,'normal','main',0),</v>
      </c>
    </row>
    <row r="40" ht="15.75" spans="1:23">
      <c r="A40">
        <v>1733</v>
      </c>
      <c r="B40" t="s">
        <v>1898</v>
      </c>
      <c r="C40">
        <v>1</v>
      </c>
      <c r="D40" s="9" t="s">
        <v>1899</v>
      </c>
      <c r="E40" t="s">
        <v>257</v>
      </c>
      <c r="F40" t="s">
        <v>257</v>
      </c>
      <c r="G40" t="s">
        <v>258</v>
      </c>
      <c r="H40" t="s">
        <v>1898</v>
      </c>
      <c r="I40" t="s">
        <v>1898</v>
      </c>
      <c r="J40">
        <v>115</v>
      </c>
      <c r="K40">
        <v>100</v>
      </c>
      <c r="L40">
        <v>85</v>
      </c>
      <c r="M40" t="s">
        <v>1898</v>
      </c>
      <c r="N40" s="6">
        <v>8</v>
      </c>
      <c r="O40" s="6">
        <v>7</v>
      </c>
      <c r="P40" s="6">
        <v>6</v>
      </c>
      <c r="Q40" t="s">
        <v>54</v>
      </c>
      <c r="R40">
        <v>23</v>
      </c>
      <c r="S40">
        <v>1</v>
      </c>
      <c r="T40" s="8" t="s">
        <v>1902</v>
      </c>
      <c r="U40" s="8" t="s">
        <v>1901</v>
      </c>
      <c r="V40" s="10">
        <v>0</v>
      </c>
      <c r="W40" s="11" t="str">
        <f t="shared" si="0"/>
        <v>(1733,null,1,'2026-03-24 00:00:00','003107010140001-31070101401','003107010140001-31070101401','心阻抗图（心导纳图）',null,null,115,100,85,null,8,7,6,'次',23,1,'normal','main',0),</v>
      </c>
    </row>
    <row r="41" ht="15.75" spans="1:23">
      <c r="A41">
        <v>1734</v>
      </c>
      <c r="B41" t="s">
        <v>1898</v>
      </c>
      <c r="C41">
        <v>1</v>
      </c>
      <c r="D41" s="9" t="s">
        <v>1899</v>
      </c>
      <c r="E41" t="s">
        <v>259</v>
      </c>
      <c r="F41" t="s">
        <v>259</v>
      </c>
      <c r="G41" t="s">
        <v>260</v>
      </c>
      <c r="H41" t="s">
        <v>1898</v>
      </c>
      <c r="I41" t="s">
        <v>1898</v>
      </c>
      <c r="J41">
        <v>0</v>
      </c>
      <c r="K41">
        <v>0</v>
      </c>
      <c r="L41">
        <v>0</v>
      </c>
      <c r="M41" t="s">
        <v>1898</v>
      </c>
      <c r="N41" s="6">
        <v>8</v>
      </c>
      <c r="O41" s="6">
        <v>7</v>
      </c>
      <c r="P41" s="6">
        <v>6</v>
      </c>
      <c r="Q41" t="s">
        <v>54</v>
      </c>
      <c r="R41">
        <v>23</v>
      </c>
      <c r="S41">
        <v>1</v>
      </c>
      <c r="T41" s="8" t="s">
        <v>1902</v>
      </c>
      <c r="U41" s="8" t="s">
        <v>1901</v>
      </c>
      <c r="V41" s="10">
        <v>0</v>
      </c>
      <c r="W41" s="11" t="str">
        <f t="shared" si="0"/>
        <v>(1734,null,1,'2026-03-24 00:00:00','003107010190000-310701019','003107010190000-310701019','无创阻抗法心搏出量测定',null,null,0,0,0,null,8,7,6,'次',23,1,'normal','main',0),</v>
      </c>
    </row>
    <row r="42" ht="15.75" spans="1:23">
      <c r="A42">
        <v>1735</v>
      </c>
      <c r="B42" t="s">
        <v>1898</v>
      </c>
      <c r="C42">
        <v>1</v>
      </c>
      <c r="D42" s="9" t="s">
        <v>1899</v>
      </c>
      <c r="E42" t="s">
        <v>261</v>
      </c>
      <c r="F42" t="s">
        <v>261</v>
      </c>
      <c r="G42" t="s">
        <v>262</v>
      </c>
      <c r="H42" t="s">
        <v>1898</v>
      </c>
      <c r="I42" t="s">
        <v>1898</v>
      </c>
      <c r="J42">
        <v>5.8</v>
      </c>
      <c r="K42">
        <v>5</v>
      </c>
      <c r="L42">
        <v>4.3</v>
      </c>
      <c r="M42" t="s">
        <v>1898</v>
      </c>
      <c r="N42" s="6">
        <v>8</v>
      </c>
      <c r="O42" s="6">
        <v>7</v>
      </c>
      <c r="P42" s="6">
        <v>6</v>
      </c>
      <c r="Q42" t="s">
        <v>264</v>
      </c>
      <c r="R42">
        <v>23</v>
      </c>
      <c r="S42">
        <v>1</v>
      </c>
      <c r="T42" s="8" t="s">
        <v>1902</v>
      </c>
      <c r="U42" s="8" t="s">
        <v>1901</v>
      </c>
      <c r="V42" s="10">
        <v>0</v>
      </c>
      <c r="W42" s="11" t="str">
        <f t="shared" si="0"/>
        <v>(1735,null,1,'2026-03-24 00:00:00','003107010200000-310701020','003107010200000-310701020','无创心功能监测',null,null,5.8,5,4.3,null,8,7,6,'每监测项目',23,1,'normal','main',0),</v>
      </c>
    </row>
    <row r="43" ht="15.75" spans="1:23">
      <c r="A43">
        <v>1736</v>
      </c>
      <c r="B43" t="s">
        <v>1898</v>
      </c>
      <c r="C43">
        <v>1</v>
      </c>
      <c r="D43" s="9" t="s">
        <v>1899</v>
      </c>
      <c r="E43" t="s">
        <v>265</v>
      </c>
      <c r="F43" t="s">
        <v>265</v>
      </c>
      <c r="G43" t="s">
        <v>266</v>
      </c>
      <c r="H43" t="s">
        <v>1898</v>
      </c>
      <c r="I43" t="s">
        <v>1898</v>
      </c>
      <c r="J43">
        <v>5.8</v>
      </c>
      <c r="K43">
        <v>5</v>
      </c>
      <c r="L43">
        <v>4.3</v>
      </c>
      <c r="M43" t="s">
        <v>1898</v>
      </c>
      <c r="N43" s="6">
        <v>8</v>
      </c>
      <c r="O43" s="6">
        <v>7</v>
      </c>
      <c r="P43" s="6">
        <v>6</v>
      </c>
      <c r="Q43" t="s">
        <v>264</v>
      </c>
      <c r="R43">
        <v>23</v>
      </c>
      <c r="S43">
        <v>1</v>
      </c>
      <c r="T43" s="8" t="s">
        <v>1902</v>
      </c>
      <c r="U43" s="8" t="s">
        <v>1901</v>
      </c>
      <c r="V43" s="10">
        <v>0</v>
      </c>
      <c r="W43" s="11" t="str">
        <f t="shared" si="0"/>
        <v>(1736,null,1,'2026-03-24 00:00:00','003107010200100-31070102001','003107010200100-31070102001','无创心功能监测（心血流图）',null,null,5.8,5,4.3,null,8,7,6,'每监测项目',23,1,'normal','main',0),</v>
      </c>
    </row>
    <row r="44" ht="15.75" spans="1:23">
      <c r="A44">
        <v>1737</v>
      </c>
      <c r="B44" t="s">
        <v>1898</v>
      </c>
      <c r="C44">
        <v>1</v>
      </c>
      <c r="D44" s="9" t="s">
        <v>1899</v>
      </c>
      <c r="E44" t="s">
        <v>268</v>
      </c>
      <c r="F44" t="s">
        <v>268</v>
      </c>
      <c r="G44" t="s">
        <v>269</v>
      </c>
      <c r="H44" t="s">
        <v>1898</v>
      </c>
      <c r="I44" t="s">
        <v>1898</v>
      </c>
      <c r="J44">
        <v>5.8</v>
      </c>
      <c r="K44">
        <v>5</v>
      </c>
      <c r="L44">
        <v>4.3</v>
      </c>
      <c r="M44" t="s">
        <v>1898</v>
      </c>
      <c r="N44" s="6">
        <v>8</v>
      </c>
      <c r="O44" s="6">
        <v>7</v>
      </c>
      <c r="P44" s="6">
        <v>6</v>
      </c>
      <c r="Q44" t="s">
        <v>264</v>
      </c>
      <c r="R44">
        <v>23</v>
      </c>
      <c r="S44">
        <v>1</v>
      </c>
      <c r="T44" s="8" t="s">
        <v>1902</v>
      </c>
      <c r="U44" s="8" t="s">
        <v>1901</v>
      </c>
      <c r="V44" s="10">
        <v>0</v>
      </c>
      <c r="W44" s="11" t="str">
        <f t="shared" si="0"/>
        <v>(1737,null,1,'2026-03-24 00:00:00','003107010200200-31070102002','003107010200200-31070102002','无创心功能监测（心尖搏动图）',null,null,5.8,5,4.3,null,8,7,6,'每监测项目',23,1,'normal','main',0),</v>
      </c>
    </row>
    <row r="45" ht="15.75" spans="1:23">
      <c r="A45">
        <v>1738</v>
      </c>
      <c r="B45" t="s">
        <v>1898</v>
      </c>
      <c r="C45">
        <v>1</v>
      </c>
      <c r="D45" s="9" t="s">
        <v>1899</v>
      </c>
      <c r="E45" t="s">
        <v>276</v>
      </c>
      <c r="F45" t="s">
        <v>276</v>
      </c>
      <c r="G45" t="s">
        <v>277</v>
      </c>
      <c r="H45" t="s">
        <v>1898</v>
      </c>
      <c r="I45" t="s">
        <v>1898</v>
      </c>
      <c r="J45">
        <v>69</v>
      </c>
      <c r="K45">
        <v>60</v>
      </c>
      <c r="L45">
        <v>51</v>
      </c>
      <c r="M45" t="s">
        <v>1898</v>
      </c>
      <c r="N45">
        <v>65</v>
      </c>
      <c r="O45">
        <v>58</v>
      </c>
      <c r="P45">
        <v>50</v>
      </c>
      <c r="Q45" t="s">
        <v>54</v>
      </c>
      <c r="R45">
        <v>23</v>
      </c>
      <c r="S45">
        <v>1</v>
      </c>
      <c r="T45" s="8" t="s">
        <v>1902</v>
      </c>
      <c r="U45" s="8" t="s">
        <v>1901</v>
      </c>
      <c r="V45" s="10">
        <v>0</v>
      </c>
      <c r="W45" s="11" t="str">
        <f t="shared" si="0"/>
        <v>(1738,null,1,'2026-03-24 00:00:00','003107020190000-310702019','003107020190000-310702019','体外反搏治疗',null,null,69,60,51,null,65,58,50,'次',23,1,'normal','main',0),</v>
      </c>
    </row>
    <row r="46" ht="15.75" spans="1:23">
      <c r="A46">
        <v>1739</v>
      </c>
      <c r="B46" t="s">
        <v>1898</v>
      </c>
      <c r="C46">
        <v>1</v>
      </c>
      <c r="D46" s="9" t="s">
        <v>1899</v>
      </c>
      <c r="E46" t="s">
        <v>283</v>
      </c>
      <c r="F46" t="s">
        <v>283</v>
      </c>
      <c r="G46" t="s">
        <v>284</v>
      </c>
      <c r="H46" t="s">
        <v>1898</v>
      </c>
      <c r="I46" t="s">
        <v>1898</v>
      </c>
      <c r="J46">
        <v>51.8</v>
      </c>
      <c r="K46">
        <v>45</v>
      </c>
      <c r="L46">
        <v>38.3</v>
      </c>
      <c r="M46" t="s">
        <v>1898</v>
      </c>
      <c r="N46" s="6">
        <v>45</v>
      </c>
      <c r="O46" s="6">
        <v>41</v>
      </c>
      <c r="P46" s="6">
        <v>35</v>
      </c>
      <c r="Q46" t="s">
        <v>54</v>
      </c>
      <c r="R46">
        <v>23</v>
      </c>
      <c r="S46">
        <v>1</v>
      </c>
      <c r="T46" s="8" t="s">
        <v>1902</v>
      </c>
      <c r="U46" s="8" t="s">
        <v>1901</v>
      </c>
      <c r="V46" s="10">
        <v>0</v>
      </c>
      <c r="W46" s="11" t="str">
        <f t="shared" si="0"/>
        <v>(1739,null,1,'2026-03-24 00:00:00','003107020100000-310702010','003107020100000-310702010','起搏器功能分析和随访',null,null,51.8,45,38.3,null,45,41,35,'次',23,1,'normal','main',0),</v>
      </c>
    </row>
    <row r="47" ht="15.75" spans="1:23">
      <c r="A47">
        <v>1740</v>
      </c>
      <c r="B47" t="s">
        <v>1898</v>
      </c>
      <c r="C47">
        <v>1</v>
      </c>
      <c r="D47" s="9" t="s">
        <v>1899</v>
      </c>
      <c r="E47" t="s">
        <v>285</v>
      </c>
      <c r="F47" t="s">
        <v>285</v>
      </c>
      <c r="G47" t="s">
        <v>286</v>
      </c>
      <c r="H47" t="s">
        <v>1898</v>
      </c>
      <c r="I47" t="s">
        <v>1898</v>
      </c>
      <c r="J47">
        <v>51.8</v>
      </c>
      <c r="K47">
        <v>45</v>
      </c>
      <c r="L47">
        <v>38.3</v>
      </c>
      <c r="M47" t="s">
        <v>1898</v>
      </c>
      <c r="N47" s="6">
        <v>45</v>
      </c>
      <c r="O47" s="6">
        <v>41</v>
      </c>
      <c r="P47" s="6">
        <v>35</v>
      </c>
      <c r="Q47" t="s">
        <v>54</v>
      </c>
      <c r="R47">
        <v>23</v>
      </c>
      <c r="S47">
        <v>1</v>
      </c>
      <c r="T47" s="8" t="s">
        <v>1902</v>
      </c>
      <c r="U47" s="8" t="s">
        <v>1901</v>
      </c>
      <c r="V47" s="10">
        <v>0</v>
      </c>
      <c r="W47" s="11" t="str">
        <f t="shared" si="0"/>
        <v>(1740,null,1,'2026-03-24 00:00:00','003107020110000-310702011','003107020110000-310702011','起搏器程控功能检查',null,null,51.8,45,38.3,null,45,41,35,'次',23,1,'normal','main',0),</v>
      </c>
    </row>
    <row r="48" ht="15.75" spans="1:23">
      <c r="A48">
        <v>1741</v>
      </c>
      <c r="B48" t="s">
        <v>1898</v>
      </c>
      <c r="C48">
        <v>1</v>
      </c>
      <c r="D48" s="9" t="s">
        <v>1899</v>
      </c>
      <c r="E48" t="s">
        <v>288</v>
      </c>
      <c r="F48" t="s">
        <v>288</v>
      </c>
      <c r="G48" t="s">
        <v>289</v>
      </c>
      <c r="H48" t="s">
        <v>1898</v>
      </c>
      <c r="I48" t="s">
        <v>1898</v>
      </c>
      <c r="J48">
        <v>51.8</v>
      </c>
      <c r="K48">
        <v>45</v>
      </c>
      <c r="L48">
        <v>38.3</v>
      </c>
      <c r="M48" t="s">
        <v>1898</v>
      </c>
      <c r="N48" s="6">
        <v>45</v>
      </c>
      <c r="O48" s="6">
        <v>41</v>
      </c>
      <c r="P48" s="6">
        <v>35</v>
      </c>
      <c r="Q48" t="s">
        <v>54</v>
      </c>
      <c r="R48">
        <v>23</v>
      </c>
      <c r="S48">
        <v>1</v>
      </c>
      <c r="T48" s="8" t="s">
        <v>1902</v>
      </c>
      <c r="U48" s="8" t="s">
        <v>1901</v>
      </c>
      <c r="V48" s="10">
        <v>0</v>
      </c>
      <c r="W48" s="11" t="str">
        <f t="shared" si="0"/>
        <v>(1741,null,1,'2026-03-24 00:00:00','003107020120000-310702012','003107020120000-310702012','起搏器胸壁刺激法检查',null,null,51.8,45,38.3,null,45,41,35,'次',23,1,'normal','main',0),</v>
      </c>
    </row>
    <row r="49" ht="15.75" spans="1:23">
      <c r="A49">
        <v>1742</v>
      </c>
      <c r="B49" t="s">
        <v>1898</v>
      </c>
      <c r="C49">
        <v>1</v>
      </c>
      <c r="D49" s="9" t="s">
        <v>1899</v>
      </c>
      <c r="E49" t="s">
        <v>298</v>
      </c>
      <c r="F49" t="s">
        <v>298</v>
      </c>
      <c r="G49" t="s">
        <v>299</v>
      </c>
      <c r="H49" t="s">
        <v>1898</v>
      </c>
      <c r="I49" t="s">
        <v>1898</v>
      </c>
      <c r="J49">
        <v>3100</v>
      </c>
      <c r="K49">
        <v>2950</v>
      </c>
      <c r="L49">
        <v>2500</v>
      </c>
      <c r="M49" t="s">
        <v>1898</v>
      </c>
      <c r="N49" s="6">
        <v>2900</v>
      </c>
      <c r="O49" s="6">
        <v>2700</v>
      </c>
      <c r="P49" s="6">
        <v>2300</v>
      </c>
      <c r="Q49" t="s">
        <v>54</v>
      </c>
      <c r="R49">
        <v>23</v>
      </c>
      <c r="S49">
        <v>1</v>
      </c>
      <c r="T49" s="8" t="s">
        <v>1902</v>
      </c>
      <c r="U49" s="8" t="s">
        <v>1901</v>
      </c>
      <c r="V49" s="10">
        <v>0</v>
      </c>
      <c r="W49" s="11" t="str">
        <f t="shared" si="0"/>
        <v>(1742,null,1,'2026-03-24 00:00:00','003205000010000-320500001','003205000010000-320500001','冠状动脉造影术',null,null,3100,2950,2500,null,2900,2700,2300,'次',23,1,'normal','main',0),</v>
      </c>
    </row>
    <row r="50" ht="15.75" spans="1:23">
      <c r="A50">
        <v>1743</v>
      </c>
      <c r="B50" t="s">
        <v>1898</v>
      </c>
      <c r="C50">
        <v>1</v>
      </c>
      <c r="D50" s="9" t="s">
        <v>1899</v>
      </c>
      <c r="E50" t="s">
        <v>301</v>
      </c>
      <c r="F50" t="s">
        <v>301</v>
      </c>
      <c r="G50" t="s">
        <v>302</v>
      </c>
      <c r="H50" t="s">
        <v>1898</v>
      </c>
      <c r="I50" t="s">
        <v>1898</v>
      </c>
      <c r="J50">
        <v>0</v>
      </c>
      <c r="K50">
        <v>0</v>
      </c>
      <c r="L50">
        <v>0</v>
      </c>
      <c r="M50" t="s">
        <v>1898</v>
      </c>
      <c r="N50" s="6">
        <v>2900</v>
      </c>
      <c r="O50" s="6">
        <v>2700</v>
      </c>
      <c r="P50" s="6">
        <v>2300</v>
      </c>
      <c r="Q50" t="s">
        <v>54</v>
      </c>
      <c r="R50">
        <v>23</v>
      </c>
      <c r="S50">
        <v>1</v>
      </c>
      <c r="T50" s="8" t="s">
        <v>1902</v>
      </c>
      <c r="U50" s="8" t="s">
        <v>1901</v>
      </c>
      <c r="V50" s="10">
        <v>0</v>
      </c>
      <c r="W50" s="11" t="str">
        <f t="shared" si="0"/>
        <v>(1743,null,1,'2026-03-24 00:00:00','003205000100000-320500010','003205000100000-320500010','冠脉血管内窥镜检查术',null,null,0,0,0,null,2900,2700,2300,'次',23,1,'normal','main',0),</v>
      </c>
    </row>
    <row r="51" ht="15.75" spans="1:23">
      <c r="A51">
        <v>1744</v>
      </c>
      <c r="B51" t="s">
        <v>1898</v>
      </c>
      <c r="C51">
        <v>1</v>
      </c>
      <c r="D51" s="9" t="s">
        <v>1899</v>
      </c>
      <c r="E51" t="s">
        <v>306</v>
      </c>
      <c r="F51" t="s">
        <v>306</v>
      </c>
      <c r="G51" t="s">
        <v>307</v>
      </c>
      <c r="H51" t="s">
        <v>1898</v>
      </c>
      <c r="I51" t="s">
        <v>1898</v>
      </c>
      <c r="J51">
        <v>4030</v>
      </c>
      <c r="K51">
        <v>3835</v>
      </c>
      <c r="L51">
        <v>3250</v>
      </c>
      <c r="M51" t="s">
        <v>1898</v>
      </c>
      <c r="N51">
        <v>3770</v>
      </c>
      <c r="O51">
        <v>3510</v>
      </c>
      <c r="P51">
        <v>2990</v>
      </c>
      <c r="Q51" t="s">
        <v>54</v>
      </c>
      <c r="R51">
        <v>23</v>
      </c>
      <c r="S51">
        <v>1</v>
      </c>
      <c r="T51" s="8" t="s">
        <v>1902</v>
      </c>
      <c r="U51" s="8" t="s">
        <v>1901</v>
      </c>
      <c r="V51" s="10">
        <v>0</v>
      </c>
      <c r="W51" s="11" t="str">
        <f t="shared" si="0"/>
        <v>(1744,null,1,'2026-03-24 00:00:00','003205000010000-32050000102','003205000010000-32050000102','小儿冠状动脉造影术',null,null,4030,3835,3250,null,3770,3510,2990,'次',23,1,'normal','main',0),</v>
      </c>
    </row>
    <row r="52" ht="15.75" spans="1:23">
      <c r="A52">
        <v>1745</v>
      </c>
      <c r="B52" t="s">
        <v>1898</v>
      </c>
      <c r="C52">
        <v>1</v>
      </c>
      <c r="D52" s="9" t="s">
        <v>1899</v>
      </c>
      <c r="E52" t="s">
        <v>310</v>
      </c>
      <c r="F52" t="s">
        <v>310</v>
      </c>
      <c r="G52" t="s">
        <v>311</v>
      </c>
      <c r="H52" t="s">
        <v>1898</v>
      </c>
      <c r="I52" t="s">
        <v>1898</v>
      </c>
      <c r="J52">
        <v>1150</v>
      </c>
      <c r="K52">
        <v>1000</v>
      </c>
      <c r="L52">
        <v>850</v>
      </c>
      <c r="M52" t="s">
        <v>1898</v>
      </c>
      <c r="N52" s="6">
        <v>3420</v>
      </c>
      <c r="O52" s="6">
        <v>3185</v>
      </c>
      <c r="P52" s="6">
        <v>2715</v>
      </c>
      <c r="Q52" t="s">
        <v>54</v>
      </c>
      <c r="R52">
        <v>23</v>
      </c>
      <c r="S52">
        <v>1</v>
      </c>
      <c r="T52" s="8" t="s">
        <v>1902</v>
      </c>
      <c r="U52" s="8" t="s">
        <v>1901</v>
      </c>
      <c r="V52" s="10">
        <v>0</v>
      </c>
      <c r="W52" s="11" t="str">
        <f t="shared" si="0"/>
        <v>(1745,null,1,'2026-03-24 00:00:00','003107020210100-31070202101','003107020210100-31070202101','左心导管检查术（左室造影术）',null,null,1150,1000,850,null,3420,3185,2715,'次',23,1,'normal','main',0),</v>
      </c>
    </row>
    <row r="53" ht="15.75" spans="1:23">
      <c r="A53">
        <v>1746</v>
      </c>
      <c r="B53" t="s">
        <v>1898</v>
      </c>
      <c r="C53">
        <v>1</v>
      </c>
      <c r="D53" s="9" t="s">
        <v>1899</v>
      </c>
      <c r="E53" t="s">
        <v>313</v>
      </c>
      <c r="F53" t="s">
        <v>313</v>
      </c>
      <c r="G53" t="s">
        <v>314</v>
      </c>
      <c r="H53" t="s">
        <v>1898</v>
      </c>
      <c r="I53" t="s">
        <v>1898</v>
      </c>
      <c r="J53">
        <v>3585</v>
      </c>
      <c r="K53">
        <v>3385</v>
      </c>
      <c r="L53">
        <v>2870</v>
      </c>
      <c r="M53" t="s">
        <v>1898</v>
      </c>
      <c r="N53" s="6">
        <v>3420</v>
      </c>
      <c r="O53" s="6">
        <v>3185</v>
      </c>
      <c r="P53" s="6">
        <v>2715</v>
      </c>
      <c r="Q53" t="s">
        <v>54</v>
      </c>
      <c r="R53">
        <v>23</v>
      </c>
      <c r="S53">
        <v>1</v>
      </c>
      <c r="T53" s="8" t="s">
        <v>1902</v>
      </c>
      <c r="U53" s="8" t="s">
        <v>1901</v>
      </c>
      <c r="V53" s="10">
        <v>0</v>
      </c>
      <c r="W53" s="11" t="str">
        <f t="shared" si="0"/>
        <v>(1746,null,1,'2026-03-24 00:00:00','003205000010001-32050000101','003205000010001-32050000101','冠状动脉造影术（左心室造影）',null,null,3585,3385,2870,null,3420,3185,2715,'次',23,1,'normal','main',0),</v>
      </c>
    </row>
    <row r="54" ht="15.75" spans="1:23">
      <c r="A54">
        <v>1747</v>
      </c>
      <c r="B54" t="s">
        <v>1898</v>
      </c>
      <c r="C54">
        <v>1</v>
      </c>
      <c r="D54" s="9" t="s">
        <v>1899</v>
      </c>
      <c r="E54" t="s">
        <v>315</v>
      </c>
      <c r="F54" t="s">
        <v>315</v>
      </c>
      <c r="G54" t="s">
        <v>316</v>
      </c>
      <c r="H54" t="s">
        <v>1898</v>
      </c>
      <c r="I54" t="s">
        <v>1898</v>
      </c>
      <c r="J54">
        <v>4515</v>
      </c>
      <c r="K54">
        <v>4270</v>
      </c>
      <c r="L54">
        <v>3620</v>
      </c>
      <c r="M54" t="s">
        <v>1898</v>
      </c>
      <c r="N54" s="6">
        <v>3420</v>
      </c>
      <c r="O54" s="6">
        <v>3185</v>
      </c>
      <c r="P54" s="6">
        <v>2715</v>
      </c>
      <c r="Q54" t="s">
        <v>54</v>
      </c>
      <c r="R54">
        <v>23</v>
      </c>
      <c r="S54">
        <v>1</v>
      </c>
      <c r="T54" s="8" t="s">
        <v>1902</v>
      </c>
      <c r="U54" s="8" t="s">
        <v>1901</v>
      </c>
      <c r="V54" s="10">
        <v>0</v>
      </c>
      <c r="W54" s="11" t="str">
        <f t="shared" si="0"/>
        <v>(1747,null,1,'2026-03-24 00:00:00','003205000010001-32050000103','003205000010001-32050000103','小儿冠状动脉造影术（左心室造影）',null,null,4515,4270,3620,null,3420,3185,2715,'次',23,1,'normal','main',0),</v>
      </c>
    </row>
    <row r="55" ht="15.75" spans="1:23">
      <c r="A55">
        <v>1748</v>
      </c>
      <c r="B55" t="s">
        <v>1898</v>
      </c>
      <c r="C55">
        <v>1</v>
      </c>
      <c r="D55" s="9" t="s">
        <v>1899</v>
      </c>
      <c r="E55" t="s">
        <v>323</v>
      </c>
      <c r="F55" t="s">
        <v>323</v>
      </c>
      <c r="G55" t="s">
        <v>324</v>
      </c>
      <c r="H55" t="s">
        <v>1898</v>
      </c>
      <c r="I55" t="s">
        <v>1898</v>
      </c>
      <c r="J55">
        <v>4050</v>
      </c>
      <c r="K55">
        <v>3650</v>
      </c>
      <c r="L55">
        <v>3100</v>
      </c>
      <c r="M55" t="s">
        <v>1898</v>
      </c>
      <c r="N55" s="6">
        <v>4055</v>
      </c>
      <c r="O55" s="6">
        <v>3735</v>
      </c>
      <c r="P55" s="6">
        <v>3180</v>
      </c>
      <c r="Q55" t="s">
        <v>54</v>
      </c>
      <c r="R55">
        <v>23</v>
      </c>
      <c r="S55">
        <v>1</v>
      </c>
      <c r="T55" s="8" t="s">
        <v>1902</v>
      </c>
      <c r="U55" s="8" t="s">
        <v>1901</v>
      </c>
      <c r="V55" s="10">
        <v>0</v>
      </c>
      <c r="W55" s="11" t="str">
        <f t="shared" si="0"/>
        <v>(1748,null,1,'2026-03-24 00:00:00','003205000070000-320500007','003205000070000-320500007','冠脉血管内超声检查术（IVUS）',null,null,4050,3650,3100,null,4055,3735,3180,'次',23,1,'normal','main',0),</v>
      </c>
    </row>
    <row r="56" ht="15.75" spans="1:23">
      <c r="A56">
        <v>1749</v>
      </c>
      <c r="B56" t="s">
        <v>1898</v>
      </c>
      <c r="C56">
        <v>1</v>
      </c>
      <c r="D56" s="9" t="s">
        <v>1899</v>
      </c>
      <c r="E56" t="s">
        <v>327</v>
      </c>
      <c r="F56" t="s">
        <v>327</v>
      </c>
      <c r="G56" t="s">
        <v>328</v>
      </c>
      <c r="H56" t="s">
        <v>1898</v>
      </c>
      <c r="I56" t="s">
        <v>1898</v>
      </c>
      <c r="J56">
        <v>4860</v>
      </c>
      <c r="K56">
        <v>4380</v>
      </c>
      <c r="L56">
        <v>3720</v>
      </c>
      <c r="M56" t="s">
        <v>1898</v>
      </c>
      <c r="N56" s="6">
        <v>4055</v>
      </c>
      <c r="O56" s="6">
        <v>3735</v>
      </c>
      <c r="P56" s="6">
        <v>3180</v>
      </c>
      <c r="Q56" t="s">
        <v>54</v>
      </c>
      <c r="R56">
        <v>23</v>
      </c>
      <c r="S56">
        <v>1</v>
      </c>
      <c r="T56" s="8" t="s">
        <v>1902</v>
      </c>
      <c r="U56" s="8" t="s">
        <v>1901</v>
      </c>
      <c r="V56" s="10">
        <v>0</v>
      </c>
      <c r="W56" s="11" t="str">
        <f t="shared" si="0"/>
        <v>(1749,null,1,'2026-03-24 00:00:00','003205000070000-32050000701','003205000070000-32050000701','冠脉血管内超声检查术（多普勒血流测量术）',null,null,4860,4380,3720,null,4055,3735,3180,'次',23,1,'normal','main',0),</v>
      </c>
    </row>
    <row r="57" ht="15.75" spans="1:23">
      <c r="A57">
        <v>1750</v>
      </c>
      <c r="B57" t="s">
        <v>1898</v>
      </c>
      <c r="C57">
        <v>1</v>
      </c>
      <c r="D57" s="9" t="s">
        <v>1899</v>
      </c>
      <c r="E57" t="s">
        <v>330</v>
      </c>
      <c r="F57" t="s">
        <v>330</v>
      </c>
      <c r="G57" t="s">
        <v>331</v>
      </c>
      <c r="H57" t="s">
        <v>1898</v>
      </c>
      <c r="I57" t="s">
        <v>1898</v>
      </c>
      <c r="J57">
        <v>5265</v>
      </c>
      <c r="K57">
        <v>4745</v>
      </c>
      <c r="L57">
        <v>4030</v>
      </c>
      <c r="M57" t="s">
        <v>1898</v>
      </c>
      <c r="N57" s="6">
        <v>4055</v>
      </c>
      <c r="O57" s="6">
        <v>3735</v>
      </c>
      <c r="P57" s="6">
        <v>3180</v>
      </c>
      <c r="Q57" t="s">
        <v>54</v>
      </c>
      <c r="R57">
        <v>23</v>
      </c>
      <c r="S57">
        <v>1</v>
      </c>
      <c r="T57" s="8" t="s">
        <v>1902</v>
      </c>
      <c r="U57" s="8" t="s">
        <v>1901</v>
      </c>
      <c r="V57" s="10">
        <v>0</v>
      </c>
      <c r="W57" s="11" t="str">
        <f t="shared" si="0"/>
        <v>(1750,null,1,'2026-03-24 00:00:00','003205000070000-32050000702','003205000070000-32050000702','小儿冠脉血管内超声检查术（IVUS）',null,null,5265,4745,4030,null,4055,3735,3180,'次',23,1,'normal','main',0),</v>
      </c>
    </row>
    <row r="58" ht="15.75" spans="1:23">
      <c r="A58">
        <v>1751</v>
      </c>
      <c r="B58" t="s">
        <v>1898</v>
      </c>
      <c r="C58">
        <v>1</v>
      </c>
      <c r="D58" s="9" t="s">
        <v>1899</v>
      </c>
      <c r="E58" t="s">
        <v>332</v>
      </c>
      <c r="F58" t="s">
        <v>332</v>
      </c>
      <c r="G58" t="s">
        <v>333</v>
      </c>
      <c r="H58" t="s">
        <v>1898</v>
      </c>
      <c r="I58" t="s">
        <v>1898</v>
      </c>
      <c r="J58">
        <v>6320</v>
      </c>
      <c r="K58">
        <v>5695</v>
      </c>
      <c r="L58">
        <v>4835</v>
      </c>
      <c r="M58" t="s">
        <v>1898</v>
      </c>
      <c r="N58" s="6">
        <v>4055</v>
      </c>
      <c r="O58" s="6">
        <v>3735</v>
      </c>
      <c r="P58" s="6">
        <v>3180</v>
      </c>
      <c r="Q58" t="s">
        <v>54</v>
      </c>
      <c r="R58">
        <v>23</v>
      </c>
      <c r="S58">
        <v>1</v>
      </c>
      <c r="T58" s="8" t="s">
        <v>1902</v>
      </c>
      <c r="U58" s="8" t="s">
        <v>1901</v>
      </c>
      <c r="V58" s="10">
        <v>0</v>
      </c>
      <c r="W58" s="11" t="str">
        <f t="shared" si="0"/>
        <v>(1751,null,1,'2026-03-24 00:00:00','003205000070000-32050000703','003205000070000-32050000703','小儿冠脉血管内超声检查术（多普勒血流测量术）',null,null,6320,5695,4835,null,4055,3735,3180,'次',23,1,'normal','main',0),</v>
      </c>
    </row>
    <row r="59" ht="15.75" spans="1:23">
      <c r="A59">
        <v>1752</v>
      </c>
      <c r="B59" t="s">
        <v>1898</v>
      </c>
      <c r="C59">
        <v>1</v>
      </c>
      <c r="D59" s="9" t="s">
        <v>1899</v>
      </c>
      <c r="E59" t="s">
        <v>334</v>
      </c>
      <c r="F59" t="s">
        <v>334</v>
      </c>
      <c r="G59" t="s">
        <v>335</v>
      </c>
      <c r="H59" t="s">
        <v>1898</v>
      </c>
      <c r="I59" t="s">
        <v>1898</v>
      </c>
      <c r="J59">
        <v>3890</v>
      </c>
      <c r="K59">
        <v>3500</v>
      </c>
      <c r="L59">
        <v>2980</v>
      </c>
      <c r="M59" t="s">
        <v>1898</v>
      </c>
      <c r="N59" s="6">
        <v>4055</v>
      </c>
      <c r="O59" s="6">
        <v>3735</v>
      </c>
      <c r="P59" s="6">
        <v>3180</v>
      </c>
      <c r="Q59" t="s">
        <v>54</v>
      </c>
      <c r="R59">
        <v>23</v>
      </c>
      <c r="S59">
        <v>1</v>
      </c>
      <c r="T59" s="8" t="s">
        <v>1902</v>
      </c>
      <c r="U59" s="8" t="s">
        <v>1901</v>
      </c>
      <c r="V59" s="10">
        <v>0</v>
      </c>
      <c r="W59" s="11" t="str">
        <f t="shared" si="0"/>
        <v>(1752,null,1,'2026-03-24 00:00:00','003205000080000-320500008','003205000080000-320500008','冠状血管内多普勒血流测量术',null,null,3890,3500,2980,null,4055,3735,3180,'次',23,1,'normal','main',0),</v>
      </c>
    </row>
    <row r="60" ht="15.75" spans="1:23">
      <c r="A60">
        <v>1753</v>
      </c>
      <c r="B60" t="s">
        <v>1898</v>
      </c>
      <c r="C60">
        <v>1</v>
      </c>
      <c r="D60" s="9" t="s">
        <v>1899</v>
      </c>
      <c r="E60" t="s">
        <v>336</v>
      </c>
      <c r="F60" t="s">
        <v>336</v>
      </c>
      <c r="G60" t="s">
        <v>337</v>
      </c>
      <c r="H60" t="s">
        <v>1898</v>
      </c>
      <c r="I60" t="s">
        <v>1898</v>
      </c>
      <c r="J60">
        <v>5055</v>
      </c>
      <c r="K60">
        <v>4550</v>
      </c>
      <c r="L60">
        <v>3870</v>
      </c>
      <c r="M60" t="s">
        <v>1898</v>
      </c>
      <c r="N60" s="6">
        <v>4055</v>
      </c>
      <c r="O60" s="6">
        <v>3735</v>
      </c>
      <c r="P60" s="6">
        <v>3180</v>
      </c>
      <c r="Q60" t="s">
        <v>54</v>
      </c>
      <c r="R60">
        <v>23</v>
      </c>
      <c r="S60">
        <v>1</v>
      </c>
      <c r="T60" s="8" t="s">
        <v>1902</v>
      </c>
      <c r="U60" s="8" t="s">
        <v>1901</v>
      </c>
      <c r="V60" s="10">
        <v>0</v>
      </c>
      <c r="W60" s="11" t="str">
        <f t="shared" si="0"/>
        <v>(1753,null,1,'2026-03-24 00:00:00','003205000080000-32050000801','003205000080000-32050000801','小儿冠状血管内多普勒血流测量术',null,null,5055,4550,3870,null,4055,3735,3180,'次',23,1,'normal','main',0),</v>
      </c>
    </row>
    <row r="61" ht="15.75" spans="1:23">
      <c r="A61">
        <v>1754</v>
      </c>
      <c r="B61" t="s">
        <v>1898</v>
      </c>
      <c r="C61">
        <v>1</v>
      </c>
      <c r="D61" s="9" t="s">
        <v>1899</v>
      </c>
      <c r="E61" t="s">
        <v>343</v>
      </c>
      <c r="F61" t="s">
        <v>343</v>
      </c>
      <c r="G61" t="s">
        <v>344</v>
      </c>
      <c r="H61" t="s">
        <v>1898</v>
      </c>
      <c r="I61" t="s">
        <v>1898</v>
      </c>
      <c r="J61">
        <v>900</v>
      </c>
      <c r="K61">
        <v>810</v>
      </c>
      <c r="L61">
        <v>690</v>
      </c>
      <c r="M61" t="s">
        <v>1898</v>
      </c>
      <c r="N61" s="6">
        <v>900</v>
      </c>
      <c r="O61" s="6">
        <v>810</v>
      </c>
      <c r="P61" s="6">
        <v>690</v>
      </c>
      <c r="Q61" t="s">
        <v>54</v>
      </c>
      <c r="R61">
        <v>23</v>
      </c>
      <c r="S61">
        <v>1</v>
      </c>
      <c r="T61" s="8" t="s">
        <v>1902</v>
      </c>
      <c r="U61" s="8" t="s">
        <v>1901</v>
      </c>
      <c r="V61" s="10">
        <v>0</v>
      </c>
      <c r="W61" s="11" t="str">
        <f t="shared" si="0"/>
        <v>(1754,null,1,'2026-03-24 00:00:00','003205000010000-32050000104','003205000010000-32050000104','冠状动脉血流储备分数检查',null,null,900,810,690,null,900,810,690,'次',23,1,'normal','main',0),</v>
      </c>
    </row>
    <row r="62" ht="15.75" spans="1:23">
      <c r="A62">
        <v>1755</v>
      </c>
      <c r="B62" t="s">
        <v>1898</v>
      </c>
      <c r="C62">
        <v>1</v>
      </c>
      <c r="D62" s="9" t="s">
        <v>1899</v>
      </c>
      <c r="E62" t="s">
        <v>346</v>
      </c>
      <c r="F62" t="s">
        <v>346</v>
      </c>
      <c r="G62" t="s">
        <v>347</v>
      </c>
      <c r="H62" t="s">
        <v>1898</v>
      </c>
      <c r="I62" t="s">
        <v>1898</v>
      </c>
      <c r="J62">
        <v>1170</v>
      </c>
      <c r="K62">
        <v>1055</v>
      </c>
      <c r="L62">
        <v>895</v>
      </c>
      <c r="M62" t="s">
        <v>1898</v>
      </c>
      <c r="N62" s="6">
        <v>900</v>
      </c>
      <c r="O62" s="6">
        <v>810</v>
      </c>
      <c r="P62" s="6">
        <v>690</v>
      </c>
      <c r="Q62" t="s">
        <v>54</v>
      </c>
      <c r="R62">
        <v>23</v>
      </c>
      <c r="S62">
        <v>1</v>
      </c>
      <c r="T62" s="8" t="s">
        <v>1902</v>
      </c>
      <c r="U62" s="8" t="s">
        <v>1901</v>
      </c>
      <c r="V62" s="10">
        <v>0</v>
      </c>
      <c r="W62" s="11" t="str">
        <f t="shared" si="0"/>
        <v>(1755,null,1,'2026-03-24 00:00:00','003205000010000-32050000105','003205000010000-32050000105','小儿冠状动脉血流储备分数检查',null,null,1170,1055,895,null,900,810,690,'次',23,1,'normal','main',0),</v>
      </c>
    </row>
    <row r="63" ht="15.75" spans="1:23">
      <c r="A63">
        <v>1756</v>
      </c>
      <c r="B63" t="s">
        <v>1898</v>
      </c>
      <c r="C63">
        <v>1</v>
      </c>
      <c r="D63" s="9" t="s">
        <v>1899</v>
      </c>
      <c r="E63" t="s">
        <v>357</v>
      </c>
      <c r="F63" t="s">
        <v>357</v>
      </c>
      <c r="G63" t="s">
        <v>358</v>
      </c>
      <c r="H63" t="s">
        <v>1898</v>
      </c>
      <c r="I63" t="s">
        <v>1898</v>
      </c>
      <c r="J63">
        <v>4300</v>
      </c>
      <c r="K63">
        <v>4100</v>
      </c>
      <c r="L63">
        <v>3700</v>
      </c>
      <c r="M63" t="s">
        <v>1898</v>
      </c>
      <c r="N63" s="6">
        <v>4380</v>
      </c>
      <c r="O63" s="6">
        <v>4050</v>
      </c>
      <c r="P63" s="6">
        <v>3450</v>
      </c>
      <c r="Q63" t="s">
        <v>54</v>
      </c>
      <c r="R63">
        <v>23</v>
      </c>
      <c r="S63">
        <v>1</v>
      </c>
      <c r="T63" s="8" t="s">
        <v>1902</v>
      </c>
      <c r="U63" s="8" t="s">
        <v>1901</v>
      </c>
      <c r="V63" s="10">
        <v>0</v>
      </c>
      <c r="W63" s="11" t="str">
        <f t="shared" si="0"/>
        <v>(1756,null,1,'2026-03-24 00:00:00','003205000030000-320500003','003205000030000-320500003','经皮冠状动脉内支架置入术（STENT）',null,null,4300,4100,3700,null,4380,4050,3450,'次',23,1,'normal','main',0),</v>
      </c>
    </row>
    <row r="64" ht="15.75" spans="1:23">
      <c r="A64">
        <v>1757</v>
      </c>
      <c r="B64" t="s">
        <v>1898</v>
      </c>
      <c r="C64">
        <v>1</v>
      </c>
      <c r="D64" s="9" t="s">
        <v>1899</v>
      </c>
      <c r="E64" t="s">
        <v>361</v>
      </c>
      <c r="F64" t="s">
        <v>361</v>
      </c>
      <c r="G64" t="s">
        <v>362</v>
      </c>
      <c r="H64" t="s">
        <v>1898</v>
      </c>
      <c r="I64" t="s">
        <v>1898</v>
      </c>
      <c r="J64">
        <v>645</v>
      </c>
      <c r="K64">
        <v>615</v>
      </c>
      <c r="L64">
        <v>555</v>
      </c>
      <c r="M64" t="s">
        <v>1898</v>
      </c>
      <c r="N64" s="6">
        <v>0</v>
      </c>
      <c r="O64" s="6">
        <v>0</v>
      </c>
      <c r="P64" s="6">
        <v>0</v>
      </c>
      <c r="Q64" t="s">
        <v>54</v>
      </c>
      <c r="R64">
        <v>23</v>
      </c>
      <c r="S64">
        <v>1</v>
      </c>
      <c r="T64" s="8" t="s">
        <v>1902</v>
      </c>
      <c r="U64" s="8" t="s">
        <v>1901</v>
      </c>
      <c r="V64" s="10">
        <v>0</v>
      </c>
      <c r="W64" s="11" t="str">
        <f t="shared" si="0"/>
        <v>(1757,null,1,'2026-03-24 00:00:00','003205000030001-32050000301','003205000030001-32050000301','经皮冠状动脉内支架置入术（扩张多支血管加收）',null,null,645,615,555,null,0,0,0,'次',23,1,'normal','main',0),</v>
      </c>
    </row>
    <row r="65" ht="15.75" spans="1:23">
      <c r="A65">
        <v>1758</v>
      </c>
      <c r="B65" t="s">
        <v>1898</v>
      </c>
      <c r="C65">
        <v>1</v>
      </c>
      <c r="D65" s="9" t="s">
        <v>1899</v>
      </c>
      <c r="E65" t="s">
        <v>364</v>
      </c>
      <c r="F65" t="s">
        <v>364</v>
      </c>
      <c r="G65" t="s">
        <v>365</v>
      </c>
      <c r="H65" t="s">
        <v>1898</v>
      </c>
      <c r="I65" t="s">
        <v>1898</v>
      </c>
      <c r="J65">
        <v>345</v>
      </c>
      <c r="K65">
        <v>330</v>
      </c>
      <c r="L65">
        <v>295</v>
      </c>
      <c r="M65" t="s">
        <v>1898</v>
      </c>
      <c r="N65" s="6">
        <v>0</v>
      </c>
      <c r="O65" s="6">
        <v>0</v>
      </c>
      <c r="P65" s="6">
        <v>0</v>
      </c>
      <c r="Q65" t="s">
        <v>54</v>
      </c>
      <c r="R65">
        <v>23</v>
      </c>
      <c r="S65">
        <v>1</v>
      </c>
      <c r="T65" s="8" t="s">
        <v>1902</v>
      </c>
      <c r="U65" s="8" t="s">
        <v>1901</v>
      </c>
      <c r="V65" s="10">
        <v>0</v>
      </c>
      <c r="W65" s="11" t="str">
        <f t="shared" si="0"/>
        <v>(1758,null,1,'2026-03-24 00:00:00','003205000030000-32050000302','003205000030000-32050000302','经皮冠状动脉内支架置入术（血管内压力钢丝检查加收）',null,null,345,330,295,null,0,0,0,'次',23,1,'normal','main',0),</v>
      </c>
    </row>
    <row r="66" ht="15.75" spans="1:23">
      <c r="A66">
        <v>1759</v>
      </c>
      <c r="B66" t="s">
        <v>1898</v>
      </c>
      <c r="C66">
        <v>1</v>
      </c>
      <c r="D66" s="9" t="s">
        <v>1899</v>
      </c>
      <c r="E66" t="s">
        <v>367</v>
      </c>
      <c r="F66" t="s">
        <v>367</v>
      </c>
      <c r="G66" t="s">
        <v>368</v>
      </c>
      <c r="H66" t="s">
        <v>1898</v>
      </c>
      <c r="I66" t="s">
        <v>1898</v>
      </c>
      <c r="J66">
        <v>515</v>
      </c>
      <c r="K66">
        <v>490</v>
      </c>
      <c r="L66">
        <v>445</v>
      </c>
      <c r="M66" t="s">
        <v>1898</v>
      </c>
      <c r="N66" s="6">
        <v>0</v>
      </c>
      <c r="O66" s="6">
        <v>0</v>
      </c>
      <c r="P66" s="6">
        <v>0</v>
      </c>
      <c r="Q66" t="s">
        <v>54</v>
      </c>
      <c r="R66">
        <v>23</v>
      </c>
      <c r="S66">
        <v>1</v>
      </c>
      <c r="T66" s="8" t="s">
        <v>1902</v>
      </c>
      <c r="U66" s="8" t="s">
        <v>1901</v>
      </c>
      <c r="V66" s="10">
        <v>0</v>
      </c>
      <c r="W66" s="11" t="str">
        <f t="shared" si="0"/>
        <v>(1759,null,1,'2026-03-24 00:00:00','003205000030000-32050000303','003205000030000-32050000303','经皮冠状动脉内支架置入术（STENT）（使用远端保护装置加收）',null,null,515,490,445,null,0,0,0,'次',23,1,'normal','main',0),</v>
      </c>
    </row>
    <row r="67" ht="15.75" spans="1:23">
      <c r="A67">
        <v>1760</v>
      </c>
      <c r="B67" t="s">
        <v>1898</v>
      </c>
      <c r="C67">
        <v>1</v>
      </c>
      <c r="D67" s="9" t="s">
        <v>1899</v>
      </c>
      <c r="E67" t="s">
        <v>370</v>
      </c>
      <c r="F67" t="s">
        <v>370</v>
      </c>
      <c r="G67" t="s">
        <v>371</v>
      </c>
      <c r="H67" t="s">
        <v>1898</v>
      </c>
      <c r="I67" t="s">
        <v>1898</v>
      </c>
      <c r="J67">
        <v>5130</v>
      </c>
      <c r="K67">
        <v>4620</v>
      </c>
      <c r="L67">
        <v>3695</v>
      </c>
      <c r="M67" t="s">
        <v>1898</v>
      </c>
      <c r="N67" s="6">
        <v>4380</v>
      </c>
      <c r="O67" s="6">
        <v>4050</v>
      </c>
      <c r="P67" s="6">
        <v>3450</v>
      </c>
      <c r="Q67" t="s">
        <v>54</v>
      </c>
      <c r="R67">
        <v>23</v>
      </c>
      <c r="S67">
        <v>1</v>
      </c>
      <c r="T67" s="8" t="s">
        <v>1902</v>
      </c>
      <c r="U67" s="8" t="s">
        <v>1901</v>
      </c>
      <c r="V67" s="10">
        <v>0</v>
      </c>
      <c r="W67" s="11" t="str">
        <f t="shared" ref="W67:W130" si="1">"("&amp;A67&amp;","&amp;B67&amp;","&amp;C67&amp;",'"&amp;D67&amp;"','"&amp;E67&amp;"','"&amp;F67&amp;"','"&amp;G67&amp;"',"&amp;H67&amp;","&amp;I67&amp;","&amp;J67&amp;","&amp;K67&amp;","&amp;L67&amp;","&amp;M67&amp;","&amp;N67&amp;","&amp;O67&amp;","&amp;P67&amp;",'"&amp;Q67&amp;"',"&amp;R67&amp;","&amp;S67&amp;",'"&amp;T67&amp;"','"&amp;U67&amp;"',"&amp;V67&amp;"),"</f>
        <v>(1760,null,1,'2026-03-24 00:00:00','003205000150000-320500015','003205000150000-320500015','冠脉内局部药物释放治疗术',null,null,5130,4620,3695,null,4380,4050,3450,'次',23,1,'normal','main',0),</v>
      </c>
    </row>
    <row r="68" ht="15.75" spans="1:23">
      <c r="A68">
        <v>1761</v>
      </c>
      <c r="B68" t="s">
        <v>1898</v>
      </c>
      <c r="C68">
        <v>1</v>
      </c>
      <c r="D68" s="9" t="s">
        <v>1899</v>
      </c>
      <c r="E68" t="s">
        <v>375</v>
      </c>
      <c r="F68" t="s">
        <v>375</v>
      </c>
      <c r="G68" t="s">
        <v>376</v>
      </c>
      <c r="H68" t="s">
        <v>1898</v>
      </c>
      <c r="I68" t="s">
        <v>1898</v>
      </c>
      <c r="J68">
        <v>5590</v>
      </c>
      <c r="K68">
        <v>5330</v>
      </c>
      <c r="L68">
        <v>4810</v>
      </c>
      <c r="M68" t="s">
        <v>1898</v>
      </c>
      <c r="N68" s="6">
        <v>5695</v>
      </c>
      <c r="O68" s="6">
        <v>5265</v>
      </c>
      <c r="P68" s="6">
        <v>4515</v>
      </c>
      <c r="Q68" t="s">
        <v>54</v>
      </c>
      <c r="R68">
        <v>23</v>
      </c>
      <c r="S68">
        <v>1</v>
      </c>
      <c r="T68" s="8" t="s">
        <v>1902</v>
      </c>
      <c r="U68" s="8" t="s">
        <v>1901</v>
      </c>
      <c r="V68" s="10">
        <v>0</v>
      </c>
      <c r="W68" s="11" t="str">
        <f t="shared" si="1"/>
        <v>(1761,null,1,'2026-03-24 00:00:00','003205000030000-32050000304','003205000030000-32050000304','小儿经皮冠状动脉内支架置入术（STENT）',null,null,5590,5330,4810,null,5695,5265,4515,'次',23,1,'normal','main',0),</v>
      </c>
    </row>
    <row r="69" ht="15.75" spans="1:23">
      <c r="A69">
        <v>1762</v>
      </c>
      <c r="B69" t="s">
        <v>1898</v>
      </c>
      <c r="C69">
        <v>1</v>
      </c>
      <c r="D69" s="9" t="s">
        <v>1899</v>
      </c>
      <c r="E69" t="s">
        <v>377</v>
      </c>
      <c r="F69" t="s">
        <v>377</v>
      </c>
      <c r="G69" t="s">
        <v>378</v>
      </c>
      <c r="H69" t="s">
        <v>1898</v>
      </c>
      <c r="I69" t="s">
        <v>1898</v>
      </c>
      <c r="J69">
        <v>835</v>
      </c>
      <c r="K69">
        <v>795</v>
      </c>
      <c r="L69">
        <v>720</v>
      </c>
      <c r="M69" t="s">
        <v>1898</v>
      </c>
      <c r="N69" s="6">
        <v>5695</v>
      </c>
      <c r="O69" s="6">
        <v>5265</v>
      </c>
      <c r="P69" s="6">
        <v>4515</v>
      </c>
      <c r="Q69" t="s">
        <v>54</v>
      </c>
      <c r="R69">
        <v>23</v>
      </c>
      <c r="S69">
        <v>1</v>
      </c>
      <c r="T69" s="8" t="s">
        <v>1902</v>
      </c>
      <c r="U69" s="8" t="s">
        <v>1901</v>
      </c>
      <c r="V69" s="10">
        <v>0</v>
      </c>
      <c r="W69" s="11" t="str">
        <f t="shared" si="1"/>
        <v>(1762,null,1,'2026-03-24 00:00:00','003205000030001-32050000305','003205000030001-32050000305','小儿经皮冠状动脉内支架置入术（STENT）（扩张多支血管加收）',null,null,835,795,720,null,5695,5265,4515,'次',23,1,'normal','main',0),</v>
      </c>
    </row>
    <row r="70" ht="15.75" spans="1:23">
      <c r="A70">
        <v>1763</v>
      </c>
      <c r="B70" t="s">
        <v>1898</v>
      </c>
      <c r="C70">
        <v>1</v>
      </c>
      <c r="D70" s="9" t="s">
        <v>1899</v>
      </c>
      <c r="E70" t="s">
        <v>379</v>
      </c>
      <c r="F70" t="s">
        <v>379</v>
      </c>
      <c r="G70" t="s">
        <v>380</v>
      </c>
      <c r="H70" t="s">
        <v>1898</v>
      </c>
      <c r="I70" t="s">
        <v>1898</v>
      </c>
      <c r="J70">
        <v>6670</v>
      </c>
      <c r="K70">
        <v>6005</v>
      </c>
      <c r="L70">
        <v>4805</v>
      </c>
      <c r="M70" t="s">
        <v>1898</v>
      </c>
      <c r="N70" s="6">
        <v>5695</v>
      </c>
      <c r="O70" s="6">
        <v>5265</v>
      </c>
      <c r="P70" s="6">
        <v>4515</v>
      </c>
      <c r="Q70" t="s">
        <v>54</v>
      </c>
      <c r="R70">
        <v>23</v>
      </c>
      <c r="S70">
        <v>1</v>
      </c>
      <c r="T70" s="8" t="s">
        <v>1902</v>
      </c>
      <c r="U70" s="8" t="s">
        <v>1901</v>
      </c>
      <c r="V70" s="10">
        <v>0</v>
      </c>
      <c r="W70" s="11" t="str">
        <f t="shared" si="1"/>
        <v>(1763,null,1,'2026-03-24 00:00:00','003205000150000-32050001501','003205000150000-32050001501','小儿冠脉内局部药物释放治疗术',null,null,6670,6005,4805,null,5695,5265,4515,'次',23,1,'normal','main',0),</v>
      </c>
    </row>
    <row r="71" ht="15.75" spans="1:23">
      <c r="A71">
        <v>1764</v>
      </c>
      <c r="B71" t="s">
        <v>1898</v>
      </c>
      <c r="C71">
        <v>1</v>
      </c>
      <c r="D71" s="9" t="s">
        <v>1899</v>
      </c>
      <c r="E71" t="s">
        <v>386</v>
      </c>
      <c r="F71" t="s">
        <v>386</v>
      </c>
      <c r="G71" t="s">
        <v>387</v>
      </c>
      <c r="H71" t="s">
        <v>1898</v>
      </c>
      <c r="I71" t="s">
        <v>1898</v>
      </c>
      <c r="J71">
        <v>3250</v>
      </c>
      <c r="K71">
        <v>2950</v>
      </c>
      <c r="L71">
        <v>2500</v>
      </c>
      <c r="M71" t="s">
        <v>1898</v>
      </c>
      <c r="N71" s="6">
        <v>3285</v>
      </c>
      <c r="O71" s="6">
        <v>2975</v>
      </c>
      <c r="P71" s="6">
        <v>2530</v>
      </c>
      <c r="Q71" t="s">
        <v>54</v>
      </c>
      <c r="R71">
        <v>23</v>
      </c>
      <c r="S71">
        <v>1</v>
      </c>
      <c r="T71" s="8" t="s">
        <v>1902</v>
      </c>
      <c r="U71" s="8" t="s">
        <v>1901</v>
      </c>
      <c r="V71" s="10">
        <v>0</v>
      </c>
      <c r="W71" s="11" t="str">
        <f t="shared" si="1"/>
        <v>(1764,null,1,'2026-03-24 00:00:00','003205000020000-320500002','003205000020000-320500002','经皮冠状动脉腔内成形术（PTCA）',null,null,3250,2950,2500,null,3285,2975,2530,'次',23,1,'normal','main',0),</v>
      </c>
    </row>
    <row r="72" ht="15.75" spans="1:23">
      <c r="A72">
        <v>1765</v>
      </c>
      <c r="B72" t="s">
        <v>1898</v>
      </c>
      <c r="C72">
        <v>1</v>
      </c>
      <c r="D72" s="9" t="s">
        <v>1899</v>
      </c>
      <c r="E72" t="s">
        <v>390</v>
      </c>
      <c r="F72" t="s">
        <v>390</v>
      </c>
      <c r="G72" t="s">
        <v>391</v>
      </c>
      <c r="H72" t="s">
        <v>1898</v>
      </c>
      <c r="I72" t="s">
        <v>1898</v>
      </c>
      <c r="J72">
        <v>650</v>
      </c>
      <c r="K72">
        <v>590</v>
      </c>
      <c r="L72">
        <v>500</v>
      </c>
      <c r="M72" t="s">
        <v>1898</v>
      </c>
      <c r="N72" s="6">
        <v>0</v>
      </c>
      <c r="O72" s="6">
        <v>0</v>
      </c>
      <c r="P72" s="6">
        <v>0</v>
      </c>
      <c r="Q72" t="s">
        <v>54</v>
      </c>
      <c r="R72">
        <v>23</v>
      </c>
      <c r="S72">
        <v>1</v>
      </c>
      <c r="T72" s="8" t="s">
        <v>1902</v>
      </c>
      <c r="U72" s="8" t="s">
        <v>1901</v>
      </c>
      <c r="V72" s="10">
        <v>0</v>
      </c>
      <c r="W72" s="11" t="str">
        <f t="shared" si="1"/>
        <v>(1765,null,1,'2026-03-24 00:00:00','003205000020001-32050000201','003205000020001-32050000201','使用经皮冠状动脉腔内成形术（扩张多支血管加收）',null,null,650,590,500,null,0,0,0,'次',23,1,'normal','main',0),</v>
      </c>
    </row>
    <row r="73" ht="15.75" spans="1:23">
      <c r="A73">
        <v>1766</v>
      </c>
      <c r="B73" t="s">
        <v>1898</v>
      </c>
      <c r="C73">
        <v>1</v>
      </c>
      <c r="D73" s="9" t="s">
        <v>1899</v>
      </c>
      <c r="E73" t="s">
        <v>394</v>
      </c>
      <c r="F73" t="s">
        <v>394</v>
      </c>
      <c r="G73" t="s">
        <v>395</v>
      </c>
      <c r="H73" t="s">
        <v>1898</v>
      </c>
      <c r="I73" t="s">
        <v>1898</v>
      </c>
      <c r="J73">
        <v>4210</v>
      </c>
      <c r="K73">
        <v>3795</v>
      </c>
      <c r="L73">
        <v>3225</v>
      </c>
      <c r="M73" t="s">
        <v>1898</v>
      </c>
      <c r="N73" s="6">
        <v>4270</v>
      </c>
      <c r="O73" s="6">
        <v>3870</v>
      </c>
      <c r="P73" s="6">
        <v>3290</v>
      </c>
      <c r="Q73" t="s">
        <v>54</v>
      </c>
      <c r="R73">
        <v>23</v>
      </c>
      <c r="S73">
        <v>1</v>
      </c>
      <c r="T73" s="8" t="s">
        <v>1902</v>
      </c>
      <c r="U73" s="8" t="s">
        <v>1901</v>
      </c>
      <c r="V73" s="10">
        <v>0</v>
      </c>
      <c r="W73" s="11" t="str">
        <f t="shared" si="1"/>
        <v>(1766,null,1,'2026-03-24 00:00:00','003205000020000-32050000202','003205000020000-32050000202','小儿经皮冠状动脉腔内成形术（PTCA）',null,null,4210,3795,3225,null,4270,3870,3290,'次',23,1,'normal','main',0),</v>
      </c>
    </row>
    <row r="74" ht="15.75" spans="1:23">
      <c r="A74">
        <v>1767</v>
      </c>
      <c r="B74" t="s">
        <v>1898</v>
      </c>
      <c r="C74">
        <v>1</v>
      </c>
      <c r="D74" s="9" t="s">
        <v>1899</v>
      </c>
      <c r="E74" t="s">
        <v>396</v>
      </c>
      <c r="F74" t="s">
        <v>396</v>
      </c>
      <c r="G74" t="s">
        <v>397</v>
      </c>
      <c r="H74" t="s">
        <v>1898</v>
      </c>
      <c r="I74" t="s">
        <v>1898</v>
      </c>
      <c r="J74">
        <v>845</v>
      </c>
      <c r="K74">
        <v>767</v>
      </c>
      <c r="L74">
        <v>650</v>
      </c>
      <c r="M74" t="s">
        <v>1898</v>
      </c>
      <c r="N74" s="6">
        <v>0</v>
      </c>
      <c r="O74" s="6">
        <v>0</v>
      </c>
      <c r="P74" s="6">
        <v>0</v>
      </c>
      <c r="Q74" t="s">
        <v>54</v>
      </c>
      <c r="R74">
        <v>23</v>
      </c>
      <c r="S74">
        <v>1</v>
      </c>
      <c r="T74" s="8" t="s">
        <v>1902</v>
      </c>
      <c r="U74" s="8" t="s">
        <v>1901</v>
      </c>
      <c r="V74" s="10">
        <v>0</v>
      </c>
      <c r="W74" s="11" t="str">
        <f t="shared" si="1"/>
        <v>(1767,null,1,'2026-03-24 00:00:00','003205000020001-32050000203','003205000020001-32050000203','小儿使用经皮冠状动脉腔内成形术（扩张多支血管加收）',null,null,845,767,650,null,0,0,0,'次',23,1,'normal','main',0),</v>
      </c>
    </row>
    <row r="75" ht="15.75" spans="1:23">
      <c r="A75">
        <v>1768</v>
      </c>
      <c r="B75" t="s">
        <v>1898</v>
      </c>
      <c r="C75">
        <v>1</v>
      </c>
      <c r="D75" s="9" t="s">
        <v>1899</v>
      </c>
      <c r="E75" t="s">
        <v>412</v>
      </c>
      <c r="F75" t="s">
        <v>412</v>
      </c>
      <c r="G75" t="s">
        <v>413</v>
      </c>
      <c r="H75" t="s">
        <v>1898</v>
      </c>
      <c r="I75" t="s">
        <v>1898</v>
      </c>
      <c r="J75">
        <v>0</v>
      </c>
      <c r="K75">
        <v>0</v>
      </c>
      <c r="L75">
        <v>0</v>
      </c>
      <c r="M75" t="s">
        <v>1898</v>
      </c>
      <c r="N75" s="6">
        <v>4370</v>
      </c>
      <c r="O75" s="6">
        <v>4050</v>
      </c>
      <c r="P75" s="6">
        <v>3450</v>
      </c>
      <c r="Q75" t="s">
        <v>54</v>
      </c>
      <c r="R75">
        <v>23</v>
      </c>
      <c r="S75">
        <v>1</v>
      </c>
      <c r="T75" s="8" t="s">
        <v>1902</v>
      </c>
      <c r="U75" s="8" t="s">
        <v>1901</v>
      </c>
      <c r="V75" s="10">
        <v>0</v>
      </c>
      <c r="W75" s="11" t="str">
        <f t="shared" si="1"/>
        <v>(1768,null,1,'2026-03-24 00:00:00','003205000040000-320500004','003205000040000-320500004','经皮冠状动脉腔内激光成形术（ELCA）',null,null,0,0,0,null,4370,4050,3450,'次',23,1,'normal','main',0),</v>
      </c>
    </row>
    <row r="76" ht="15.75" spans="1:23">
      <c r="A76">
        <v>1769</v>
      </c>
      <c r="B76" t="s">
        <v>1898</v>
      </c>
      <c r="C76">
        <v>1</v>
      </c>
      <c r="D76" s="9" t="s">
        <v>1899</v>
      </c>
      <c r="E76" t="s">
        <v>416</v>
      </c>
      <c r="F76" t="s">
        <v>416</v>
      </c>
      <c r="G76" t="s">
        <v>417</v>
      </c>
      <c r="H76" t="s">
        <v>1898</v>
      </c>
      <c r="I76" t="s">
        <v>1898</v>
      </c>
      <c r="J76">
        <v>4300</v>
      </c>
      <c r="K76">
        <v>4100</v>
      </c>
      <c r="L76">
        <v>3700</v>
      </c>
      <c r="M76" t="s">
        <v>1898</v>
      </c>
      <c r="N76" s="6">
        <v>4370</v>
      </c>
      <c r="O76" s="6">
        <v>4050</v>
      </c>
      <c r="P76" s="6">
        <v>3450</v>
      </c>
      <c r="Q76" t="s">
        <v>54</v>
      </c>
      <c r="R76">
        <v>23</v>
      </c>
      <c r="S76">
        <v>1</v>
      </c>
      <c r="T76" s="8" t="s">
        <v>1902</v>
      </c>
      <c r="U76" s="8" t="s">
        <v>1901</v>
      </c>
      <c r="V76" s="10">
        <v>0</v>
      </c>
      <c r="W76" s="11" t="str">
        <f t="shared" si="1"/>
        <v>(1769,null,1,'2026-03-24 00:00:00','003205000050000-320500005','003205000050000-320500005','高速冠状动脉内膜旋磨术',null,null,4300,4100,3700,null,4370,4050,3450,'次',23,1,'normal','main',0),</v>
      </c>
    </row>
    <row r="77" ht="15.75" spans="1:23">
      <c r="A77">
        <v>1770</v>
      </c>
      <c r="B77" t="s">
        <v>1898</v>
      </c>
      <c r="C77">
        <v>1</v>
      </c>
      <c r="D77" s="9" t="s">
        <v>1899</v>
      </c>
      <c r="E77" t="s">
        <v>420</v>
      </c>
      <c r="F77" t="s">
        <v>420</v>
      </c>
      <c r="G77" t="s">
        <v>421</v>
      </c>
      <c r="H77" t="s">
        <v>1898</v>
      </c>
      <c r="I77" t="s">
        <v>1898</v>
      </c>
      <c r="J77">
        <v>4945</v>
      </c>
      <c r="K77">
        <v>4715</v>
      </c>
      <c r="L77">
        <v>4255</v>
      </c>
      <c r="M77" t="s">
        <v>1898</v>
      </c>
      <c r="N77" s="6">
        <v>4370</v>
      </c>
      <c r="O77" s="6">
        <v>4050</v>
      </c>
      <c r="P77" s="6">
        <v>3450</v>
      </c>
      <c r="Q77" t="s">
        <v>54</v>
      </c>
      <c r="R77">
        <v>23</v>
      </c>
      <c r="S77">
        <v>1</v>
      </c>
      <c r="T77" s="8" t="s">
        <v>1902</v>
      </c>
      <c r="U77" s="8" t="s">
        <v>1901</v>
      </c>
      <c r="V77" s="10">
        <v>0</v>
      </c>
      <c r="W77" s="11" t="str">
        <f t="shared" si="1"/>
        <v>(1770,null,1,'2026-03-24 00:00:00','003205000050001-32050000501','003205000050001-32050000501','高速冠状动脉内膜旋磨术（旋磨多支血管）',null,null,4945,4715,4255,null,4370,4050,3450,'次',23,1,'normal','main',0),</v>
      </c>
    </row>
    <row r="78" ht="15.75" spans="1:23">
      <c r="A78">
        <v>1771</v>
      </c>
      <c r="B78" t="s">
        <v>1898</v>
      </c>
      <c r="C78">
        <v>1</v>
      </c>
      <c r="D78" s="9" t="s">
        <v>1899</v>
      </c>
      <c r="E78" t="s">
        <v>423</v>
      </c>
      <c r="F78" t="s">
        <v>423</v>
      </c>
      <c r="G78" t="s">
        <v>424</v>
      </c>
      <c r="H78" t="s">
        <v>1898</v>
      </c>
      <c r="I78" t="s">
        <v>1898</v>
      </c>
      <c r="J78">
        <v>3380</v>
      </c>
      <c r="K78">
        <v>3040</v>
      </c>
      <c r="L78">
        <v>2580</v>
      </c>
      <c r="M78" t="s">
        <v>1898</v>
      </c>
      <c r="N78" s="6">
        <v>4370</v>
      </c>
      <c r="O78" s="6">
        <v>4050</v>
      </c>
      <c r="P78" s="6">
        <v>3450</v>
      </c>
      <c r="Q78" t="s">
        <v>54</v>
      </c>
      <c r="R78">
        <v>23</v>
      </c>
      <c r="S78">
        <v>1</v>
      </c>
      <c r="T78" s="8" t="s">
        <v>1902</v>
      </c>
      <c r="U78" s="8" t="s">
        <v>1901</v>
      </c>
      <c r="V78" s="10">
        <v>0</v>
      </c>
      <c r="W78" s="11" t="str">
        <f t="shared" si="1"/>
        <v>(1771,null,1,'2026-03-24 00:00:00','003308020080000-330802008','003308020080000-330802008','冠状动脉内膜切除术',null,null,3380,3040,2580,null,4370,4050,3450,'次',23,1,'normal','main',0),</v>
      </c>
    </row>
    <row r="79" ht="15.75" spans="1:23">
      <c r="A79">
        <v>1772</v>
      </c>
      <c r="B79" t="s">
        <v>1898</v>
      </c>
      <c r="C79">
        <v>1</v>
      </c>
      <c r="D79" s="9" t="s">
        <v>1899</v>
      </c>
      <c r="E79" t="s">
        <v>425</v>
      </c>
      <c r="F79" t="s">
        <v>425</v>
      </c>
      <c r="G79" t="s">
        <v>426</v>
      </c>
      <c r="H79" t="s">
        <v>1898</v>
      </c>
      <c r="I79" t="s">
        <v>1898</v>
      </c>
      <c r="J79">
        <v>4860</v>
      </c>
      <c r="K79">
        <v>4370</v>
      </c>
      <c r="L79">
        <v>3710</v>
      </c>
      <c r="M79" t="s">
        <v>1898</v>
      </c>
      <c r="N79" s="6">
        <v>4370</v>
      </c>
      <c r="O79" s="6">
        <v>4050</v>
      </c>
      <c r="P79" s="6">
        <v>3450</v>
      </c>
      <c r="Q79" t="s">
        <v>54</v>
      </c>
      <c r="R79">
        <v>23</v>
      </c>
      <c r="S79">
        <v>1</v>
      </c>
      <c r="T79" s="8" t="s">
        <v>1902</v>
      </c>
      <c r="U79" s="8" t="s">
        <v>1901</v>
      </c>
      <c r="V79" s="10">
        <v>0</v>
      </c>
      <c r="W79" s="11" t="str">
        <f t="shared" si="1"/>
        <v>(1772,null,1,'2026-03-24 00:00:00','003205000060000-320500006','003205000060000-320500006','定向冠脉内膜旋切术',null,null,4860,4370,3710,null,4370,4050,3450,'次',23,1,'normal','main',0),</v>
      </c>
    </row>
    <row r="80" ht="15.75" spans="1:23">
      <c r="A80">
        <v>1773</v>
      </c>
      <c r="B80" t="s">
        <v>1898</v>
      </c>
      <c r="C80">
        <v>1</v>
      </c>
      <c r="D80" s="9" t="s">
        <v>1899</v>
      </c>
      <c r="E80" t="s">
        <v>428</v>
      </c>
      <c r="F80" t="s">
        <v>428</v>
      </c>
      <c r="G80" t="s">
        <v>429</v>
      </c>
      <c r="H80" t="s">
        <v>1898</v>
      </c>
      <c r="I80" t="s">
        <v>1898</v>
      </c>
      <c r="J80">
        <v>5465</v>
      </c>
      <c r="K80">
        <v>4915</v>
      </c>
      <c r="L80">
        <v>4175</v>
      </c>
      <c r="M80" t="s">
        <v>1898</v>
      </c>
      <c r="N80" s="6">
        <v>4370</v>
      </c>
      <c r="O80" s="6">
        <v>4050</v>
      </c>
      <c r="P80" s="6">
        <v>3450</v>
      </c>
      <c r="Q80" t="s">
        <v>54</v>
      </c>
      <c r="R80">
        <v>23</v>
      </c>
      <c r="S80">
        <v>1</v>
      </c>
      <c r="T80" s="8" t="s">
        <v>1902</v>
      </c>
      <c r="U80" s="8" t="s">
        <v>1901</v>
      </c>
      <c r="V80" s="10">
        <v>0</v>
      </c>
      <c r="W80" s="11" t="str">
        <f t="shared" si="1"/>
        <v>(1773,null,1,'2026-03-24 00:00:00','003205000060001-32050000601','003205000060001-32050000601','定向冠脉内膜旋切术（旋切多支血管）',null,null,5465,4915,4175,null,4370,4050,3450,'次',23,1,'normal','main',0),</v>
      </c>
    </row>
    <row r="81" ht="15.75" spans="1:23">
      <c r="A81">
        <v>1774</v>
      </c>
      <c r="B81" t="s">
        <v>1898</v>
      </c>
      <c r="C81">
        <v>1</v>
      </c>
      <c r="D81" s="9" t="s">
        <v>1899</v>
      </c>
      <c r="E81" t="s">
        <v>433</v>
      </c>
      <c r="F81" t="s">
        <v>433</v>
      </c>
      <c r="G81" t="s">
        <v>434</v>
      </c>
      <c r="H81" t="s">
        <v>1898</v>
      </c>
      <c r="I81" t="s">
        <v>1898</v>
      </c>
      <c r="J81">
        <v>5590</v>
      </c>
      <c r="K81">
        <v>5330</v>
      </c>
      <c r="L81">
        <v>4810</v>
      </c>
      <c r="M81" t="s">
        <v>1898</v>
      </c>
      <c r="N81" s="6">
        <v>5680</v>
      </c>
      <c r="O81" s="6">
        <v>5265</v>
      </c>
      <c r="P81" s="6">
        <v>4485</v>
      </c>
      <c r="Q81" t="s">
        <v>54</v>
      </c>
      <c r="R81">
        <v>23</v>
      </c>
      <c r="S81">
        <v>1</v>
      </c>
      <c r="T81" s="8" t="s">
        <v>1902</v>
      </c>
      <c r="U81" s="8" t="s">
        <v>1901</v>
      </c>
      <c r="V81" s="10">
        <v>0</v>
      </c>
      <c r="W81" s="11" t="str">
        <f t="shared" si="1"/>
        <v>(1774,null,1,'2026-03-24 00:00:00','003205000050000-32050000502','003205000050000-32050000502','小儿高速冠状动脉内膜旋磨术',null,null,5590,5330,4810,null,5680,5265,4485,'次',23,1,'normal','main',0),</v>
      </c>
    </row>
    <row r="82" ht="15.75" spans="1:23">
      <c r="A82">
        <v>1775</v>
      </c>
      <c r="B82" t="s">
        <v>1898</v>
      </c>
      <c r="C82">
        <v>1</v>
      </c>
      <c r="D82" s="9" t="s">
        <v>1899</v>
      </c>
      <c r="E82" t="s">
        <v>435</v>
      </c>
      <c r="F82" t="s">
        <v>435</v>
      </c>
      <c r="G82" t="s">
        <v>436</v>
      </c>
      <c r="H82" t="s">
        <v>1898</v>
      </c>
      <c r="I82" t="s">
        <v>1898</v>
      </c>
      <c r="J82">
        <v>6425</v>
      </c>
      <c r="K82">
        <v>6125</v>
      </c>
      <c r="L82">
        <v>5530</v>
      </c>
      <c r="M82" t="s">
        <v>1898</v>
      </c>
      <c r="N82" s="6">
        <v>5680</v>
      </c>
      <c r="O82" s="6">
        <v>5265</v>
      </c>
      <c r="P82" s="6">
        <v>4485</v>
      </c>
      <c r="Q82" t="s">
        <v>54</v>
      </c>
      <c r="R82">
        <v>23</v>
      </c>
      <c r="S82">
        <v>1</v>
      </c>
      <c r="T82" s="8" t="s">
        <v>1902</v>
      </c>
      <c r="U82" s="8" t="s">
        <v>1901</v>
      </c>
      <c r="V82" s="10">
        <v>0</v>
      </c>
      <c r="W82" s="11" t="str">
        <f t="shared" si="1"/>
        <v>(1775,null,1,'2026-03-24 00:00:00','003205000050001-32050000503','003205000050001-32050000503','小儿高速冠状动脉内膜旋磨术（旋磨多支血管）',null,null,6425,6125,5530,null,5680,5265,4485,'次',23,1,'normal','main',0),</v>
      </c>
    </row>
    <row r="83" ht="15.75" spans="1:23">
      <c r="A83">
        <v>1776</v>
      </c>
      <c r="B83" t="s">
        <v>1898</v>
      </c>
      <c r="C83">
        <v>1</v>
      </c>
      <c r="D83" s="9" t="s">
        <v>1899</v>
      </c>
      <c r="E83" t="s">
        <v>438</v>
      </c>
      <c r="F83" t="s">
        <v>438</v>
      </c>
      <c r="G83" t="s">
        <v>439</v>
      </c>
      <c r="H83" t="s">
        <v>1898</v>
      </c>
      <c r="I83" t="s">
        <v>1898</v>
      </c>
      <c r="J83">
        <v>6320</v>
      </c>
      <c r="K83">
        <v>5680</v>
      </c>
      <c r="L83">
        <v>4830</v>
      </c>
      <c r="M83" t="s">
        <v>1898</v>
      </c>
      <c r="N83" s="6">
        <v>5680</v>
      </c>
      <c r="O83" s="6">
        <v>5265</v>
      </c>
      <c r="P83" s="6">
        <v>4485</v>
      </c>
      <c r="Q83" t="s">
        <v>54</v>
      </c>
      <c r="R83">
        <v>23</v>
      </c>
      <c r="S83">
        <v>1</v>
      </c>
      <c r="T83" s="8" t="s">
        <v>1902</v>
      </c>
      <c r="U83" s="8" t="s">
        <v>1901</v>
      </c>
      <c r="V83" s="10">
        <v>0</v>
      </c>
      <c r="W83" s="11" t="str">
        <f t="shared" si="1"/>
        <v>(1776,null,1,'2026-03-24 00:00:00','003205000060000-32050000602','003205000060000-32050000602','小儿定向冠脉内膜旋切术',null,null,6320,5680,4830,null,5680,5265,4485,'次',23,1,'normal','main',0),</v>
      </c>
    </row>
    <row r="84" ht="15.75" spans="1:23">
      <c r="A84">
        <v>1777</v>
      </c>
      <c r="B84" t="s">
        <v>1898</v>
      </c>
      <c r="C84">
        <v>1</v>
      </c>
      <c r="D84" s="9" t="s">
        <v>1899</v>
      </c>
      <c r="E84" t="s">
        <v>440</v>
      </c>
      <c r="F84" t="s">
        <v>440</v>
      </c>
      <c r="G84" t="s">
        <v>441</v>
      </c>
      <c r="H84" t="s">
        <v>1898</v>
      </c>
      <c r="I84" t="s">
        <v>1898</v>
      </c>
      <c r="J84">
        <v>7105</v>
      </c>
      <c r="K84">
        <v>6390</v>
      </c>
      <c r="L84">
        <v>5430</v>
      </c>
      <c r="M84" t="s">
        <v>1898</v>
      </c>
      <c r="N84" s="6">
        <v>5680</v>
      </c>
      <c r="O84" s="6">
        <v>5265</v>
      </c>
      <c r="P84" s="6">
        <v>4485</v>
      </c>
      <c r="Q84" t="s">
        <v>54</v>
      </c>
      <c r="R84">
        <v>23</v>
      </c>
      <c r="S84">
        <v>1</v>
      </c>
      <c r="T84" s="8" t="s">
        <v>1902</v>
      </c>
      <c r="U84" s="8" t="s">
        <v>1901</v>
      </c>
      <c r="V84" s="10">
        <v>0</v>
      </c>
      <c r="W84" s="11" t="str">
        <f t="shared" si="1"/>
        <v>(1777,null,1,'2026-03-24 00:00:00','003205000060001-32050000603','003205000060001-32050000603','小儿定向冠脉内膜旋切术（旋切多支血管）',null,null,7105,6390,5430,null,5680,5265,4485,'次',23,1,'normal','main',0),</v>
      </c>
    </row>
    <row r="85" ht="15.75" spans="1:23">
      <c r="A85">
        <v>1778</v>
      </c>
      <c r="B85" t="s">
        <v>1898</v>
      </c>
      <c r="C85">
        <v>1</v>
      </c>
      <c r="D85" s="9" t="s">
        <v>1899</v>
      </c>
      <c r="E85" t="s">
        <v>443</v>
      </c>
      <c r="F85" t="s">
        <v>443</v>
      </c>
      <c r="G85" t="s">
        <v>444</v>
      </c>
      <c r="H85" t="s">
        <v>1898</v>
      </c>
      <c r="I85" t="s">
        <v>1898</v>
      </c>
      <c r="J85">
        <v>4395</v>
      </c>
      <c r="K85">
        <v>3950</v>
      </c>
      <c r="L85">
        <v>3360</v>
      </c>
      <c r="M85" t="s">
        <v>1898</v>
      </c>
      <c r="N85" s="6">
        <v>5680</v>
      </c>
      <c r="O85" s="6">
        <v>5265</v>
      </c>
      <c r="P85" s="6">
        <v>4485</v>
      </c>
      <c r="Q85" t="s">
        <v>54</v>
      </c>
      <c r="R85">
        <v>23</v>
      </c>
      <c r="S85">
        <v>1</v>
      </c>
      <c r="T85" s="8" t="s">
        <v>1902</v>
      </c>
      <c r="U85" s="8" t="s">
        <v>1901</v>
      </c>
      <c r="V85" s="10">
        <v>0</v>
      </c>
      <c r="W85" s="11" t="str">
        <f t="shared" si="1"/>
        <v>(1778,null,1,'2026-03-24 00:00:00','003308020080000-33080200801','003308020080000-33080200801','小儿冠状动脉内膜切除术',null,null,4395,3950,3360,null,5680,5265,4485,'次',23,1,'normal','main',0),</v>
      </c>
    </row>
    <row r="86" ht="15.75" spans="1:23">
      <c r="A86">
        <v>1779</v>
      </c>
      <c r="B86" t="s">
        <v>1898</v>
      </c>
      <c r="C86">
        <v>1</v>
      </c>
      <c r="D86" s="9" t="s">
        <v>1899</v>
      </c>
      <c r="E86" t="s">
        <v>450</v>
      </c>
      <c r="F86" t="s">
        <v>450</v>
      </c>
      <c r="G86" t="s">
        <v>451</v>
      </c>
      <c r="H86" t="s">
        <v>1898</v>
      </c>
      <c r="I86" t="s">
        <v>1898</v>
      </c>
      <c r="J86">
        <v>2530</v>
      </c>
      <c r="K86">
        <v>2280</v>
      </c>
      <c r="L86">
        <v>1940</v>
      </c>
      <c r="M86" t="s">
        <v>1898</v>
      </c>
      <c r="N86" s="6">
        <v>1000</v>
      </c>
      <c r="O86" s="6">
        <v>900</v>
      </c>
      <c r="P86" s="6">
        <v>770</v>
      </c>
      <c r="Q86" t="s">
        <v>54</v>
      </c>
      <c r="R86">
        <v>23</v>
      </c>
      <c r="S86">
        <v>1</v>
      </c>
      <c r="T86" s="8" t="s">
        <v>1902</v>
      </c>
      <c r="U86" s="8" t="s">
        <v>1901</v>
      </c>
      <c r="V86" s="10">
        <v>0</v>
      </c>
      <c r="W86" s="11" t="str">
        <f t="shared" si="1"/>
        <v>(1779,null,1,'2026-03-24 00:00:00','003205000110000-320500011','003205000110000-320500011','经皮冠状动脉内溶栓术',null,null,2530,2280,1940,null,1000,900,770,'次',23,1,'normal','main',0),</v>
      </c>
    </row>
    <row r="87" ht="15.75" spans="1:23">
      <c r="A87">
        <v>1780</v>
      </c>
      <c r="B87" t="s">
        <v>1898</v>
      </c>
      <c r="C87">
        <v>1</v>
      </c>
      <c r="D87" s="9" t="s">
        <v>1899</v>
      </c>
      <c r="E87" t="s">
        <v>452</v>
      </c>
      <c r="F87" t="s">
        <v>452</v>
      </c>
      <c r="G87" t="s">
        <v>453</v>
      </c>
      <c r="H87" t="s">
        <v>1898</v>
      </c>
      <c r="I87" t="s">
        <v>1898</v>
      </c>
      <c r="J87">
        <v>0</v>
      </c>
      <c r="K87">
        <v>0</v>
      </c>
      <c r="L87">
        <v>0</v>
      </c>
      <c r="M87" t="s">
        <v>1898</v>
      </c>
      <c r="N87" s="6">
        <v>1000</v>
      </c>
      <c r="O87" s="6">
        <v>900</v>
      </c>
      <c r="P87" s="6">
        <v>770</v>
      </c>
      <c r="Q87" t="s">
        <v>54</v>
      </c>
      <c r="R87">
        <v>23</v>
      </c>
      <c r="S87">
        <v>1</v>
      </c>
      <c r="T87" s="8" t="s">
        <v>1902</v>
      </c>
      <c r="U87" s="8" t="s">
        <v>1901</v>
      </c>
      <c r="V87" s="10">
        <v>0</v>
      </c>
      <c r="W87" s="11" t="str">
        <f t="shared" si="1"/>
        <v>(1780,null,1,'2026-03-24 00:00:00','003205000130000-320500013','003205000130000-320500013','冠状动脉内超声溶栓术',null,null,0,0,0,null,1000,900,770,'次',23,1,'normal','main',0),</v>
      </c>
    </row>
    <row r="88" ht="15.75" spans="1:23">
      <c r="A88">
        <v>1781</v>
      </c>
      <c r="B88" t="s">
        <v>1898</v>
      </c>
      <c r="C88">
        <v>1</v>
      </c>
      <c r="D88" s="9" t="s">
        <v>1899</v>
      </c>
      <c r="E88" t="s">
        <v>456</v>
      </c>
      <c r="F88" t="s">
        <v>456</v>
      </c>
      <c r="G88" t="s">
        <v>457</v>
      </c>
      <c r="H88" t="s">
        <v>1898</v>
      </c>
      <c r="I88" t="s">
        <v>1898</v>
      </c>
      <c r="J88">
        <v>3290</v>
      </c>
      <c r="K88">
        <v>2965</v>
      </c>
      <c r="L88">
        <v>2520</v>
      </c>
      <c r="M88" t="s">
        <v>1898</v>
      </c>
      <c r="N88">
        <v>1300</v>
      </c>
      <c r="O88">
        <v>1170</v>
      </c>
      <c r="P88">
        <v>1000</v>
      </c>
      <c r="Q88" t="s">
        <v>54</v>
      </c>
      <c r="R88">
        <v>23</v>
      </c>
      <c r="S88">
        <v>1</v>
      </c>
      <c r="T88" s="8" t="s">
        <v>1902</v>
      </c>
      <c r="U88" s="8" t="s">
        <v>1901</v>
      </c>
      <c r="V88" s="10">
        <v>0</v>
      </c>
      <c r="W88" s="11" t="str">
        <f t="shared" si="1"/>
        <v>(1781,null,1,'2026-03-24 00:00:00','003205000110000-32050001101','003205000110000-32050001101','小儿经皮冠状动脉内溶栓术',null,null,3290,2965,2520,null,1300,1170,1000,'次',23,1,'normal','main',0),</v>
      </c>
    </row>
    <row r="89" ht="15.75" spans="1:23">
      <c r="A89">
        <v>1782</v>
      </c>
      <c r="B89" t="s">
        <v>1898</v>
      </c>
      <c r="C89">
        <v>1</v>
      </c>
      <c r="D89" s="9" t="s">
        <v>1899</v>
      </c>
      <c r="E89" t="s">
        <v>463</v>
      </c>
      <c r="F89" t="s">
        <v>463</v>
      </c>
      <c r="G89" t="s">
        <v>464</v>
      </c>
      <c r="H89" t="s">
        <v>1898</v>
      </c>
      <c r="I89" t="s">
        <v>1898</v>
      </c>
      <c r="J89">
        <v>1500</v>
      </c>
      <c r="K89">
        <v>1440</v>
      </c>
      <c r="L89">
        <v>1224</v>
      </c>
      <c r="M89" t="s">
        <v>1898</v>
      </c>
      <c r="N89" s="6">
        <v>1265</v>
      </c>
      <c r="O89" s="6">
        <v>1215</v>
      </c>
      <c r="P89" s="6">
        <v>1035</v>
      </c>
      <c r="Q89" t="s">
        <v>54</v>
      </c>
      <c r="R89">
        <v>23</v>
      </c>
      <c r="S89">
        <v>1</v>
      </c>
      <c r="T89" s="8" t="s">
        <v>1902</v>
      </c>
      <c r="U89" s="8" t="s">
        <v>1901</v>
      </c>
      <c r="V89" s="10">
        <v>0</v>
      </c>
      <c r="W89" s="11" t="str">
        <f t="shared" si="1"/>
        <v>(1782,null,1,'2026-03-24 00:00:00','003308030230000-330803023','003308030230000-330803023','主动脉内球囊反搏置管术',null,null,1500,1440,1224,null,1265,1215,1035,'次',23,1,'normal','main',0),</v>
      </c>
    </row>
    <row r="90" ht="15.75" spans="1:23">
      <c r="A90">
        <v>1783</v>
      </c>
      <c r="B90" t="s">
        <v>1898</v>
      </c>
      <c r="C90">
        <v>1</v>
      </c>
      <c r="D90" s="9" t="s">
        <v>1899</v>
      </c>
      <c r="E90" t="s">
        <v>467</v>
      </c>
      <c r="F90" t="s">
        <v>467</v>
      </c>
      <c r="G90" t="s">
        <v>468</v>
      </c>
      <c r="H90" t="s">
        <v>1898</v>
      </c>
      <c r="I90" t="s">
        <v>1898</v>
      </c>
      <c r="J90">
        <v>1950</v>
      </c>
      <c r="K90">
        <v>1870</v>
      </c>
      <c r="L90">
        <v>1590</v>
      </c>
      <c r="M90" t="s">
        <v>1898</v>
      </c>
      <c r="N90" s="6">
        <v>1265</v>
      </c>
      <c r="O90" s="6">
        <v>1215</v>
      </c>
      <c r="P90" s="6">
        <v>1035</v>
      </c>
      <c r="Q90" t="s">
        <v>54</v>
      </c>
      <c r="R90">
        <v>23</v>
      </c>
      <c r="S90">
        <v>1</v>
      </c>
      <c r="T90" s="8" t="s">
        <v>1902</v>
      </c>
      <c r="U90" s="8" t="s">
        <v>1901</v>
      </c>
      <c r="V90" s="10">
        <v>0</v>
      </c>
      <c r="W90" s="11" t="str">
        <f t="shared" si="1"/>
        <v>(1783,null,1,'2026-03-24 00:00:00','003308030230000-33080302301','003308030230000-33080302301','小儿主动脉内球囊反搏置管术',null,null,1950,1870,1590,null,1265,1215,1035,'次',23,1,'normal','main',0),</v>
      </c>
    </row>
    <row r="91" ht="15.75" spans="1:23">
      <c r="A91">
        <v>1784</v>
      </c>
      <c r="B91" t="s">
        <v>1898</v>
      </c>
      <c r="C91">
        <v>1</v>
      </c>
      <c r="D91" s="9" t="s">
        <v>1899</v>
      </c>
      <c r="E91" t="s">
        <v>469</v>
      </c>
      <c r="F91" t="s">
        <v>469</v>
      </c>
      <c r="G91" t="s">
        <v>471</v>
      </c>
      <c r="H91" t="s">
        <v>1898</v>
      </c>
      <c r="I91" t="s">
        <v>1898</v>
      </c>
      <c r="J91">
        <v>0</v>
      </c>
      <c r="K91">
        <v>0</v>
      </c>
      <c r="L91">
        <v>0</v>
      </c>
      <c r="M91" t="s">
        <v>1898</v>
      </c>
      <c r="N91" s="6">
        <v>1265</v>
      </c>
      <c r="O91" s="6">
        <v>1215</v>
      </c>
      <c r="P91" s="6">
        <v>1035</v>
      </c>
      <c r="Q91" t="s">
        <v>54</v>
      </c>
      <c r="R91">
        <v>23</v>
      </c>
      <c r="S91">
        <v>1</v>
      </c>
      <c r="T91" s="8" t="s">
        <v>1902</v>
      </c>
      <c r="U91" s="8" t="s">
        <v>1901</v>
      </c>
      <c r="V91" s="10">
        <v>0</v>
      </c>
      <c r="W91" s="11" t="str">
        <f t="shared" si="1"/>
        <v>(1784,null,1,'2026-03-24 00:00:00','353205000240000-A320500017','353205000240000-A320500017','经皮冠状动脉内振波成形术',null,null,0,0,0,null,1265,1215,1035,'次',23,1,'normal','main',0),</v>
      </c>
    </row>
    <row r="92" ht="15.75" spans="1:23">
      <c r="A92">
        <v>1785</v>
      </c>
      <c r="B92" t="s">
        <v>1898</v>
      </c>
      <c r="C92">
        <v>1</v>
      </c>
      <c r="D92" s="9" t="s">
        <v>1899</v>
      </c>
      <c r="E92" t="s">
        <v>483</v>
      </c>
      <c r="F92" t="s">
        <v>483</v>
      </c>
      <c r="G92" t="s">
        <v>484</v>
      </c>
      <c r="H92" t="s">
        <v>1898</v>
      </c>
      <c r="I92" t="s">
        <v>1898</v>
      </c>
      <c r="J92">
        <v>85</v>
      </c>
      <c r="K92">
        <v>80</v>
      </c>
      <c r="L92">
        <v>72</v>
      </c>
      <c r="M92" t="s">
        <v>1898</v>
      </c>
      <c r="N92" s="6">
        <v>85</v>
      </c>
      <c r="O92" s="6">
        <v>80</v>
      </c>
      <c r="P92" s="6">
        <v>72</v>
      </c>
      <c r="Q92" t="s">
        <v>39</v>
      </c>
      <c r="R92">
        <v>23</v>
      </c>
      <c r="S92">
        <v>1</v>
      </c>
      <c r="T92" s="8" t="s">
        <v>1902</v>
      </c>
      <c r="U92" s="8" t="s">
        <v>1901</v>
      </c>
      <c r="V92" s="10">
        <v>0</v>
      </c>
      <c r="W92" s="11" t="str">
        <f t="shared" si="1"/>
        <v>(1785,null,1,'2026-03-24 00:00:00','003205000090000-320500009','003205000090000-320500009','经皮主动脉气囊反搏动术（IABP）',null,null,85,80,72,null,85,80,72,'小时',23,1,'normal','main',0),</v>
      </c>
    </row>
    <row r="93" ht="15.75" spans="1:23">
      <c r="A93">
        <v>1786</v>
      </c>
      <c r="B93" t="s">
        <v>1898</v>
      </c>
      <c r="C93">
        <v>1</v>
      </c>
      <c r="D93" s="9" t="s">
        <v>1899</v>
      </c>
      <c r="E93" t="s">
        <v>486</v>
      </c>
      <c r="F93" t="s">
        <v>486</v>
      </c>
      <c r="G93" t="s">
        <v>487</v>
      </c>
      <c r="H93" t="s">
        <v>1898</v>
      </c>
      <c r="I93" t="s">
        <v>1898</v>
      </c>
      <c r="J93">
        <v>110</v>
      </c>
      <c r="K93">
        <v>100</v>
      </c>
      <c r="L93">
        <v>94</v>
      </c>
      <c r="M93" t="s">
        <v>1898</v>
      </c>
      <c r="N93" s="6">
        <v>85</v>
      </c>
      <c r="O93" s="6">
        <v>80</v>
      </c>
      <c r="P93" s="6">
        <v>72</v>
      </c>
      <c r="Q93" t="s">
        <v>39</v>
      </c>
      <c r="R93">
        <v>23</v>
      </c>
      <c r="S93">
        <v>1</v>
      </c>
      <c r="T93" s="8" t="s">
        <v>1902</v>
      </c>
      <c r="U93" s="8" t="s">
        <v>1901</v>
      </c>
      <c r="V93" s="10">
        <v>0</v>
      </c>
      <c r="W93" s="11" t="str">
        <f t="shared" si="1"/>
        <v>(1786,null,1,'2026-03-24 00:00:00','003205000090000-32050000901','003205000090000-32050000901','小儿经皮主动脉气囊反搏动术（IABP）',null,null,110,100,94,null,85,80,72,'小时',23,1,'normal','main',0),</v>
      </c>
    </row>
    <row r="94" ht="15.75" spans="1:23">
      <c r="A94">
        <v>1787</v>
      </c>
      <c r="B94" t="s">
        <v>1898</v>
      </c>
      <c r="C94">
        <v>1</v>
      </c>
      <c r="D94" s="9" t="s">
        <v>1899</v>
      </c>
      <c r="E94" t="s">
        <v>492</v>
      </c>
      <c r="F94" t="s">
        <v>492</v>
      </c>
      <c r="G94" t="s">
        <v>493</v>
      </c>
      <c r="H94" t="s">
        <v>1898</v>
      </c>
      <c r="I94" t="s">
        <v>1898</v>
      </c>
      <c r="J94">
        <v>1035</v>
      </c>
      <c r="K94">
        <v>900</v>
      </c>
      <c r="L94">
        <v>765</v>
      </c>
      <c r="M94" t="s">
        <v>1898</v>
      </c>
      <c r="N94" s="6">
        <v>950</v>
      </c>
      <c r="O94" s="6">
        <v>880</v>
      </c>
      <c r="P94" s="6">
        <v>750</v>
      </c>
      <c r="Q94" t="s">
        <v>54</v>
      </c>
      <c r="R94">
        <v>23</v>
      </c>
      <c r="S94">
        <v>1</v>
      </c>
      <c r="T94" s="8" t="s">
        <v>1902</v>
      </c>
      <c r="U94" s="8" t="s">
        <v>1901</v>
      </c>
      <c r="V94" s="10">
        <v>0</v>
      </c>
      <c r="W94" s="11" t="str">
        <f t="shared" si="1"/>
        <v>(1787,null,1,'2026-03-24 00:00:00','003107020200000-310702020','003107020200000-310702020','右心导管检查术',null,null,1035,900,765,null,950,880,750,'次',23,1,'normal','main',0),</v>
      </c>
    </row>
    <row r="95" ht="15.75" spans="1:23">
      <c r="A95">
        <v>1788</v>
      </c>
      <c r="B95" t="s">
        <v>1898</v>
      </c>
      <c r="C95">
        <v>1</v>
      </c>
      <c r="D95" s="9" t="s">
        <v>1899</v>
      </c>
      <c r="E95" t="s">
        <v>496</v>
      </c>
      <c r="F95" t="s">
        <v>496</v>
      </c>
      <c r="G95" t="s">
        <v>497</v>
      </c>
      <c r="H95" t="s">
        <v>1898</v>
      </c>
      <c r="I95" t="s">
        <v>1898</v>
      </c>
      <c r="J95">
        <v>1092.5</v>
      </c>
      <c r="K95">
        <v>950</v>
      </c>
      <c r="L95">
        <v>807.5</v>
      </c>
      <c r="M95" t="s">
        <v>1898</v>
      </c>
      <c r="N95" s="6">
        <v>950</v>
      </c>
      <c r="O95" s="6">
        <v>880</v>
      </c>
      <c r="P95" s="6">
        <v>750</v>
      </c>
      <c r="Q95" t="s">
        <v>54</v>
      </c>
      <c r="R95">
        <v>23</v>
      </c>
      <c r="S95">
        <v>1</v>
      </c>
      <c r="T95" s="8" t="s">
        <v>1902</v>
      </c>
      <c r="U95" s="8" t="s">
        <v>1901</v>
      </c>
      <c r="V95" s="10">
        <v>0</v>
      </c>
      <c r="W95" s="11" t="str">
        <f t="shared" si="1"/>
        <v>(1788,null,1,'2026-03-24 00:00:00','003107020200001-31070202002','003107020200001-31070202002','右心导管检查术（血氧测定）',null,null,1092.5,950,807.5,null,950,880,750,'次',23,1,'normal','main',0),</v>
      </c>
    </row>
    <row r="96" ht="15.75" spans="1:23">
      <c r="A96">
        <v>1789</v>
      </c>
      <c r="B96" t="s">
        <v>1898</v>
      </c>
      <c r="C96">
        <v>1</v>
      </c>
      <c r="D96" s="9" t="s">
        <v>1899</v>
      </c>
      <c r="E96" t="s">
        <v>499</v>
      </c>
      <c r="F96" t="s">
        <v>499</v>
      </c>
      <c r="G96" t="s">
        <v>500</v>
      </c>
      <c r="H96" t="s">
        <v>1898</v>
      </c>
      <c r="I96" t="s">
        <v>1898</v>
      </c>
      <c r="J96">
        <v>17.3</v>
      </c>
      <c r="K96">
        <v>15</v>
      </c>
      <c r="L96">
        <v>12.8</v>
      </c>
      <c r="M96" t="s">
        <v>1898</v>
      </c>
      <c r="N96" s="6">
        <v>0</v>
      </c>
      <c r="O96" s="6">
        <v>0</v>
      </c>
      <c r="P96" s="6">
        <v>0</v>
      </c>
      <c r="Q96" t="s">
        <v>39</v>
      </c>
      <c r="R96">
        <v>23</v>
      </c>
      <c r="S96">
        <v>1</v>
      </c>
      <c r="T96" s="8" t="s">
        <v>1902</v>
      </c>
      <c r="U96" s="8" t="s">
        <v>1901</v>
      </c>
      <c r="V96" s="10">
        <v>0</v>
      </c>
      <c r="W96" s="11" t="str">
        <f t="shared" si="1"/>
        <v>(1789,null,1,'2026-03-24 00:00:00','003107010240000-310701024','003107010240000-310701024','肺动脉压和右心房压力监测',null,null,17.3,15,12.8,null,0,0,0,'小时',23,1,'normal','main',0),</v>
      </c>
    </row>
    <row r="97" ht="15.75" spans="1:23">
      <c r="A97">
        <v>1790</v>
      </c>
      <c r="B97" t="s">
        <v>1898</v>
      </c>
      <c r="C97">
        <v>1</v>
      </c>
      <c r="D97" s="9" t="s">
        <v>1899</v>
      </c>
      <c r="E97" t="s">
        <v>509</v>
      </c>
      <c r="F97" t="s">
        <v>509</v>
      </c>
      <c r="G97" t="s">
        <v>510</v>
      </c>
      <c r="H97" t="s">
        <v>1898</v>
      </c>
      <c r="I97" t="s">
        <v>1898</v>
      </c>
      <c r="J97">
        <v>1150</v>
      </c>
      <c r="K97">
        <v>1000</v>
      </c>
      <c r="L97">
        <v>850</v>
      </c>
      <c r="M97" t="s">
        <v>1898</v>
      </c>
      <c r="N97">
        <v>1050</v>
      </c>
      <c r="O97">
        <v>950</v>
      </c>
      <c r="P97">
        <v>810</v>
      </c>
      <c r="Q97" t="s">
        <v>54</v>
      </c>
      <c r="R97">
        <v>23</v>
      </c>
      <c r="S97">
        <v>1</v>
      </c>
      <c r="T97" s="8" t="s">
        <v>1902</v>
      </c>
      <c r="U97" s="8" t="s">
        <v>1901</v>
      </c>
      <c r="V97" s="10">
        <v>0</v>
      </c>
      <c r="W97" s="11" t="str">
        <f t="shared" si="1"/>
        <v>(1790,null,1,'2026-03-24 00:00:00','003107020210000-310702021','003107020210000-310702021','左心导管检查术',null,null,1150,1000,850,null,1050,950,810,'次',23,1,'normal','main',0),</v>
      </c>
    </row>
    <row r="98" ht="15.75" spans="1:23">
      <c r="A98">
        <v>1791</v>
      </c>
      <c r="B98" t="s">
        <v>1898</v>
      </c>
      <c r="C98">
        <v>1</v>
      </c>
      <c r="D98" s="9" t="s">
        <v>1899</v>
      </c>
      <c r="E98" t="s">
        <v>518</v>
      </c>
      <c r="F98" t="s">
        <v>518</v>
      </c>
      <c r="G98" t="s">
        <v>519</v>
      </c>
      <c r="H98" t="s">
        <v>1898</v>
      </c>
      <c r="I98" t="s">
        <v>1898</v>
      </c>
      <c r="J98">
        <v>3560</v>
      </c>
      <c r="K98">
        <v>3200</v>
      </c>
      <c r="L98">
        <v>2720</v>
      </c>
      <c r="M98" t="s">
        <v>1898</v>
      </c>
      <c r="N98">
        <v>3560</v>
      </c>
      <c r="O98">
        <v>3200</v>
      </c>
      <c r="P98">
        <v>2720</v>
      </c>
      <c r="Q98" t="s">
        <v>521</v>
      </c>
      <c r="R98">
        <v>23</v>
      </c>
      <c r="S98">
        <v>1</v>
      </c>
      <c r="T98" s="8" t="s">
        <v>1902</v>
      </c>
      <c r="U98" s="8" t="s">
        <v>1901</v>
      </c>
      <c r="V98" s="10">
        <v>0</v>
      </c>
      <c r="W98" s="11" t="str">
        <f t="shared" si="1"/>
        <v>(1791,null,1,'2026-03-24 00:00:00','003204000010000-320400001','003204000010000-320400001','经皮瓣膜球囊成形术',null,null,3560,3200,2720,null,3560,3200,2720,'每个瓣膜',23,1,'normal','main',0),</v>
      </c>
    </row>
    <row r="99" ht="15.75" spans="1:23">
      <c r="A99">
        <v>1792</v>
      </c>
      <c r="B99" t="s">
        <v>1898</v>
      </c>
      <c r="C99">
        <v>1</v>
      </c>
      <c r="D99" s="9" t="s">
        <v>1899</v>
      </c>
      <c r="E99" t="s">
        <v>524</v>
      </c>
      <c r="F99" t="s">
        <v>524</v>
      </c>
      <c r="G99" t="s">
        <v>525</v>
      </c>
      <c r="H99" t="s">
        <v>1898</v>
      </c>
      <c r="I99" t="s">
        <v>1898</v>
      </c>
      <c r="J99">
        <v>4630</v>
      </c>
      <c r="K99">
        <v>4160</v>
      </c>
      <c r="L99">
        <v>3535</v>
      </c>
      <c r="M99" t="s">
        <v>1898</v>
      </c>
      <c r="N99">
        <v>4630</v>
      </c>
      <c r="O99">
        <v>4160</v>
      </c>
      <c r="P99">
        <v>3535</v>
      </c>
      <c r="Q99" t="s">
        <v>521</v>
      </c>
      <c r="R99">
        <v>23</v>
      </c>
      <c r="S99">
        <v>1</v>
      </c>
      <c r="T99" s="8" t="s">
        <v>1902</v>
      </c>
      <c r="U99" s="8" t="s">
        <v>1901</v>
      </c>
      <c r="V99" s="10">
        <v>0</v>
      </c>
      <c r="W99" s="11" t="str">
        <f t="shared" si="1"/>
        <v>(1792,null,1,'2026-03-24 00:00:00','003204000010000-32040000101','003204000010000-32040000101','小儿经皮瓣膜球囊成形术',null,null,4630,4160,3535,null,4630,4160,3535,'每个瓣膜',23,1,'normal','main',0),</v>
      </c>
    </row>
    <row r="100" ht="15.75" spans="1:23">
      <c r="A100">
        <v>1793</v>
      </c>
      <c r="B100" t="s">
        <v>1898</v>
      </c>
      <c r="C100">
        <v>1</v>
      </c>
      <c r="D100" s="9" t="s">
        <v>1899</v>
      </c>
      <c r="E100" t="s">
        <v>518</v>
      </c>
      <c r="F100" t="s">
        <v>518</v>
      </c>
      <c r="G100" t="s">
        <v>519</v>
      </c>
      <c r="H100" t="s">
        <v>1898</v>
      </c>
      <c r="I100" t="s">
        <v>1898</v>
      </c>
      <c r="J100">
        <v>3560</v>
      </c>
      <c r="K100">
        <v>3200</v>
      </c>
      <c r="L100">
        <v>2720</v>
      </c>
      <c r="M100" t="s">
        <v>1898</v>
      </c>
      <c r="N100" s="6">
        <v>3700</v>
      </c>
      <c r="O100" s="6">
        <v>3350</v>
      </c>
      <c r="P100" s="6">
        <v>2850</v>
      </c>
      <c r="Q100" t="s">
        <v>521</v>
      </c>
      <c r="R100">
        <v>23</v>
      </c>
      <c r="S100">
        <v>1</v>
      </c>
      <c r="T100" s="8" t="s">
        <v>1902</v>
      </c>
      <c r="U100" s="8" t="s">
        <v>1901</v>
      </c>
      <c r="V100" s="10">
        <v>0</v>
      </c>
      <c r="W100" s="11" t="str">
        <f t="shared" si="1"/>
        <v>(1793,null,1,'2026-03-24 00:00:00','003204000010000-320400001','003204000010000-320400001','经皮瓣膜球囊成形术',null,null,3560,3200,2720,null,3700,3350,2850,'每个瓣膜',23,1,'normal','main',0),</v>
      </c>
    </row>
    <row r="101" ht="15.75" spans="1:23">
      <c r="A101">
        <v>1794</v>
      </c>
      <c r="B101" t="s">
        <v>1898</v>
      </c>
      <c r="C101">
        <v>1</v>
      </c>
      <c r="D101" s="9" t="s">
        <v>1899</v>
      </c>
      <c r="E101" t="s">
        <v>532</v>
      </c>
      <c r="F101" t="s">
        <v>532</v>
      </c>
      <c r="G101" t="s">
        <v>533</v>
      </c>
      <c r="H101" t="s">
        <v>1898</v>
      </c>
      <c r="I101" t="s">
        <v>1898</v>
      </c>
      <c r="J101">
        <v>6000</v>
      </c>
      <c r="K101">
        <v>5400</v>
      </c>
      <c r="L101">
        <v>4600</v>
      </c>
      <c r="M101" t="s">
        <v>1898</v>
      </c>
      <c r="N101" s="6">
        <v>3700</v>
      </c>
      <c r="O101" s="6">
        <v>3350</v>
      </c>
      <c r="P101" s="6">
        <v>2850</v>
      </c>
      <c r="Q101" t="s">
        <v>54</v>
      </c>
      <c r="R101">
        <v>23</v>
      </c>
      <c r="S101">
        <v>1</v>
      </c>
      <c r="T101" s="8" t="s">
        <v>1902</v>
      </c>
      <c r="U101" s="8" t="s">
        <v>1901</v>
      </c>
      <c r="V101" s="10">
        <v>0</v>
      </c>
      <c r="W101" s="11" t="str">
        <f t="shared" si="1"/>
        <v>(1794,null,1,'2026-03-24 00:00:00','003308010020000-33080100202','003308010020000-33080100202','经导管二尖瓣成形术',null,null,6000,5400,4600,null,3700,3350,2850,'次',23,1,'normal','main',0),</v>
      </c>
    </row>
    <row r="102" ht="15.75" spans="1:23">
      <c r="A102">
        <v>1795</v>
      </c>
      <c r="B102" t="s">
        <v>1898</v>
      </c>
      <c r="C102">
        <v>1</v>
      </c>
      <c r="D102" s="9" t="s">
        <v>1899</v>
      </c>
      <c r="E102" t="s">
        <v>524</v>
      </c>
      <c r="F102" t="s">
        <v>524</v>
      </c>
      <c r="G102" t="s">
        <v>525</v>
      </c>
      <c r="H102" t="s">
        <v>1898</v>
      </c>
      <c r="I102" t="s">
        <v>1898</v>
      </c>
      <c r="J102">
        <v>4630</v>
      </c>
      <c r="K102">
        <v>4160</v>
      </c>
      <c r="L102">
        <v>3535</v>
      </c>
      <c r="M102" t="s">
        <v>1898</v>
      </c>
      <c r="N102" s="6">
        <v>4810</v>
      </c>
      <c r="O102" s="6">
        <v>4355</v>
      </c>
      <c r="P102" s="6">
        <v>3705</v>
      </c>
      <c r="Q102" t="s">
        <v>521</v>
      </c>
      <c r="R102">
        <v>23</v>
      </c>
      <c r="S102">
        <v>1</v>
      </c>
      <c r="T102" s="8" t="s">
        <v>1902</v>
      </c>
      <c r="U102" s="8" t="s">
        <v>1901</v>
      </c>
      <c r="V102" s="10">
        <v>0</v>
      </c>
      <c r="W102" s="11" t="str">
        <f t="shared" si="1"/>
        <v>(1795,null,1,'2026-03-24 00:00:00','003204000010000-32040000101','003204000010000-32040000101','小儿经皮瓣膜球囊成形术',null,null,4630,4160,3535,null,4810,4355,3705,'每个瓣膜',23,1,'normal','main',0),</v>
      </c>
    </row>
    <row r="103" ht="15.75" spans="1:23">
      <c r="A103">
        <v>1796</v>
      </c>
      <c r="B103" t="s">
        <v>1898</v>
      </c>
      <c r="C103">
        <v>1</v>
      </c>
      <c r="D103" s="9" t="s">
        <v>1899</v>
      </c>
      <c r="E103" t="s">
        <v>537</v>
      </c>
      <c r="F103" t="s">
        <v>537</v>
      </c>
      <c r="G103" t="s">
        <v>538</v>
      </c>
      <c r="H103" t="s">
        <v>1898</v>
      </c>
      <c r="I103" t="s">
        <v>1898</v>
      </c>
      <c r="J103">
        <v>7800</v>
      </c>
      <c r="K103">
        <v>7020</v>
      </c>
      <c r="L103">
        <v>5980</v>
      </c>
      <c r="M103" t="s">
        <v>1898</v>
      </c>
      <c r="N103" s="6">
        <v>4810</v>
      </c>
      <c r="O103" s="6">
        <v>4355</v>
      </c>
      <c r="P103" s="6">
        <v>3705</v>
      </c>
      <c r="Q103" t="s">
        <v>54</v>
      </c>
      <c r="R103">
        <v>23</v>
      </c>
      <c r="S103">
        <v>1</v>
      </c>
      <c r="T103" s="8" t="s">
        <v>1902</v>
      </c>
      <c r="U103" s="8" t="s">
        <v>1901</v>
      </c>
      <c r="V103" s="10">
        <v>0</v>
      </c>
      <c r="W103" s="11" t="str">
        <f t="shared" si="1"/>
        <v>(1796,null,1,'2026-03-24 00:00:00','003308010020000-33080100203','003308010020000-33080100203','小儿经导管二尖瓣成形术',null,null,7800,7020,5980,null,4810,4355,3705,'次',23,1,'normal','main',0),</v>
      </c>
    </row>
    <row r="104" ht="15.75" spans="1:23">
      <c r="A104">
        <v>1797</v>
      </c>
      <c r="B104" t="s">
        <v>1898</v>
      </c>
      <c r="C104">
        <v>1</v>
      </c>
      <c r="D104" s="9" t="s">
        <v>1899</v>
      </c>
      <c r="E104" t="s">
        <v>547</v>
      </c>
      <c r="F104" t="s">
        <v>547</v>
      </c>
      <c r="G104" t="s">
        <v>548</v>
      </c>
      <c r="H104" t="s">
        <v>1898</v>
      </c>
      <c r="I104" t="s">
        <v>1898</v>
      </c>
      <c r="J104">
        <v>6000</v>
      </c>
      <c r="K104">
        <v>5400</v>
      </c>
      <c r="L104">
        <v>4600</v>
      </c>
      <c r="M104" t="s">
        <v>1898</v>
      </c>
      <c r="N104">
        <v>6000</v>
      </c>
      <c r="O104">
        <v>5400</v>
      </c>
      <c r="P104">
        <v>4600</v>
      </c>
      <c r="Q104" t="s">
        <v>54</v>
      </c>
      <c r="R104">
        <v>23</v>
      </c>
      <c r="S104">
        <v>1</v>
      </c>
      <c r="T104" s="8" t="s">
        <v>1902</v>
      </c>
      <c r="U104" s="8" t="s">
        <v>1901</v>
      </c>
      <c r="V104" s="10">
        <v>0</v>
      </c>
      <c r="W104" s="11" t="str">
        <f t="shared" si="1"/>
        <v>(1797,null,1,'2026-03-24 00:00:00','003308010090000-33080100904','003308010090000-33080100904','经导管主动脉瓣置换术',null,null,6000,5400,4600,null,6000,5400,4600,'次',23,1,'normal','main',0),</v>
      </c>
    </row>
    <row r="105" ht="15.75" spans="1:23">
      <c r="A105">
        <v>1798</v>
      </c>
      <c r="B105" t="s">
        <v>1898</v>
      </c>
      <c r="C105">
        <v>1</v>
      </c>
      <c r="D105" s="9" t="s">
        <v>1899</v>
      </c>
      <c r="E105" t="s">
        <v>551</v>
      </c>
      <c r="F105" t="s">
        <v>551</v>
      </c>
      <c r="G105" t="s">
        <v>552</v>
      </c>
      <c r="H105" t="s">
        <v>1898</v>
      </c>
      <c r="I105" t="s">
        <v>1898</v>
      </c>
      <c r="J105">
        <v>7800</v>
      </c>
      <c r="K105">
        <v>7020</v>
      </c>
      <c r="L105">
        <v>5980</v>
      </c>
      <c r="M105" t="s">
        <v>1898</v>
      </c>
      <c r="N105">
        <v>7800</v>
      </c>
      <c r="O105">
        <v>7020</v>
      </c>
      <c r="P105">
        <v>5980</v>
      </c>
      <c r="Q105" t="s">
        <v>54</v>
      </c>
      <c r="R105">
        <v>23</v>
      </c>
      <c r="S105">
        <v>1</v>
      </c>
      <c r="T105" s="8" t="s">
        <v>1902</v>
      </c>
      <c r="U105" s="8" t="s">
        <v>1901</v>
      </c>
      <c r="V105" s="10">
        <v>0</v>
      </c>
      <c r="W105" s="11" t="str">
        <f t="shared" si="1"/>
        <v>(1798,null,1,'2026-03-24 00:00:00','003308010090000-33080100905','003308010090000-33080100905','小儿经导管主动脉瓣置换术',null,null,7800,7020,5980,null,7800,7020,5980,'次',23,1,'normal','main',0),</v>
      </c>
    </row>
    <row r="106" ht="15.75" spans="1:23">
      <c r="A106">
        <v>1799</v>
      </c>
      <c r="B106" t="s">
        <v>1898</v>
      </c>
      <c r="C106">
        <v>1</v>
      </c>
      <c r="D106" s="9" t="s">
        <v>1899</v>
      </c>
      <c r="E106" t="s">
        <v>556</v>
      </c>
      <c r="F106" t="s">
        <v>556</v>
      </c>
      <c r="G106" t="s">
        <v>557</v>
      </c>
      <c r="H106" t="s">
        <v>1898</v>
      </c>
      <c r="I106" t="s">
        <v>1898</v>
      </c>
      <c r="J106">
        <v>4220</v>
      </c>
      <c r="K106">
        <v>3800</v>
      </c>
      <c r="L106">
        <v>3230</v>
      </c>
      <c r="M106" t="s">
        <v>1898</v>
      </c>
      <c r="N106" s="6">
        <v>6000</v>
      </c>
      <c r="O106" s="6">
        <v>5400</v>
      </c>
      <c r="P106" s="6">
        <v>4600</v>
      </c>
      <c r="Q106" t="s">
        <v>54</v>
      </c>
      <c r="R106">
        <v>23</v>
      </c>
      <c r="S106">
        <v>1</v>
      </c>
      <c r="T106" s="8" t="s">
        <v>1902</v>
      </c>
      <c r="U106" s="8" t="s">
        <v>1901</v>
      </c>
      <c r="V106" s="10">
        <v>0</v>
      </c>
      <c r="W106" s="11" t="str">
        <f t="shared" si="1"/>
        <v>(1799,null,1,'2026-03-24 00:00:00','353204000160000-33080101102','353204000160000-33080101102','经导管肺动脉瓣植入术/置换术',null,null,4220,3800,3230,null,6000,5400,4600,'次',23,1,'normal','main',0),</v>
      </c>
    </row>
    <row r="107" ht="15.75" spans="1:23">
      <c r="A107">
        <v>1800</v>
      </c>
      <c r="B107" t="s">
        <v>1898</v>
      </c>
      <c r="C107">
        <v>1</v>
      </c>
      <c r="D107" s="9" t="s">
        <v>1899</v>
      </c>
      <c r="E107" t="s">
        <v>558</v>
      </c>
      <c r="F107" t="s">
        <v>558</v>
      </c>
      <c r="G107" t="s">
        <v>559</v>
      </c>
      <c r="H107" t="s">
        <v>1898</v>
      </c>
      <c r="I107" t="s">
        <v>1898</v>
      </c>
      <c r="J107">
        <v>5485</v>
      </c>
      <c r="K107">
        <v>4940</v>
      </c>
      <c r="L107">
        <v>4200</v>
      </c>
      <c r="M107" t="s">
        <v>1898</v>
      </c>
      <c r="N107" s="6">
        <v>6000</v>
      </c>
      <c r="O107" s="6">
        <v>5400</v>
      </c>
      <c r="P107" s="6">
        <v>4600</v>
      </c>
      <c r="Q107" t="s">
        <v>54</v>
      </c>
      <c r="R107">
        <v>23</v>
      </c>
      <c r="S107">
        <v>1</v>
      </c>
      <c r="T107" s="8" t="s">
        <v>1902</v>
      </c>
      <c r="U107" s="8" t="s">
        <v>1901</v>
      </c>
      <c r="V107" s="10">
        <v>0</v>
      </c>
      <c r="W107" s="11" t="str">
        <f t="shared" si="1"/>
        <v>(1800,null,1,'2026-03-24 00:00:00','353204000160000-33080101103','353204000160000-33080101103','小儿经导管肺动脉瓣植入术/置换术',null,null,5485,4940,4200,null,6000,5400,4600,'次',23,1,'normal','main',0),</v>
      </c>
    </row>
    <row r="108" ht="15.75" spans="1:23">
      <c r="A108">
        <v>1801</v>
      </c>
      <c r="B108" t="s">
        <v>1898</v>
      </c>
      <c r="C108">
        <v>1</v>
      </c>
      <c r="D108" s="9" t="s">
        <v>1899</v>
      </c>
      <c r="E108" t="s">
        <v>562</v>
      </c>
      <c r="F108" t="s">
        <v>562</v>
      </c>
      <c r="G108" t="s">
        <v>563</v>
      </c>
      <c r="H108" t="s">
        <v>1898</v>
      </c>
      <c r="I108" t="s">
        <v>1898</v>
      </c>
      <c r="J108">
        <v>5800</v>
      </c>
      <c r="K108">
        <v>5300</v>
      </c>
      <c r="L108">
        <v>4500</v>
      </c>
      <c r="M108" t="s">
        <v>1898</v>
      </c>
      <c r="N108">
        <v>5800</v>
      </c>
      <c r="O108">
        <v>5300</v>
      </c>
      <c r="P108">
        <v>4500</v>
      </c>
      <c r="Q108" t="s">
        <v>54</v>
      </c>
      <c r="R108">
        <v>23</v>
      </c>
      <c r="S108">
        <v>1</v>
      </c>
      <c r="T108" s="8" t="s">
        <v>1902</v>
      </c>
      <c r="U108" s="8" t="s">
        <v>1901</v>
      </c>
      <c r="V108" s="10">
        <v>0</v>
      </c>
      <c r="W108" s="11" t="str">
        <f t="shared" si="1"/>
        <v>(1801,null,1,'2026-03-24 00:00:00','003308010030000-33080100304','003308010030000-33080100304','经导管二尖瓣置换术',null,null,5800,5300,4500,null,5800,5300,4500,'次',23,1,'normal','main',0),</v>
      </c>
    </row>
    <row r="109" ht="15.75" spans="1:23">
      <c r="A109">
        <v>1802</v>
      </c>
      <c r="B109" t="s">
        <v>1898</v>
      </c>
      <c r="C109">
        <v>1</v>
      </c>
      <c r="D109" s="9" t="s">
        <v>1899</v>
      </c>
      <c r="E109" t="s">
        <v>566</v>
      </c>
      <c r="F109" t="s">
        <v>566</v>
      </c>
      <c r="G109" t="s">
        <v>567</v>
      </c>
      <c r="H109" t="s">
        <v>1898</v>
      </c>
      <c r="I109" t="s">
        <v>1898</v>
      </c>
      <c r="J109">
        <v>7540</v>
      </c>
      <c r="K109">
        <v>6890</v>
      </c>
      <c r="L109">
        <v>5850</v>
      </c>
      <c r="M109" t="s">
        <v>1898</v>
      </c>
      <c r="N109">
        <v>7540</v>
      </c>
      <c r="O109">
        <v>6890</v>
      </c>
      <c r="P109">
        <v>5850</v>
      </c>
      <c r="Q109" t="s">
        <v>54</v>
      </c>
      <c r="R109">
        <v>23</v>
      </c>
      <c r="S109">
        <v>1</v>
      </c>
      <c r="T109" s="8" t="s">
        <v>1902</v>
      </c>
      <c r="U109" s="8" t="s">
        <v>1901</v>
      </c>
      <c r="V109" s="10">
        <v>0</v>
      </c>
      <c r="W109" s="11" t="str">
        <f t="shared" si="1"/>
        <v>(1802,null,1,'2026-03-24 00:00:00','003308010030000-33080100305','003308010030000-33080100305','小儿经导管二尖瓣置换术',null,null,7540,6890,5850,null,7540,6890,5850,'次',23,1,'normal','main',0),</v>
      </c>
    </row>
    <row r="110" ht="15.75" spans="1:23">
      <c r="A110">
        <v>1803</v>
      </c>
      <c r="B110" t="s">
        <v>1898</v>
      </c>
      <c r="C110">
        <v>1</v>
      </c>
      <c r="D110" s="9" t="s">
        <v>1899</v>
      </c>
      <c r="E110" t="s">
        <v>570</v>
      </c>
      <c r="F110" t="s">
        <v>570</v>
      </c>
      <c r="G110" t="s">
        <v>571</v>
      </c>
      <c r="H110" t="s">
        <v>1898</v>
      </c>
      <c r="I110" t="s">
        <v>1898</v>
      </c>
      <c r="J110">
        <v>6000</v>
      </c>
      <c r="K110">
        <v>5400</v>
      </c>
      <c r="L110">
        <v>4600</v>
      </c>
      <c r="M110" t="s">
        <v>1898</v>
      </c>
      <c r="N110" s="6">
        <v>5800</v>
      </c>
      <c r="O110" s="6">
        <v>5300</v>
      </c>
      <c r="P110" s="6">
        <v>4500</v>
      </c>
      <c r="Q110" t="s">
        <v>54</v>
      </c>
      <c r="R110">
        <v>23</v>
      </c>
      <c r="S110">
        <v>1</v>
      </c>
      <c r="T110" s="8" t="s">
        <v>1902</v>
      </c>
      <c r="U110" s="8" t="s">
        <v>1901</v>
      </c>
      <c r="V110" s="10">
        <v>0</v>
      </c>
      <c r="W110" s="11" t="str">
        <f t="shared" si="1"/>
        <v>(1803,null,1,'2026-03-24 00:00:00','003308010050000-33080100504','003308010050000-33080100504','经导管三尖瓣置换术',null,null,6000,5400,4600,null,5800,5300,4500,'次',23,1,'normal','main',0),</v>
      </c>
    </row>
    <row r="111" ht="15.75" spans="1:23">
      <c r="A111">
        <v>1804</v>
      </c>
      <c r="B111" t="s">
        <v>1898</v>
      </c>
      <c r="C111">
        <v>1</v>
      </c>
      <c r="D111" s="9" t="s">
        <v>1899</v>
      </c>
      <c r="E111" t="s">
        <v>572</v>
      </c>
      <c r="F111" t="s">
        <v>572</v>
      </c>
      <c r="G111" t="s">
        <v>573</v>
      </c>
      <c r="H111" t="s">
        <v>1898</v>
      </c>
      <c r="I111" t="s">
        <v>1898</v>
      </c>
      <c r="J111">
        <v>7800</v>
      </c>
      <c r="K111">
        <v>7020</v>
      </c>
      <c r="L111">
        <v>5980</v>
      </c>
      <c r="M111" t="s">
        <v>1898</v>
      </c>
      <c r="N111" s="6">
        <v>5800</v>
      </c>
      <c r="O111" s="6">
        <v>5300</v>
      </c>
      <c r="P111" s="6">
        <v>4500</v>
      </c>
      <c r="Q111" t="s">
        <v>54</v>
      </c>
      <c r="R111">
        <v>23</v>
      </c>
      <c r="S111">
        <v>1</v>
      </c>
      <c r="T111" s="8" t="s">
        <v>1902</v>
      </c>
      <c r="U111" s="8" t="s">
        <v>1901</v>
      </c>
      <c r="V111" s="10">
        <v>0</v>
      </c>
      <c r="W111" s="11" t="str">
        <f t="shared" si="1"/>
        <v>(1804,null,1,'2026-03-24 00:00:00','003308010050000-33080100505','003308010050000-33080100505','小儿经导管三尖瓣置换术',null,null,7800,7020,5980,null,5800,5300,4500,'次',23,1,'normal','main',0),</v>
      </c>
    </row>
    <row r="112" ht="15.75" spans="1:23">
      <c r="A112">
        <v>1805</v>
      </c>
      <c r="B112" t="s">
        <v>1898</v>
      </c>
      <c r="C112">
        <v>1</v>
      </c>
      <c r="D112" s="9" t="s">
        <v>1899</v>
      </c>
      <c r="E112" t="s">
        <v>580</v>
      </c>
      <c r="F112" t="s">
        <v>580</v>
      </c>
      <c r="G112" t="s">
        <v>581</v>
      </c>
      <c r="H112" t="s">
        <v>1898</v>
      </c>
      <c r="I112" t="s">
        <v>1898</v>
      </c>
      <c r="J112">
        <v>3450</v>
      </c>
      <c r="K112">
        <v>3250</v>
      </c>
      <c r="L112">
        <v>2600</v>
      </c>
      <c r="M112" t="s">
        <v>1898</v>
      </c>
      <c r="N112" s="6">
        <v>3150</v>
      </c>
      <c r="O112" s="6">
        <v>2850</v>
      </c>
      <c r="P112" s="6">
        <v>2450</v>
      </c>
      <c r="Q112" t="s">
        <v>54</v>
      </c>
      <c r="R112">
        <v>23</v>
      </c>
      <c r="S112">
        <v>1</v>
      </c>
      <c r="T112" s="8" t="s">
        <v>1902</v>
      </c>
      <c r="U112" s="8" t="s">
        <v>1901</v>
      </c>
      <c r="V112" s="10">
        <v>0</v>
      </c>
      <c r="W112" s="11" t="str">
        <f t="shared" si="1"/>
        <v>(1805,null,1,'2026-03-24 00:00:00','003204000030000-320400003','003204000030000-320400003','先心病介入治疗',null,null,3450,3250,2600,null,3150,2850,2450,'次',23,1,'normal','main',0),</v>
      </c>
    </row>
    <row r="113" ht="15.75" spans="1:23">
      <c r="A113">
        <v>1806</v>
      </c>
      <c r="B113" t="s">
        <v>1898</v>
      </c>
      <c r="C113">
        <v>1</v>
      </c>
      <c r="D113" s="9" t="s">
        <v>1899</v>
      </c>
      <c r="E113" t="s">
        <v>584</v>
      </c>
      <c r="F113" t="s">
        <v>584</v>
      </c>
      <c r="G113" t="s">
        <v>585</v>
      </c>
      <c r="H113" t="s">
        <v>1898</v>
      </c>
      <c r="I113" t="s">
        <v>1898</v>
      </c>
      <c r="J113">
        <v>3050</v>
      </c>
      <c r="K113">
        <v>2900</v>
      </c>
      <c r="L113">
        <v>2320</v>
      </c>
      <c r="M113" t="s">
        <v>1898</v>
      </c>
      <c r="N113" s="6">
        <v>3150</v>
      </c>
      <c r="O113" s="6">
        <v>2850</v>
      </c>
      <c r="P113" s="6">
        <v>2450</v>
      </c>
      <c r="Q113" t="s">
        <v>54</v>
      </c>
      <c r="R113">
        <v>23</v>
      </c>
      <c r="S113">
        <v>1</v>
      </c>
      <c r="T113" s="8" t="s">
        <v>1902</v>
      </c>
      <c r="U113" s="8" t="s">
        <v>1901</v>
      </c>
      <c r="V113" s="10">
        <v>0</v>
      </c>
      <c r="W113" s="11" t="str">
        <f t="shared" si="1"/>
        <v>(1806,null,1,'2026-03-24 00:00:00','353204000040000-320400004','353204000040000-320400004','左心耳封堵术',null,null,3050,2900,2320,null,3150,2850,2450,'次',23,1,'normal','main',0),</v>
      </c>
    </row>
    <row r="114" ht="15.75" spans="1:23">
      <c r="A114">
        <v>1807</v>
      </c>
      <c r="B114" t="s">
        <v>1898</v>
      </c>
      <c r="C114">
        <v>1</v>
      </c>
      <c r="D114" s="9" t="s">
        <v>1899</v>
      </c>
      <c r="E114" t="s">
        <v>590</v>
      </c>
      <c r="F114" t="s">
        <v>590</v>
      </c>
      <c r="G114" t="s">
        <v>591</v>
      </c>
      <c r="H114" t="s">
        <v>1898</v>
      </c>
      <c r="I114" t="s">
        <v>1898</v>
      </c>
      <c r="J114">
        <v>4485</v>
      </c>
      <c r="K114">
        <v>4225</v>
      </c>
      <c r="L114">
        <v>3380</v>
      </c>
      <c r="M114" t="s">
        <v>1898</v>
      </c>
      <c r="N114" s="6">
        <v>4095</v>
      </c>
      <c r="O114" s="6">
        <v>3705</v>
      </c>
      <c r="P114" s="6">
        <v>3185</v>
      </c>
      <c r="Q114" t="s">
        <v>54</v>
      </c>
      <c r="R114">
        <v>23</v>
      </c>
      <c r="S114">
        <v>1</v>
      </c>
      <c r="T114" s="8" t="s">
        <v>1902</v>
      </c>
      <c r="U114" s="8" t="s">
        <v>1901</v>
      </c>
      <c r="V114" s="10">
        <v>0</v>
      </c>
      <c r="W114" s="11" t="str">
        <f t="shared" si="1"/>
        <v>(1807,null,1,'2026-03-24 00:00:00','003204000030000-32040000301','003204000030000-32040000301','小儿先心病介入治疗',null,null,4485,4225,3380,null,4095,3705,3185,'次',23,1,'normal','main',0),</v>
      </c>
    </row>
    <row r="115" ht="15.75" spans="1:23">
      <c r="A115">
        <v>1808</v>
      </c>
      <c r="B115" t="s">
        <v>1898</v>
      </c>
      <c r="C115">
        <v>1</v>
      </c>
      <c r="D115" s="9" t="s">
        <v>1899</v>
      </c>
      <c r="E115" t="s">
        <v>592</v>
      </c>
      <c r="F115" t="s">
        <v>592</v>
      </c>
      <c r="G115" t="s">
        <v>593</v>
      </c>
      <c r="H115" t="s">
        <v>1898</v>
      </c>
      <c r="I115" t="s">
        <v>1898</v>
      </c>
      <c r="J115">
        <v>3965</v>
      </c>
      <c r="K115">
        <v>3770</v>
      </c>
      <c r="L115">
        <v>3015</v>
      </c>
      <c r="M115" t="s">
        <v>1898</v>
      </c>
      <c r="N115" s="6">
        <v>4095</v>
      </c>
      <c r="O115" s="6">
        <v>3705</v>
      </c>
      <c r="P115" s="6">
        <v>3185</v>
      </c>
      <c r="Q115" t="s">
        <v>54</v>
      </c>
      <c r="R115">
        <v>23</v>
      </c>
      <c r="S115">
        <v>1</v>
      </c>
      <c r="T115" s="8" t="s">
        <v>1902</v>
      </c>
      <c r="U115" s="8" t="s">
        <v>1901</v>
      </c>
      <c r="V115" s="10">
        <v>0</v>
      </c>
      <c r="W115" s="11" t="str">
        <f t="shared" si="1"/>
        <v>(1808,null,1,'2026-03-24 00:00:00','353204000040000-32040000401','353204000040000-32040000401','小儿左心耳封堵术',null,null,3965,3770,3015,null,4095,3705,3185,'次',23,1,'normal','main',0),</v>
      </c>
    </row>
    <row r="116" ht="15.75" spans="1:23">
      <c r="A116">
        <v>1809</v>
      </c>
      <c r="B116" t="s">
        <v>1898</v>
      </c>
      <c r="C116">
        <v>1</v>
      </c>
      <c r="D116" s="9" t="s">
        <v>1899</v>
      </c>
      <c r="E116" t="s">
        <v>613</v>
      </c>
      <c r="F116" t="s">
        <v>613</v>
      </c>
      <c r="G116" t="s">
        <v>614</v>
      </c>
      <c r="H116" t="s">
        <v>1898</v>
      </c>
      <c r="I116" t="s">
        <v>1898</v>
      </c>
      <c r="J116">
        <v>5050</v>
      </c>
      <c r="K116">
        <v>4550</v>
      </c>
      <c r="L116">
        <v>3870</v>
      </c>
      <c r="M116" t="s">
        <v>1898</v>
      </c>
      <c r="N116" s="6">
        <v>2350</v>
      </c>
      <c r="O116" s="6">
        <v>2140</v>
      </c>
      <c r="P116" s="6">
        <v>1850</v>
      </c>
      <c r="Q116" t="s">
        <v>54</v>
      </c>
      <c r="R116">
        <v>23</v>
      </c>
      <c r="S116">
        <v>1</v>
      </c>
      <c r="T116" s="8" t="s">
        <v>1902</v>
      </c>
      <c r="U116" s="8" t="s">
        <v>1901</v>
      </c>
      <c r="V116" s="10">
        <v>0</v>
      </c>
      <c r="W116" s="11" t="str">
        <f t="shared" si="1"/>
        <v>(1809,null,1,'2026-03-24 00:00:00','003205000160000-320500016','003205000160000-320500016','肥厚型心肌病化学消融术',null,null,5050,4550,3870,null,2350,2140,1850,'次',23,1,'normal','main',0),</v>
      </c>
    </row>
    <row r="117" ht="15.75" spans="1:23">
      <c r="A117">
        <v>1810</v>
      </c>
      <c r="B117" t="s">
        <v>1898</v>
      </c>
      <c r="C117">
        <v>1</v>
      </c>
      <c r="D117" s="9" t="s">
        <v>1899</v>
      </c>
      <c r="E117" t="s">
        <v>615</v>
      </c>
      <c r="F117" t="s">
        <v>615</v>
      </c>
      <c r="G117" t="s">
        <v>616</v>
      </c>
      <c r="H117" t="s">
        <v>1898</v>
      </c>
      <c r="I117" t="s">
        <v>1898</v>
      </c>
      <c r="J117">
        <v>0</v>
      </c>
      <c r="K117">
        <v>0</v>
      </c>
      <c r="L117">
        <v>0</v>
      </c>
      <c r="M117" t="s">
        <v>1898</v>
      </c>
      <c r="N117" s="6">
        <v>2350</v>
      </c>
      <c r="O117" s="6">
        <v>2140</v>
      </c>
      <c r="P117" s="6">
        <v>1850</v>
      </c>
      <c r="Q117" t="s">
        <v>54</v>
      </c>
      <c r="R117">
        <v>23</v>
      </c>
      <c r="S117">
        <v>1</v>
      </c>
      <c r="T117" s="8" t="s">
        <v>1902</v>
      </c>
      <c r="U117" s="8" t="s">
        <v>1901</v>
      </c>
      <c r="V117" s="10">
        <v>0</v>
      </c>
      <c r="W117" s="11" t="str">
        <f t="shared" si="1"/>
        <v>(1810,null,1,'2026-03-24 00:00:00','003205000120000-320500012','003205000120000-320500012','经皮激光心肌血管重建术（PMR）',null,null,0,0,0,null,2350,2140,1850,'次',23,1,'normal','main',0),</v>
      </c>
    </row>
    <row r="118" ht="15.75" spans="1:23">
      <c r="A118">
        <v>1811</v>
      </c>
      <c r="B118" t="s">
        <v>1898</v>
      </c>
      <c r="C118">
        <v>1</v>
      </c>
      <c r="D118" s="9" t="s">
        <v>1899</v>
      </c>
      <c r="E118" t="s">
        <v>619</v>
      </c>
      <c r="F118" t="s">
        <v>619</v>
      </c>
      <c r="G118" t="s">
        <v>620</v>
      </c>
      <c r="H118" t="s">
        <v>1898</v>
      </c>
      <c r="I118" t="s">
        <v>1898</v>
      </c>
      <c r="J118">
        <v>6565</v>
      </c>
      <c r="K118">
        <v>5915</v>
      </c>
      <c r="L118">
        <v>5030</v>
      </c>
      <c r="M118" t="s">
        <v>1898</v>
      </c>
      <c r="N118">
        <v>3055</v>
      </c>
      <c r="O118">
        <v>2780</v>
      </c>
      <c r="P118">
        <v>2405</v>
      </c>
      <c r="Q118" t="s">
        <v>54</v>
      </c>
      <c r="R118">
        <v>23</v>
      </c>
      <c r="S118">
        <v>1</v>
      </c>
      <c r="T118" s="8" t="s">
        <v>1902</v>
      </c>
      <c r="U118" s="8" t="s">
        <v>1901</v>
      </c>
      <c r="V118" s="10">
        <v>0</v>
      </c>
      <c r="W118" s="11" t="str">
        <f t="shared" si="1"/>
        <v>(1811,null,1,'2026-03-24 00:00:00','003205000160000-32050001601','003205000160000-32050001601','小儿肥厚型心肌病化学消融术',null,null,6565,5915,5030,null,3055,2780,2405,'次',23,1,'normal','main',0),</v>
      </c>
    </row>
    <row r="119" ht="15.75" spans="1:23">
      <c r="A119">
        <v>1812</v>
      </c>
      <c r="B119" t="s">
        <v>1898</v>
      </c>
      <c r="C119">
        <v>1</v>
      </c>
      <c r="D119" s="9" t="s">
        <v>1899</v>
      </c>
      <c r="E119" t="s">
        <v>626</v>
      </c>
      <c r="F119" t="s">
        <v>626</v>
      </c>
      <c r="G119" t="s">
        <v>627</v>
      </c>
      <c r="H119" t="s">
        <v>1898</v>
      </c>
      <c r="I119" t="s">
        <v>1898</v>
      </c>
      <c r="J119">
        <v>2300</v>
      </c>
      <c r="K119">
        <v>2000</v>
      </c>
      <c r="L119">
        <v>1700</v>
      </c>
      <c r="M119" t="s">
        <v>1898</v>
      </c>
      <c r="N119" s="6">
        <v>2300</v>
      </c>
      <c r="O119" s="6">
        <v>2000</v>
      </c>
      <c r="P119" s="6">
        <v>1700</v>
      </c>
      <c r="Q119" t="s">
        <v>54</v>
      </c>
      <c r="R119">
        <v>23</v>
      </c>
      <c r="S119">
        <v>1</v>
      </c>
      <c r="T119" s="8" t="s">
        <v>1902</v>
      </c>
      <c r="U119" s="8" t="s">
        <v>1901</v>
      </c>
      <c r="V119" s="10">
        <v>0</v>
      </c>
      <c r="W119" s="11" t="str">
        <f t="shared" si="1"/>
        <v>(1812,null,1,'2026-03-24 00:00:00','003107020040000-310702004','003107020040000-310702004','射频消融术',null,null,2300,2000,1700,null,2300,2000,1700,'次',23,1,'normal','main',0),</v>
      </c>
    </row>
    <row r="120" ht="15.75" spans="1:23">
      <c r="A120">
        <v>1813</v>
      </c>
      <c r="B120" t="s">
        <v>1898</v>
      </c>
      <c r="C120">
        <v>1</v>
      </c>
      <c r="D120" s="9" t="s">
        <v>1899</v>
      </c>
      <c r="E120" t="s">
        <v>630</v>
      </c>
      <c r="F120" t="s">
        <v>630</v>
      </c>
      <c r="G120" t="s">
        <v>631</v>
      </c>
      <c r="H120" t="s">
        <v>1898</v>
      </c>
      <c r="I120" t="s">
        <v>1898</v>
      </c>
      <c r="J120">
        <v>3500</v>
      </c>
      <c r="K120">
        <v>3360</v>
      </c>
      <c r="L120">
        <v>2856</v>
      </c>
      <c r="M120" t="s">
        <v>1898</v>
      </c>
      <c r="N120" s="6">
        <v>2300</v>
      </c>
      <c r="O120" s="6">
        <v>2000</v>
      </c>
      <c r="P120" s="6">
        <v>1700</v>
      </c>
      <c r="Q120" t="s">
        <v>54</v>
      </c>
      <c r="R120">
        <v>23</v>
      </c>
      <c r="S120">
        <v>1</v>
      </c>
      <c r="T120" s="8" t="s">
        <v>1902</v>
      </c>
      <c r="U120" s="8" t="s">
        <v>1901</v>
      </c>
      <c r="V120" s="10">
        <v>0</v>
      </c>
      <c r="W120" s="11" t="str">
        <f t="shared" si="1"/>
        <v>(1813,null,1,'2026-03-24 00:00:00','003308030150000-330803015','003308030150000-330803015','心脏异常传导束切断术',null,null,3500,3360,2856,null,2300,2000,1700,'次',23,1,'normal','main',0),</v>
      </c>
    </row>
    <row r="121" ht="15.75" spans="1:23">
      <c r="A121">
        <v>1814</v>
      </c>
      <c r="B121" t="s">
        <v>1898</v>
      </c>
      <c r="C121">
        <v>1</v>
      </c>
      <c r="D121" s="9" t="s">
        <v>1899</v>
      </c>
      <c r="E121" t="s">
        <v>634</v>
      </c>
      <c r="F121" t="s">
        <v>634</v>
      </c>
      <c r="G121" t="s">
        <v>635</v>
      </c>
      <c r="H121" t="s">
        <v>1898</v>
      </c>
      <c r="I121" t="s">
        <v>1898</v>
      </c>
      <c r="J121">
        <v>3750</v>
      </c>
      <c r="K121">
        <v>3600</v>
      </c>
      <c r="L121">
        <v>3060</v>
      </c>
      <c r="M121" t="s">
        <v>1898</v>
      </c>
      <c r="N121" s="6">
        <v>2300</v>
      </c>
      <c r="O121" s="6">
        <v>2000</v>
      </c>
      <c r="P121" s="6">
        <v>1700</v>
      </c>
      <c r="Q121" t="s">
        <v>54</v>
      </c>
      <c r="R121">
        <v>23</v>
      </c>
      <c r="S121">
        <v>1</v>
      </c>
      <c r="T121" s="8" t="s">
        <v>1902</v>
      </c>
      <c r="U121" s="8" t="s">
        <v>1901</v>
      </c>
      <c r="V121" s="10">
        <v>0</v>
      </c>
      <c r="W121" s="11" t="str">
        <f t="shared" si="1"/>
        <v>(1814,null,1,'2026-03-24 00:00:00','003308030150100-33080301501','003308030150100-33080301501','心脏异常传导束切断术（电切法）',null,null,3750,3600,3060,null,2300,2000,1700,'次',23,1,'normal','main',0),</v>
      </c>
    </row>
    <row r="122" ht="15.75" spans="1:23">
      <c r="A122">
        <v>1815</v>
      </c>
      <c r="B122" t="s">
        <v>1898</v>
      </c>
      <c r="C122">
        <v>1</v>
      </c>
      <c r="D122" s="9" t="s">
        <v>1899</v>
      </c>
      <c r="E122" t="s">
        <v>639</v>
      </c>
      <c r="F122" t="s">
        <v>639</v>
      </c>
      <c r="G122" t="s">
        <v>640</v>
      </c>
      <c r="H122" t="s">
        <v>1898</v>
      </c>
      <c r="I122" t="s">
        <v>1898</v>
      </c>
      <c r="J122">
        <v>4550</v>
      </c>
      <c r="K122">
        <v>4370</v>
      </c>
      <c r="L122">
        <v>3715</v>
      </c>
      <c r="M122" t="s">
        <v>1898</v>
      </c>
      <c r="N122" s="6">
        <v>2990</v>
      </c>
      <c r="O122" s="6">
        <v>2600</v>
      </c>
      <c r="P122" s="6">
        <v>2210</v>
      </c>
      <c r="Q122" t="s">
        <v>54</v>
      </c>
      <c r="R122">
        <v>23</v>
      </c>
      <c r="S122">
        <v>1</v>
      </c>
      <c r="T122" s="8" t="s">
        <v>1902</v>
      </c>
      <c r="U122" s="8" t="s">
        <v>1901</v>
      </c>
      <c r="V122" s="10">
        <v>0</v>
      </c>
      <c r="W122" s="11" t="str">
        <f t="shared" si="1"/>
        <v>(1815,null,1,'2026-03-24 00:00:00','003308030150000-33080301502','003308030150000-33080301502','小儿心脏异常传导束切断术',null,null,4550,4370,3715,null,2990,2600,2210,'次',23,1,'normal','main',0),</v>
      </c>
    </row>
    <row r="123" ht="15.75" spans="1:23">
      <c r="A123">
        <v>1816</v>
      </c>
      <c r="B123" t="s">
        <v>1898</v>
      </c>
      <c r="C123">
        <v>1</v>
      </c>
      <c r="D123" s="9" t="s">
        <v>1899</v>
      </c>
      <c r="E123" t="s">
        <v>641</v>
      </c>
      <c r="F123" t="s">
        <v>641</v>
      </c>
      <c r="G123" t="s">
        <v>642</v>
      </c>
      <c r="H123" t="s">
        <v>1898</v>
      </c>
      <c r="I123" t="s">
        <v>1898</v>
      </c>
      <c r="J123">
        <v>4875</v>
      </c>
      <c r="K123">
        <v>4680</v>
      </c>
      <c r="L123">
        <v>3980</v>
      </c>
      <c r="M123" t="s">
        <v>1898</v>
      </c>
      <c r="N123" s="6">
        <v>2990</v>
      </c>
      <c r="O123" s="6">
        <v>2600</v>
      </c>
      <c r="P123" s="6">
        <v>2210</v>
      </c>
      <c r="Q123" t="s">
        <v>54</v>
      </c>
      <c r="R123">
        <v>23</v>
      </c>
      <c r="S123">
        <v>1</v>
      </c>
      <c r="T123" s="8" t="s">
        <v>1902</v>
      </c>
      <c r="U123" s="8" t="s">
        <v>1901</v>
      </c>
      <c r="V123" s="10">
        <v>0</v>
      </c>
      <c r="W123" s="11" t="str">
        <f t="shared" si="1"/>
        <v>(1816,null,1,'2026-03-24 00:00:00','003308030150100-33080301503','003308030150100-33080301503','小儿心脏异常传导束切断术（电切法）',null,null,4875,4680,3980,null,2990,2600,2210,'次',23,1,'normal','main',0),</v>
      </c>
    </row>
    <row r="124" ht="15.75" spans="1:23">
      <c r="A124">
        <v>1817</v>
      </c>
      <c r="B124" t="s">
        <v>1898</v>
      </c>
      <c r="C124">
        <v>1</v>
      </c>
      <c r="D124" s="9" t="s">
        <v>1899</v>
      </c>
      <c r="E124" t="s">
        <v>666</v>
      </c>
      <c r="F124" t="s">
        <v>666</v>
      </c>
      <c r="G124" t="s">
        <v>667</v>
      </c>
      <c r="H124" t="s">
        <v>1898</v>
      </c>
      <c r="I124" t="s">
        <v>1898</v>
      </c>
      <c r="J124">
        <v>1035</v>
      </c>
      <c r="K124">
        <v>900</v>
      </c>
      <c r="L124">
        <v>765</v>
      </c>
      <c r="M124" t="s">
        <v>1898</v>
      </c>
      <c r="N124" s="6">
        <v>1035</v>
      </c>
      <c r="O124" s="6">
        <v>900</v>
      </c>
      <c r="P124" s="6">
        <v>765</v>
      </c>
      <c r="Q124" t="s">
        <v>54</v>
      </c>
      <c r="R124">
        <v>23</v>
      </c>
      <c r="S124">
        <v>1</v>
      </c>
      <c r="T124" s="8" t="s">
        <v>1902</v>
      </c>
      <c r="U124" s="8" t="s">
        <v>1901</v>
      </c>
      <c r="V124" s="10">
        <v>0</v>
      </c>
      <c r="W124" s="11" t="str">
        <f t="shared" si="1"/>
        <v>(1817,null,1,'2026-03-24 00:00:00','003107020030000-310702003','003107020030000-310702003','有创性心内电生理检查',null,null,1035,900,765,null,1035,900,765,'次',23,1,'normal','main',0),</v>
      </c>
    </row>
    <row r="125" ht="15.75" spans="1:23">
      <c r="A125">
        <v>1818</v>
      </c>
      <c r="B125" t="s">
        <v>1898</v>
      </c>
      <c r="C125">
        <v>1</v>
      </c>
      <c r="D125" s="9" t="s">
        <v>1899</v>
      </c>
      <c r="E125" t="s">
        <v>670</v>
      </c>
      <c r="F125" t="s">
        <v>670</v>
      </c>
      <c r="G125" t="s">
        <v>671</v>
      </c>
      <c r="H125" t="s">
        <v>1898</v>
      </c>
      <c r="I125" t="s">
        <v>1898</v>
      </c>
      <c r="J125">
        <v>1035</v>
      </c>
      <c r="K125">
        <v>900</v>
      </c>
      <c r="L125">
        <v>765</v>
      </c>
      <c r="M125" t="s">
        <v>1898</v>
      </c>
      <c r="N125" s="6">
        <v>1035</v>
      </c>
      <c r="O125" s="6">
        <v>900</v>
      </c>
      <c r="P125" s="6">
        <v>765</v>
      </c>
      <c r="Q125" t="s">
        <v>54</v>
      </c>
      <c r="R125">
        <v>23</v>
      </c>
      <c r="S125">
        <v>1</v>
      </c>
      <c r="T125" s="8" t="s">
        <v>1902</v>
      </c>
      <c r="U125" s="8" t="s">
        <v>1901</v>
      </c>
      <c r="V125" s="10">
        <v>0</v>
      </c>
      <c r="W125" s="11" t="str">
        <f t="shared" si="1"/>
        <v>(1818,null,1,'2026-03-24 00:00:00','003107020030000-31070200302','003107020030000-31070200302','有创性心内电生理检查（窦房结功能测定术）',null,null,1035,900,765,null,1035,900,765,'次',23,1,'normal','main',0),</v>
      </c>
    </row>
    <row r="126" ht="15.75" spans="1:23">
      <c r="A126">
        <v>1819</v>
      </c>
      <c r="B126" t="s">
        <v>1898</v>
      </c>
      <c r="C126">
        <v>1</v>
      </c>
      <c r="D126" s="9" t="s">
        <v>1899</v>
      </c>
      <c r="E126" t="s">
        <v>679</v>
      </c>
      <c r="F126" t="s">
        <v>679</v>
      </c>
      <c r="G126" t="s">
        <v>680</v>
      </c>
      <c r="H126" t="s">
        <v>1898</v>
      </c>
      <c r="I126" t="s">
        <v>1898</v>
      </c>
      <c r="J126">
        <v>720</v>
      </c>
      <c r="K126">
        <v>650</v>
      </c>
      <c r="L126">
        <v>550</v>
      </c>
      <c r="M126" t="s">
        <v>1898</v>
      </c>
      <c r="N126">
        <v>720</v>
      </c>
      <c r="O126">
        <v>650</v>
      </c>
      <c r="P126">
        <v>550</v>
      </c>
      <c r="Q126" t="s">
        <v>54</v>
      </c>
      <c r="R126">
        <v>23</v>
      </c>
      <c r="S126">
        <v>1</v>
      </c>
      <c r="T126" s="8" t="s">
        <v>1902</v>
      </c>
      <c r="U126" s="8" t="s">
        <v>1901</v>
      </c>
      <c r="V126" s="10">
        <v>0</v>
      </c>
      <c r="W126" s="11" t="str">
        <f t="shared" si="1"/>
        <v>(1819,null,1,'2026-03-24 00:00:00','353107010380000-310701031','353107010380000-310701031','植入式心电事件记录器安置术',null,null,720,650,550,null,720,650,550,'次',23,1,'normal','main',0),</v>
      </c>
    </row>
    <row r="127" ht="15.75" spans="1:23">
      <c r="A127">
        <v>1820</v>
      </c>
      <c r="B127" t="s">
        <v>1898</v>
      </c>
      <c r="C127">
        <v>1</v>
      </c>
      <c r="D127" s="9" t="s">
        <v>1899</v>
      </c>
      <c r="E127" t="s">
        <v>689</v>
      </c>
      <c r="F127" t="s">
        <v>689</v>
      </c>
      <c r="G127" t="s">
        <v>690</v>
      </c>
      <c r="H127" t="s">
        <v>1898</v>
      </c>
      <c r="I127" t="s">
        <v>1898</v>
      </c>
      <c r="J127">
        <v>270</v>
      </c>
      <c r="K127">
        <v>245</v>
      </c>
      <c r="L127">
        <v>210</v>
      </c>
      <c r="M127" t="s">
        <v>1898</v>
      </c>
      <c r="N127">
        <v>270</v>
      </c>
      <c r="O127">
        <v>245</v>
      </c>
      <c r="P127">
        <v>210</v>
      </c>
      <c r="Q127" t="s">
        <v>54</v>
      </c>
      <c r="R127">
        <v>23</v>
      </c>
      <c r="S127">
        <v>1</v>
      </c>
      <c r="T127" s="8" t="s">
        <v>1902</v>
      </c>
      <c r="U127" s="8" t="s">
        <v>1901</v>
      </c>
      <c r="V127" s="10">
        <v>0</v>
      </c>
      <c r="W127" s="11" t="str">
        <f t="shared" si="1"/>
        <v>(1820,null,1,'2026-03-24 00:00:00','353107010320000-310701032','353107010320000-310701032','植入式心电事件记录器取出术',null,null,270,245,210,null,270,245,210,'次',23,1,'normal','main',0),</v>
      </c>
    </row>
    <row r="128" ht="15.75" spans="1:23">
      <c r="A128">
        <v>1821</v>
      </c>
      <c r="B128" t="s">
        <v>1898</v>
      </c>
      <c r="C128">
        <v>1</v>
      </c>
      <c r="D128" s="9" t="s">
        <v>1899</v>
      </c>
      <c r="E128" t="s">
        <v>700</v>
      </c>
      <c r="F128" t="s">
        <v>700</v>
      </c>
      <c r="G128" t="s">
        <v>701</v>
      </c>
      <c r="H128" t="s">
        <v>1898</v>
      </c>
      <c r="I128" t="s">
        <v>1898</v>
      </c>
      <c r="J128">
        <v>1150</v>
      </c>
      <c r="K128">
        <v>1000</v>
      </c>
      <c r="L128">
        <v>850</v>
      </c>
      <c r="M128" t="s">
        <v>1898</v>
      </c>
      <c r="N128" s="6">
        <v>1435</v>
      </c>
      <c r="O128" s="6">
        <v>1250</v>
      </c>
      <c r="P128" s="6">
        <v>1065</v>
      </c>
      <c r="Q128" t="s">
        <v>54</v>
      </c>
      <c r="R128">
        <v>23</v>
      </c>
      <c r="S128">
        <v>1</v>
      </c>
      <c r="T128" s="8" t="s">
        <v>1902</v>
      </c>
      <c r="U128" s="8" t="s">
        <v>1901</v>
      </c>
      <c r="V128" s="10">
        <v>0</v>
      </c>
      <c r="W128" s="11" t="str">
        <f t="shared" si="1"/>
        <v>(1821,null,1,'2026-03-24 00:00:00','003107020070000-310702007','003107020070000-310702007','永久起搏器安置术',null,null,1150,1000,850,null,1435,1250,1065,'次',23,1,'normal','main',0),</v>
      </c>
    </row>
    <row r="129" ht="15.75" spans="1:23">
      <c r="A129">
        <v>1822</v>
      </c>
      <c r="B129" t="s">
        <v>1898</v>
      </c>
      <c r="C129">
        <v>1</v>
      </c>
      <c r="D129" s="9" t="s">
        <v>1899</v>
      </c>
      <c r="E129" t="s">
        <v>709</v>
      </c>
      <c r="F129" t="s">
        <v>709</v>
      </c>
      <c r="G129" t="s">
        <v>710</v>
      </c>
      <c r="H129" t="s">
        <v>1898</v>
      </c>
      <c r="I129" t="s">
        <v>1898</v>
      </c>
      <c r="J129">
        <v>2300</v>
      </c>
      <c r="K129">
        <v>2000</v>
      </c>
      <c r="L129">
        <v>1700</v>
      </c>
      <c r="M129" t="s">
        <v>1898</v>
      </c>
      <c r="N129" s="6">
        <v>1435</v>
      </c>
      <c r="O129" s="6">
        <v>1250</v>
      </c>
      <c r="P129" s="6">
        <v>1065</v>
      </c>
      <c r="Q129" t="s">
        <v>54</v>
      </c>
      <c r="R129">
        <v>23</v>
      </c>
      <c r="S129">
        <v>1</v>
      </c>
      <c r="T129" s="8" t="s">
        <v>1902</v>
      </c>
      <c r="U129" s="8" t="s">
        <v>1901</v>
      </c>
      <c r="V129" s="10">
        <v>0</v>
      </c>
      <c r="W129" s="11" t="str">
        <f t="shared" si="1"/>
        <v>(1822,null,1,'2026-03-24 00:00:00','003107020090000-310702009','003107020090000-310702009','埋藏式心脏复律除颤器安置术',null,null,2300,2000,1700,null,1435,1250,1065,'次',23,1,'normal','main',0),</v>
      </c>
    </row>
    <row r="130" ht="15.75" spans="1:23">
      <c r="A130">
        <v>1823</v>
      </c>
      <c r="B130" t="s">
        <v>1898</v>
      </c>
      <c r="C130">
        <v>1</v>
      </c>
      <c r="D130" s="9" t="s">
        <v>1899</v>
      </c>
      <c r="E130" t="s">
        <v>719</v>
      </c>
      <c r="F130" t="s">
        <v>719</v>
      </c>
      <c r="G130" t="s">
        <v>720</v>
      </c>
      <c r="H130" t="s">
        <v>1898</v>
      </c>
      <c r="I130" t="s">
        <v>1898</v>
      </c>
      <c r="J130">
        <v>1380</v>
      </c>
      <c r="K130">
        <v>1200</v>
      </c>
      <c r="L130">
        <v>1020</v>
      </c>
      <c r="M130" t="s">
        <v>1898</v>
      </c>
      <c r="N130">
        <v>1380</v>
      </c>
      <c r="O130">
        <v>1200</v>
      </c>
      <c r="P130">
        <v>1020</v>
      </c>
      <c r="Q130" t="s">
        <v>54</v>
      </c>
      <c r="R130">
        <v>23</v>
      </c>
      <c r="S130">
        <v>1</v>
      </c>
      <c r="T130" s="8" t="s">
        <v>1902</v>
      </c>
      <c r="U130" s="8" t="s">
        <v>1901</v>
      </c>
      <c r="V130" s="10">
        <v>0</v>
      </c>
      <c r="W130" s="11" t="str">
        <f t="shared" si="1"/>
        <v>(1823,null,1,'2026-03-24 00:00:00','003107020080000-31070200802','003107020080000-31070200802','永久起搏器更换术（起搏导线拔除加收）',null,null,1380,1200,1020,null,1380,1200,1020,'次',23,1,'normal','main',0),</v>
      </c>
    </row>
    <row r="131" ht="15.75" spans="1:23">
      <c r="A131">
        <v>1824</v>
      </c>
      <c r="B131" t="s">
        <v>1898</v>
      </c>
      <c r="C131">
        <v>1</v>
      </c>
      <c r="D131" s="9" t="s">
        <v>1899</v>
      </c>
      <c r="E131" t="s">
        <v>734</v>
      </c>
      <c r="F131" t="s">
        <v>734</v>
      </c>
      <c r="G131" t="s">
        <v>735</v>
      </c>
      <c r="H131" t="s">
        <v>1898</v>
      </c>
      <c r="I131" t="s">
        <v>1898</v>
      </c>
      <c r="J131">
        <v>1150</v>
      </c>
      <c r="K131">
        <v>1000</v>
      </c>
      <c r="L131">
        <v>850</v>
      </c>
      <c r="M131" t="s">
        <v>1898</v>
      </c>
      <c r="N131">
        <v>1035</v>
      </c>
      <c r="O131">
        <v>900</v>
      </c>
      <c r="P131">
        <v>765</v>
      </c>
      <c r="Q131" t="s">
        <v>54</v>
      </c>
      <c r="R131">
        <v>23</v>
      </c>
      <c r="S131">
        <v>1</v>
      </c>
      <c r="T131" s="8" t="s">
        <v>1902</v>
      </c>
      <c r="U131" s="8" t="s">
        <v>1901</v>
      </c>
      <c r="V131" s="10">
        <v>0</v>
      </c>
      <c r="W131" s="11" t="str">
        <f t="shared" ref="W131:W194" si="2">"("&amp;A131&amp;","&amp;B131&amp;","&amp;C131&amp;",'"&amp;D131&amp;"','"&amp;E131&amp;"','"&amp;F131&amp;"','"&amp;G131&amp;"',"&amp;H131&amp;","&amp;I131&amp;","&amp;J131&amp;","&amp;K131&amp;","&amp;L131&amp;","&amp;M131&amp;","&amp;N131&amp;","&amp;O131&amp;","&amp;P131&amp;",'"&amp;Q131&amp;"',"&amp;R131&amp;","&amp;S131&amp;",'"&amp;T131&amp;"','"&amp;U131&amp;"',"&amp;V131&amp;"),"</f>
        <v>(1824,null,1,'2026-03-24 00:00:00','003107020080000-310702008','003107020080000-310702008','永久起搏器更换术',null,null,1150,1000,850,null,1035,900,765,'次',23,1,'normal','main',0),</v>
      </c>
    </row>
    <row r="132" ht="15.75" spans="1:23">
      <c r="A132">
        <v>1825</v>
      </c>
      <c r="B132" t="s">
        <v>1898</v>
      </c>
      <c r="C132">
        <v>1</v>
      </c>
      <c r="D132" s="9" t="s">
        <v>1899</v>
      </c>
      <c r="E132" t="s">
        <v>753</v>
      </c>
      <c r="F132" t="s">
        <v>753</v>
      </c>
      <c r="G132" t="s">
        <v>754</v>
      </c>
      <c r="H132" t="s">
        <v>1898</v>
      </c>
      <c r="I132" t="s">
        <v>1898</v>
      </c>
      <c r="J132">
        <v>575</v>
      </c>
      <c r="K132">
        <v>500</v>
      </c>
      <c r="L132">
        <v>425</v>
      </c>
      <c r="M132" t="s">
        <v>1898</v>
      </c>
      <c r="N132">
        <v>575</v>
      </c>
      <c r="O132">
        <v>500</v>
      </c>
      <c r="P132">
        <v>425</v>
      </c>
      <c r="Q132" t="s">
        <v>54</v>
      </c>
      <c r="R132">
        <v>23</v>
      </c>
      <c r="S132">
        <v>1</v>
      </c>
      <c r="T132" s="8" t="s">
        <v>1902</v>
      </c>
      <c r="U132" s="8" t="s">
        <v>1901</v>
      </c>
      <c r="V132" s="10">
        <v>0</v>
      </c>
      <c r="W132" s="11" t="str">
        <f t="shared" si="2"/>
        <v>(1825,null,1,'2026-03-24 00:00:00','003107020070000-31070200702','003107020070000-31070200702','永久起搏器安置术-起搏器囊袋修复',null,null,575,500,425,null,575,500,425,'次',23,1,'normal','main',0),</v>
      </c>
    </row>
    <row r="133" ht="15.75" spans="1:23">
      <c r="A133">
        <v>1826</v>
      </c>
      <c r="B133" t="s">
        <v>1898</v>
      </c>
      <c r="C133">
        <v>1</v>
      </c>
      <c r="D133" s="9" t="s">
        <v>1899</v>
      </c>
      <c r="E133" t="s">
        <v>764</v>
      </c>
      <c r="F133" t="s">
        <v>764</v>
      </c>
      <c r="G133" t="s">
        <v>766</v>
      </c>
      <c r="H133" t="s">
        <v>1898</v>
      </c>
      <c r="I133" t="s">
        <v>1898</v>
      </c>
      <c r="J133">
        <v>517.5</v>
      </c>
      <c r="K133">
        <v>450</v>
      </c>
      <c r="L133">
        <v>382.5</v>
      </c>
      <c r="M133" t="s">
        <v>1898</v>
      </c>
      <c r="N133" s="6">
        <v>470</v>
      </c>
      <c r="O133" s="6">
        <v>430</v>
      </c>
      <c r="P133" s="6">
        <v>370</v>
      </c>
      <c r="Q133" t="s">
        <v>54</v>
      </c>
      <c r="R133">
        <v>23</v>
      </c>
      <c r="S133">
        <v>1</v>
      </c>
      <c r="T133" s="8" t="s">
        <v>1902</v>
      </c>
      <c r="U133" s="8" t="s">
        <v>1901</v>
      </c>
      <c r="V133" s="10">
        <v>0</v>
      </c>
      <c r="W133" s="11" t="str">
        <f t="shared" si="2"/>
        <v>(1826,null,1,'2026-03-24 00:00:00','003107020050000-310702005','003107020050000-310702005','临时起搏器安置术',null,null,517.5,450,382.5,null,470,430,370,'次',23,1,'normal','main',0),</v>
      </c>
    </row>
    <row r="134" ht="15.75" spans="1:23">
      <c r="A134">
        <v>1827</v>
      </c>
      <c r="B134" t="s">
        <v>1898</v>
      </c>
      <c r="C134">
        <v>1</v>
      </c>
      <c r="D134" s="9" t="s">
        <v>1899</v>
      </c>
      <c r="E134" t="s">
        <v>768</v>
      </c>
      <c r="F134" t="s">
        <v>768</v>
      </c>
      <c r="G134" t="s">
        <v>769</v>
      </c>
      <c r="H134" t="s">
        <v>1898</v>
      </c>
      <c r="I134" t="s">
        <v>1898</v>
      </c>
      <c r="J134">
        <v>250</v>
      </c>
      <c r="K134">
        <v>240</v>
      </c>
      <c r="L134">
        <v>204</v>
      </c>
      <c r="M134" t="s">
        <v>1898</v>
      </c>
      <c r="N134" s="6">
        <v>470</v>
      </c>
      <c r="O134" s="6">
        <v>430</v>
      </c>
      <c r="P134" s="6">
        <v>370</v>
      </c>
      <c r="Q134" t="s">
        <v>54</v>
      </c>
      <c r="R134">
        <v>23</v>
      </c>
      <c r="S134">
        <v>1</v>
      </c>
      <c r="T134" s="8" t="s">
        <v>1902</v>
      </c>
      <c r="U134" s="8" t="s">
        <v>1901</v>
      </c>
      <c r="V134" s="10">
        <v>0</v>
      </c>
      <c r="W134" s="11" t="str">
        <f t="shared" si="2"/>
        <v>(1827,null,1,'2026-03-24 00:00:00','003308030170000-330803017','003308030170000-330803017','心脏表面临时起搏器安置术',null,null,250,240,204,null,470,430,370,'次',23,1,'normal','main',0),</v>
      </c>
    </row>
    <row r="135" ht="15.75" spans="1:23">
      <c r="A135">
        <v>1828</v>
      </c>
      <c r="B135" t="s">
        <v>1898</v>
      </c>
      <c r="C135">
        <v>1</v>
      </c>
      <c r="D135" s="9" t="s">
        <v>1899</v>
      </c>
      <c r="E135" t="s">
        <v>774</v>
      </c>
      <c r="F135" t="s">
        <v>774</v>
      </c>
      <c r="G135" t="s">
        <v>775</v>
      </c>
      <c r="H135" t="s">
        <v>1898</v>
      </c>
      <c r="I135" t="s">
        <v>1898</v>
      </c>
      <c r="J135">
        <v>325</v>
      </c>
      <c r="K135">
        <v>310</v>
      </c>
      <c r="L135">
        <v>265</v>
      </c>
      <c r="M135" t="s">
        <v>1898</v>
      </c>
      <c r="N135">
        <v>610</v>
      </c>
      <c r="O135">
        <v>560</v>
      </c>
      <c r="P135">
        <v>480</v>
      </c>
      <c r="Q135" t="s">
        <v>54</v>
      </c>
      <c r="R135">
        <v>23</v>
      </c>
      <c r="S135">
        <v>1</v>
      </c>
      <c r="T135" s="8" t="s">
        <v>1902</v>
      </c>
      <c r="U135" s="8" t="s">
        <v>1901</v>
      </c>
      <c r="V135" s="10">
        <v>0</v>
      </c>
      <c r="W135" s="11" t="str">
        <f t="shared" si="2"/>
        <v>(1828,null,1,'2026-03-24 00:00:00','003308030170000-33080301702','003308030170000-33080301702','小儿心脏表面临时起搏器安置术',null,null,325,310,265,null,610,560,480,'次',23,1,'normal','main',0),</v>
      </c>
    </row>
    <row r="136" ht="15.75" spans="1:23">
      <c r="A136">
        <v>1829</v>
      </c>
      <c r="B136" t="s">
        <v>1898</v>
      </c>
      <c r="C136">
        <v>1</v>
      </c>
      <c r="D136" s="9" t="s">
        <v>1899</v>
      </c>
      <c r="E136" t="s">
        <v>788</v>
      </c>
      <c r="F136" t="s">
        <v>788</v>
      </c>
      <c r="G136" t="s">
        <v>789</v>
      </c>
      <c r="H136" t="s">
        <v>1898</v>
      </c>
      <c r="I136" t="s">
        <v>1898</v>
      </c>
      <c r="J136">
        <v>5.8</v>
      </c>
      <c r="K136">
        <v>5</v>
      </c>
      <c r="L136">
        <v>4.3</v>
      </c>
      <c r="M136" t="s">
        <v>1898</v>
      </c>
      <c r="N136" s="6">
        <v>5</v>
      </c>
      <c r="O136" s="6">
        <v>4.5</v>
      </c>
      <c r="P136" s="6">
        <v>4.3</v>
      </c>
      <c r="Q136" t="s">
        <v>39</v>
      </c>
      <c r="R136">
        <v>23</v>
      </c>
      <c r="S136">
        <v>1</v>
      </c>
      <c r="T136" s="8" t="s">
        <v>1902</v>
      </c>
      <c r="U136" s="8" t="s">
        <v>1901</v>
      </c>
      <c r="V136" s="10">
        <v>0</v>
      </c>
      <c r="W136" s="11" t="str">
        <f t="shared" si="2"/>
        <v>(1829,null,1,'2026-03-24 00:00:00','003107020060000-310702006','003107020060000-310702006','临时起搏器应用',null,null,5.8,5,4.3,null,5,4.5,4.3,'小时',23,1,'normal','main',0),</v>
      </c>
    </row>
    <row r="137" ht="15.75" spans="1:23">
      <c r="A137">
        <v>1830</v>
      </c>
      <c r="B137" t="s">
        <v>1898</v>
      </c>
      <c r="C137">
        <v>1</v>
      </c>
      <c r="D137" s="9" t="s">
        <v>1899</v>
      </c>
      <c r="E137" t="s">
        <v>790</v>
      </c>
      <c r="F137" t="s">
        <v>790</v>
      </c>
      <c r="G137" t="s">
        <v>791</v>
      </c>
      <c r="H137" t="s">
        <v>1898</v>
      </c>
      <c r="I137" t="s">
        <v>1898</v>
      </c>
      <c r="J137">
        <v>12.5</v>
      </c>
      <c r="K137">
        <v>12</v>
      </c>
      <c r="L137">
        <v>10.2</v>
      </c>
      <c r="M137" t="s">
        <v>1898</v>
      </c>
      <c r="N137" s="6">
        <v>5</v>
      </c>
      <c r="O137" s="6">
        <v>4.5</v>
      </c>
      <c r="P137" s="6">
        <v>4.3</v>
      </c>
      <c r="Q137" t="s">
        <v>39</v>
      </c>
      <c r="R137">
        <v>23</v>
      </c>
      <c r="S137">
        <v>1</v>
      </c>
      <c r="T137" s="8" t="s">
        <v>1902</v>
      </c>
      <c r="U137" s="8" t="s">
        <v>1901</v>
      </c>
      <c r="V137" s="10">
        <v>0</v>
      </c>
      <c r="W137" s="11" t="str">
        <f t="shared" si="2"/>
        <v>(1830,null,1,'2026-03-24 00:00:00','003308030170000-33080301701','003308030170000-33080301701','心脏表面临时起搏器安置术（起搏器应用）',null,null,12.5,12,10.2,null,5,4.5,4.3,'小时',23,1,'normal','main',0),</v>
      </c>
    </row>
    <row r="138" ht="15.75" spans="1:23">
      <c r="A138">
        <v>1831</v>
      </c>
      <c r="B138" t="s">
        <v>1898</v>
      </c>
      <c r="C138">
        <v>1</v>
      </c>
      <c r="D138" s="9" t="s">
        <v>1899</v>
      </c>
      <c r="E138" t="s">
        <v>798</v>
      </c>
      <c r="F138" t="s">
        <v>798</v>
      </c>
      <c r="G138" t="s">
        <v>799</v>
      </c>
      <c r="H138" t="s">
        <v>1898</v>
      </c>
      <c r="I138" t="s">
        <v>1898</v>
      </c>
      <c r="J138">
        <v>1000</v>
      </c>
      <c r="K138">
        <v>960</v>
      </c>
      <c r="L138">
        <v>816</v>
      </c>
      <c r="M138" t="s">
        <v>1898</v>
      </c>
      <c r="N138" s="6">
        <v>990</v>
      </c>
      <c r="O138" s="6">
        <v>890</v>
      </c>
      <c r="P138" s="6">
        <v>760</v>
      </c>
      <c r="Q138" t="s">
        <v>801</v>
      </c>
      <c r="R138">
        <v>23</v>
      </c>
      <c r="S138">
        <v>1</v>
      </c>
      <c r="T138" s="8" t="s">
        <v>1902</v>
      </c>
      <c r="U138" s="8" t="s">
        <v>1901</v>
      </c>
      <c r="V138" s="10">
        <v>0</v>
      </c>
      <c r="W138" s="11" t="str">
        <f t="shared" si="2"/>
        <v>(1831,null,1,'2026-03-24 00:00:00','003301000170000-330100017','003301000170000-330100017','体外循环',null,null,1000,960,816,null,990,890,760,'2小时',23,1,'normal','main',0),</v>
      </c>
    </row>
    <row r="139" ht="15.75" spans="1:23">
      <c r="A139">
        <v>1832</v>
      </c>
      <c r="B139" t="s">
        <v>1898</v>
      </c>
      <c r="C139">
        <v>1</v>
      </c>
      <c r="D139" s="9" t="s">
        <v>1899</v>
      </c>
      <c r="E139" t="s">
        <v>803</v>
      </c>
      <c r="F139" t="s">
        <v>803</v>
      </c>
      <c r="G139" t="s">
        <v>804</v>
      </c>
      <c r="H139" t="s">
        <v>1898</v>
      </c>
      <c r="I139" t="s">
        <v>1898</v>
      </c>
      <c r="J139">
        <v>845</v>
      </c>
      <c r="K139">
        <v>760</v>
      </c>
      <c r="L139">
        <v>645</v>
      </c>
      <c r="M139" t="s">
        <v>1898</v>
      </c>
      <c r="N139" s="6">
        <v>990</v>
      </c>
      <c r="O139" s="6">
        <v>890</v>
      </c>
      <c r="P139" s="6">
        <v>760</v>
      </c>
      <c r="Q139" t="s">
        <v>54</v>
      </c>
      <c r="R139">
        <v>23</v>
      </c>
      <c r="S139">
        <v>1</v>
      </c>
      <c r="T139" s="8" t="s">
        <v>1902</v>
      </c>
      <c r="U139" s="8" t="s">
        <v>1901</v>
      </c>
      <c r="V139" s="10">
        <v>0</v>
      </c>
      <c r="W139" s="11" t="str">
        <f t="shared" si="2"/>
        <v>(1832,null,1,'2026-03-24 00:00:00','003308030280000-330803028','003308030280000-330803028','连续动静脉转流术',null,null,845,760,645,null,990,890,760,'次',23,1,'normal','main',0),</v>
      </c>
    </row>
    <row r="140" ht="15.75" spans="1:23">
      <c r="A140">
        <v>1833</v>
      </c>
      <c r="B140" t="s">
        <v>1898</v>
      </c>
      <c r="C140">
        <v>1</v>
      </c>
      <c r="D140" s="9" t="s">
        <v>1899</v>
      </c>
      <c r="E140" t="s">
        <v>808</v>
      </c>
      <c r="F140" t="s">
        <v>808</v>
      </c>
      <c r="G140" t="s">
        <v>809</v>
      </c>
      <c r="H140" t="s">
        <v>1898</v>
      </c>
      <c r="I140" t="s">
        <v>1898</v>
      </c>
      <c r="J140">
        <v>125</v>
      </c>
      <c r="K140">
        <v>120</v>
      </c>
      <c r="L140">
        <v>102</v>
      </c>
      <c r="M140" t="s">
        <v>1898</v>
      </c>
      <c r="N140" s="6">
        <v>230</v>
      </c>
      <c r="O140" s="6">
        <v>205</v>
      </c>
      <c r="P140" s="6">
        <v>175</v>
      </c>
      <c r="Q140" t="s">
        <v>810</v>
      </c>
      <c r="R140">
        <v>23</v>
      </c>
      <c r="S140">
        <v>1</v>
      </c>
      <c r="T140" s="8" t="s">
        <v>1902</v>
      </c>
      <c r="U140" s="8" t="s">
        <v>1901</v>
      </c>
      <c r="V140" s="10">
        <v>0</v>
      </c>
      <c r="W140" s="11" t="str">
        <f t="shared" si="2"/>
        <v>(1833,null,1,'2026-03-24 00:00:00','003301000170001-33010001701','003301000170001-33010001701','体外循环（每增加1小时加收）',null,null,125,120,102,null,230,205,175,'每小时',23,1,'normal','main',0),</v>
      </c>
    </row>
    <row r="141" ht="15.75" spans="1:23">
      <c r="A141">
        <v>1834</v>
      </c>
      <c r="B141" t="s">
        <v>1898</v>
      </c>
      <c r="C141">
        <v>1</v>
      </c>
      <c r="D141" s="9" t="s">
        <v>1899</v>
      </c>
      <c r="E141" t="s">
        <v>812</v>
      </c>
      <c r="F141" t="s">
        <v>812</v>
      </c>
      <c r="G141" t="s">
        <v>813</v>
      </c>
      <c r="H141" t="s">
        <v>1898</v>
      </c>
      <c r="I141" t="s">
        <v>1898</v>
      </c>
      <c r="J141">
        <v>165</v>
      </c>
      <c r="K141">
        <v>155</v>
      </c>
      <c r="L141">
        <v>130</v>
      </c>
      <c r="M141" t="s">
        <v>1898</v>
      </c>
      <c r="N141" s="6">
        <v>230</v>
      </c>
      <c r="O141" s="6">
        <v>205</v>
      </c>
      <c r="P141" s="6">
        <v>175</v>
      </c>
      <c r="Q141" t="s">
        <v>810</v>
      </c>
      <c r="R141">
        <v>23</v>
      </c>
      <c r="S141">
        <v>1</v>
      </c>
      <c r="T141" s="8" t="s">
        <v>1902</v>
      </c>
      <c r="U141" s="8" t="s">
        <v>1901</v>
      </c>
      <c r="V141" s="10">
        <v>0</v>
      </c>
      <c r="W141" s="11" t="str">
        <f t="shared" si="2"/>
        <v>(1834,null,1,'2026-03-24 00:00:00','003301000170001-33010001703','003301000170001-33010001703','小儿体外循环（每增加1小时加收）',null,null,165,155,130,null,230,205,175,'每小时',23,1,'normal','main',0),</v>
      </c>
    </row>
    <row r="142" ht="15.75" spans="1:23">
      <c r="A142">
        <v>1835</v>
      </c>
      <c r="B142" t="s">
        <v>1898</v>
      </c>
      <c r="C142">
        <v>1</v>
      </c>
      <c r="D142" s="9" t="s">
        <v>1899</v>
      </c>
      <c r="E142" t="s">
        <v>820</v>
      </c>
      <c r="F142" t="s">
        <v>820</v>
      </c>
      <c r="G142" t="s">
        <v>821</v>
      </c>
      <c r="H142" t="s">
        <v>1898</v>
      </c>
      <c r="I142" t="s">
        <v>1898</v>
      </c>
      <c r="J142">
        <v>1300</v>
      </c>
      <c r="K142">
        <v>1250</v>
      </c>
      <c r="L142">
        <v>1065</v>
      </c>
      <c r="M142" t="s">
        <v>1898</v>
      </c>
      <c r="N142" s="6">
        <v>444</v>
      </c>
      <c r="O142" s="6">
        <v>399</v>
      </c>
      <c r="P142" s="6">
        <v>344</v>
      </c>
      <c r="Q142" t="s">
        <v>801</v>
      </c>
      <c r="R142">
        <v>23</v>
      </c>
      <c r="S142">
        <v>1</v>
      </c>
      <c r="T142" s="8" t="s">
        <v>1902</v>
      </c>
      <c r="U142" s="8" t="s">
        <v>1901</v>
      </c>
      <c r="V142" s="10">
        <v>0</v>
      </c>
      <c r="W142" s="11" t="str">
        <f t="shared" si="2"/>
        <v>(1835,null,1,'2026-03-24 00:00:00','003301000170000-33010001702','003301000170000-33010001702','小儿体外循环',null,null,1300,1250,1065,null,444,399,344,'2小时',23,1,'normal','main',0),</v>
      </c>
    </row>
    <row r="143" ht="15.75" spans="1:23">
      <c r="A143">
        <v>1836</v>
      </c>
      <c r="B143" t="s">
        <v>1898</v>
      </c>
      <c r="C143">
        <v>1</v>
      </c>
      <c r="D143" s="9" t="s">
        <v>1899</v>
      </c>
      <c r="E143" t="s">
        <v>822</v>
      </c>
      <c r="F143" t="s">
        <v>822</v>
      </c>
      <c r="G143" t="s">
        <v>823</v>
      </c>
      <c r="H143" t="s">
        <v>1898</v>
      </c>
      <c r="I143" t="s">
        <v>1898</v>
      </c>
      <c r="J143">
        <v>1100</v>
      </c>
      <c r="K143">
        <v>990</v>
      </c>
      <c r="L143">
        <v>840</v>
      </c>
      <c r="M143" t="s">
        <v>1898</v>
      </c>
      <c r="N143" s="6">
        <v>444</v>
      </c>
      <c r="O143" s="6">
        <v>399</v>
      </c>
      <c r="P143" s="6">
        <v>344</v>
      </c>
      <c r="Q143" t="s">
        <v>54</v>
      </c>
      <c r="R143">
        <v>23</v>
      </c>
      <c r="S143">
        <v>1</v>
      </c>
      <c r="T143" s="8" t="s">
        <v>1902</v>
      </c>
      <c r="U143" s="8" t="s">
        <v>1901</v>
      </c>
      <c r="V143" s="10">
        <v>0</v>
      </c>
      <c r="W143" s="11" t="str">
        <f t="shared" si="2"/>
        <v>(1836,null,1,'2026-03-24 00:00:00','003308030280000-33080302801','003308030280000-33080302801','小儿连续动静脉转流术',null,null,1100,990,840,null,444,399,344,'次',23,1,'normal','main',0),</v>
      </c>
    </row>
    <row r="144" ht="15.75" spans="1:23">
      <c r="A144">
        <v>1837</v>
      </c>
      <c r="B144" t="s">
        <v>1898</v>
      </c>
      <c r="C144">
        <v>1</v>
      </c>
      <c r="D144" s="9" t="s">
        <v>1899</v>
      </c>
      <c r="E144" t="s">
        <v>830</v>
      </c>
      <c r="F144" t="s">
        <v>830</v>
      </c>
      <c r="G144" t="s">
        <v>831</v>
      </c>
      <c r="H144" t="s">
        <v>1898</v>
      </c>
      <c r="I144" t="s">
        <v>1898</v>
      </c>
      <c r="J144">
        <v>3800</v>
      </c>
      <c r="K144">
        <v>3420</v>
      </c>
      <c r="L144">
        <v>2910</v>
      </c>
      <c r="M144" t="s">
        <v>1898</v>
      </c>
      <c r="N144">
        <v>2280</v>
      </c>
      <c r="O144">
        <v>2055</v>
      </c>
      <c r="P144">
        <v>1745</v>
      </c>
      <c r="Q144" t="s">
        <v>54</v>
      </c>
      <c r="R144">
        <v>23</v>
      </c>
      <c r="S144">
        <v>1</v>
      </c>
      <c r="T144" s="8" t="s">
        <v>1902</v>
      </c>
      <c r="U144" s="8" t="s">
        <v>1901</v>
      </c>
      <c r="V144" s="10">
        <v>0</v>
      </c>
      <c r="W144" s="11" t="str">
        <f t="shared" si="2"/>
        <v>(1837,null,1,'2026-03-24 00:00:00','003308030250000-33080302502','003308030250000-33080302502','体外人工膜肺安装术',null,null,3800,3420,2910,null,2280,2055,1745,'次',23,1,'normal','main',0),</v>
      </c>
    </row>
    <row r="145" ht="15.75" spans="1:23">
      <c r="A145">
        <v>1838</v>
      </c>
      <c r="B145" t="s">
        <v>1898</v>
      </c>
      <c r="C145">
        <v>1</v>
      </c>
      <c r="D145" s="9" t="s">
        <v>1899</v>
      </c>
      <c r="E145" t="s">
        <v>836</v>
      </c>
      <c r="F145" t="s">
        <v>836</v>
      </c>
      <c r="G145" t="s">
        <v>837</v>
      </c>
      <c r="H145" t="s">
        <v>1898</v>
      </c>
      <c r="I145" t="s">
        <v>1898</v>
      </c>
      <c r="J145">
        <v>4940</v>
      </c>
      <c r="K145">
        <v>4445</v>
      </c>
      <c r="L145">
        <v>3785</v>
      </c>
      <c r="M145" t="s">
        <v>1898</v>
      </c>
      <c r="N145">
        <v>2965</v>
      </c>
      <c r="O145">
        <v>2670</v>
      </c>
      <c r="P145">
        <v>2270</v>
      </c>
      <c r="Q145" t="s">
        <v>54</v>
      </c>
      <c r="R145">
        <v>23</v>
      </c>
      <c r="S145">
        <v>1</v>
      </c>
      <c r="T145" s="8" t="s">
        <v>1902</v>
      </c>
      <c r="U145" s="8" t="s">
        <v>1901</v>
      </c>
      <c r="V145" s="10">
        <v>0</v>
      </c>
      <c r="W145" s="11" t="str">
        <f t="shared" si="2"/>
        <v>(1838,null,1,'2026-03-24 00:00:00','003308030250000-33080302503','003308030250000-33080302503','小儿体外人工膜肺安装术',null,null,4940,4445,3785,null,2965,2670,2270,'次',23,1,'normal','main',0),</v>
      </c>
    </row>
    <row r="146" ht="15.75" spans="1:23">
      <c r="A146">
        <v>1839</v>
      </c>
      <c r="B146" t="s">
        <v>1898</v>
      </c>
      <c r="C146">
        <v>1</v>
      </c>
      <c r="D146" s="9" t="s">
        <v>1899</v>
      </c>
      <c r="E146" t="s">
        <v>830</v>
      </c>
      <c r="F146" t="s">
        <v>830</v>
      </c>
      <c r="G146" t="s">
        <v>831</v>
      </c>
      <c r="H146" t="s">
        <v>1898</v>
      </c>
      <c r="I146" t="s">
        <v>1898</v>
      </c>
      <c r="J146">
        <v>3800</v>
      </c>
      <c r="K146">
        <v>3420</v>
      </c>
      <c r="L146">
        <v>2910</v>
      </c>
      <c r="M146" t="s">
        <v>1898</v>
      </c>
      <c r="N146">
        <v>1520</v>
      </c>
      <c r="O146">
        <v>1365</v>
      </c>
      <c r="P146">
        <v>1165</v>
      </c>
      <c r="Q146" t="s">
        <v>54</v>
      </c>
      <c r="R146">
        <v>23</v>
      </c>
      <c r="S146">
        <v>1</v>
      </c>
      <c r="T146" s="8" t="s">
        <v>1902</v>
      </c>
      <c r="U146" s="8" t="s">
        <v>1901</v>
      </c>
      <c r="V146" s="10">
        <v>0</v>
      </c>
      <c r="W146" s="11" t="str">
        <f t="shared" si="2"/>
        <v>(1839,null,1,'2026-03-24 00:00:00','003308030250000-33080302502','003308030250000-33080302502','体外人工膜肺安装术',null,null,3800,3420,2910,null,1520,1365,1165,'次',23,1,'normal','main',0),</v>
      </c>
    </row>
    <row r="147" ht="15.75" spans="1:23">
      <c r="A147">
        <v>1840</v>
      </c>
      <c r="B147" t="s">
        <v>1898</v>
      </c>
      <c r="C147">
        <v>1</v>
      </c>
      <c r="D147" s="9" t="s">
        <v>1899</v>
      </c>
      <c r="E147" t="s">
        <v>854</v>
      </c>
      <c r="F147" t="s">
        <v>854</v>
      </c>
      <c r="G147" t="s">
        <v>855</v>
      </c>
      <c r="H147" t="s">
        <v>1898</v>
      </c>
      <c r="I147" t="s">
        <v>1898</v>
      </c>
      <c r="J147">
        <v>95</v>
      </c>
      <c r="K147">
        <v>90</v>
      </c>
      <c r="L147">
        <v>75</v>
      </c>
      <c r="M147" t="s">
        <v>1898</v>
      </c>
      <c r="N147" s="6">
        <v>95</v>
      </c>
      <c r="O147" s="6">
        <v>90</v>
      </c>
      <c r="P147" s="6">
        <v>75</v>
      </c>
      <c r="Q147" t="s">
        <v>39</v>
      </c>
      <c r="R147">
        <v>23</v>
      </c>
      <c r="S147">
        <v>1</v>
      </c>
      <c r="T147" s="8" t="s">
        <v>1902</v>
      </c>
      <c r="U147" s="8" t="s">
        <v>1901</v>
      </c>
      <c r="V147" s="10">
        <v>0</v>
      </c>
      <c r="W147" s="11" t="str">
        <f t="shared" si="2"/>
        <v>(1840,null,1,'2026-03-24 00:00:00','003308030250000-330803025','003308030250000-330803025','体外人工膜肺（ECMO）',null,null,95,90,75,null,95,90,75,'小时',23,1,'normal','main',0),</v>
      </c>
    </row>
    <row r="148" ht="15.75" spans="1:23">
      <c r="A148">
        <v>1841</v>
      </c>
      <c r="B148" t="s">
        <v>1898</v>
      </c>
      <c r="C148">
        <v>1</v>
      </c>
      <c r="D148" s="9" t="s">
        <v>1899</v>
      </c>
      <c r="E148" t="s">
        <v>858</v>
      </c>
      <c r="F148" t="s">
        <v>858</v>
      </c>
      <c r="G148" t="s">
        <v>859</v>
      </c>
      <c r="H148" t="s">
        <v>1898</v>
      </c>
      <c r="I148" t="s">
        <v>1898</v>
      </c>
      <c r="J148">
        <v>125</v>
      </c>
      <c r="K148">
        <v>115</v>
      </c>
      <c r="L148">
        <v>98</v>
      </c>
      <c r="M148" t="s">
        <v>1898</v>
      </c>
      <c r="N148" s="6">
        <v>95</v>
      </c>
      <c r="O148" s="6">
        <v>90</v>
      </c>
      <c r="P148" s="6">
        <v>75</v>
      </c>
      <c r="Q148" t="s">
        <v>39</v>
      </c>
      <c r="R148">
        <v>23</v>
      </c>
      <c r="S148">
        <v>1</v>
      </c>
      <c r="T148" s="8" t="s">
        <v>1902</v>
      </c>
      <c r="U148" s="8" t="s">
        <v>1901</v>
      </c>
      <c r="V148" s="10">
        <v>0</v>
      </c>
      <c r="W148" s="11" t="str">
        <f t="shared" si="2"/>
        <v>(1841,null,1,'2026-03-24 00:00:00','003308030250000-33080302501','003308030250000-33080302501','小儿体外人工膜肺（ECMO）',null,null,125,115,98,null,95,90,75,'小时',23,1,'normal','main',0),</v>
      </c>
    </row>
    <row r="149" ht="15.75" spans="1:23">
      <c r="A149">
        <v>1842</v>
      </c>
      <c r="B149" t="s">
        <v>1898</v>
      </c>
      <c r="C149">
        <v>1</v>
      </c>
      <c r="D149" s="9" t="s">
        <v>1899</v>
      </c>
      <c r="E149" t="s">
        <v>862</v>
      </c>
      <c r="F149" t="s">
        <v>862</v>
      </c>
      <c r="G149" t="s">
        <v>863</v>
      </c>
      <c r="H149" t="s">
        <v>1898</v>
      </c>
      <c r="I149" t="s">
        <v>1898</v>
      </c>
      <c r="J149">
        <v>50</v>
      </c>
      <c r="K149">
        <v>45</v>
      </c>
      <c r="L149">
        <v>40</v>
      </c>
      <c r="M149" t="s">
        <v>1898</v>
      </c>
      <c r="N149" s="6">
        <v>95</v>
      </c>
      <c r="O149" s="6">
        <v>90</v>
      </c>
      <c r="P149" s="6">
        <v>75</v>
      </c>
      <c r="Q149" t="s">
        <v>39</v>
      </c>
      <c r="R149">
        <v>23</v>
      </c>
      <c r="S149">
        <v>1</v>
      </c>
      <c r="T149" s="8" t="s">
        <v>1902</v>
      </c>
      <c r="U149" s="8" t="s">
        <v>1901</v>
      </c>
      <c r="V149" s="10">
        <v>0</v>
      </c>
      <c r="W149" s="11" t="str">
        <f t="shared" si="2"/>
        <v>(1842,null,1,'2026-03-24 00:00:00','003308030260000-330803026','003308030260000-330803026','左右心室辅助循环',null,null,50,45,40,null,95,90,75,'小时',23,1,'normal','main',0),</v>
      </c>
    </row>
    <row r="150" ht="15.75" spans="1:23">
      <c r="A150">
        <v>1843</v>
      </c>
      <c r="B150" t="s">
        <v>1898</v>
      </c>
      <c r="C150">
        <v>1</v>
      </c>
      <c r="D150" s="9" t="s">
        <v>1899</v>
      </c>
      <c r="E150" t="s">
        <v>864</v>
      </c>
      <c r="F150" t="s">
        <v>864</v>
      </c>
      <c r="G150" t="s">
        <v>865</v>
      </c>
      <c r="H150" t="s">
        <v>1898</v>
      </c>
      <c r="I150" t="s">
        <v>1898</v>
      </c>
      <c r="J150">
        <v>65</v>
      </c>
      <c r="K150">
        <v>59</v>
      </c>
      <c r="L150">
        <v>50</v>
      </c>
      <c r="M150" t="s">
        <v>1898</v>
      </c>
      <c r="N150" s="6">
        <v>95</v>
      </c>
      <c r="O150" s="6">
        <v>90</v>
      </c>
      <c r="P150" s="6">
        <v>75</v>
      </c>
      <c r="Q150" t="s">
        <v>39</v>
      </c>
      <c r="R150">
        <v>23</v>
      </c>
      <c r="S150">
        <v>1</v>
      </c>
      <c r="T150" s="8" t="s">
        <v>1902</v>
      </c>
      <c r="U150" s="8" t="s">
        <v>1901</v>
      </c>
      <c r="V150" s="10">
        <v>0</v>
      </c>
      <c r="W150" s="11" t="str">
        <f t="shared" si="2"/>
        <v>(1843,null,1,'2026-03-24 00:00:00','003308030260000-33080302601','003308030260000-33080302601','小儿左右心室辅助循环',null,null,65,59,50,null,95,90,75,'小时',23,1,'normal','main',0),</v>
      </c>
    </row>
    <row r="151" ht="15.75" spans="1:23">
      <c r="A151">
        <v>1844</v>
      </c>
      <c r="B151" t="s">
        <v>1898</v>
      </c>
      <c r="C151">
        <v>1</v>
      </c>
      <c r="D151" s="9" t="s">
        <v>1899</v>
      </c>
      <c r="E151" t="s">
        <v>870</v>
      </c>
      <c r="F151" t="s">
        <v>870</v>
      </c>
      <c r="G151" t="s">
        <v>871</v>
      </c>
      <c r="H151" t="s">
        <v>1898</v>
      </c>
      <c r="I151" t="s">
        <v>1898</v>
      </c>
      <c r="J151">
        <v>1045</v>
      </c>
      <c r="K151">
        <v>940</v>
      </c>
      <c r="L151">
        <v>800</v>
      </c>
      <c r="M151" t="s">
        <v>1898</v>
      </c>
      <c r="N151" s="6">
        <v>1045</v>
      </c>
      <c r="O151" s="6">
        <v>940</v>
      </c>
      <c r="P151" s="6">
        <v>800</v>
      </c>
      <c r="Q151" t="s">
        <v>54</v>
      </c>
      <c r="R151">
        <v>23</v>
      </c>
      <c r="S151">
        <v>1</v>
      </c>
      <c r="T151" s="8" t="s">
        <v>1902</v>
      </c>
      <c r="U151" s="8" t="s">
        <v>1901</v>
      </c>
      <c r="V151" s="10">
        <v>0</v>
      </c>
      <c r="W151" s="11" t="str">
        <f t="shared" si="2"/>
        <v>(1844,null,1,'2026-03-24 00:00:00','003308030250000-33080302504','003308030250000-33080302504','人工膜肺的膜肺更换术',null,null,1045,940,800,null,1045,940,800,'次',23,1,'normal','main',0),</v>
      </c>
    </row>
    <row r="152" ht="15.75" spans="1:23">
      <c r="A152">
        <v>1845</v>
      </c>
      <c r="B152" t="s">
        <v>1898</v>
      </c>
      <c r="C152">
        <v>1</v>
      </c>
      <c r="D152" s="9" t="s">
        <v>1899</v>
      </c>
      <c r="E152" t="s">
        <v>873</v>
      </c>
      <c r="F152" t="s">
        <v>873</v>
      </c>
      <c r="G152" t="s">
        <v>874</v>
      </c>
      <c r="H152" t="s">
        <v>1898</v>
      </c>
      <c r="I152" t="s">
        <v>1898</v>
      </c>
      <c r="J152">
        <v>1045</v>
      </c>
      <c r="K152">
        <v>940</v>
      </c>
      <c r="L152">
        <v>800</v>
      </c>
      <c r="M152" t="s">
        <v>1898</v>
      </c>
      <c r="N152" s="6">
        <v>1045</v>
      </c>
      <c r="O152" s="6">
        <v>940</v>
      </c>
      <c r="P152" s="6">
        <v>800</v>
      </c>
      <c r="Q152" t="s">
        <v>54</v>
      </c>
      <c r="R152">
        <v>23</v>
      </c>
      <c r="S152">
        <v>1</v>
      </c>
      <c r="T152" s="8" t="s">
        <v>1902</v>
      </c>
      <c r="U152" s="8" t="s">
        <v>1901</v>
      </c>
      <c r="V152" s="10">
        <v>0</v>
      </c>
      <c r="W152" s="11" t="str">
        <f t="shared" si="2"/>
        <v>(1845,null,1,'2026-03-24 00:00:00','003308030250000-33080302506','003308030250000-33080302506','人工膜肺的血泵更换术',null,null,1045,940,800,null,1045,940,800,'次',23,1,'normal','main',0),</v>
      </c>
    </row>
    <row r="153" ht="15.75" spans="1:23">
      <c r="A153">
        <v>1846</v>
      </c>
      <c r="B153" t="s">
        <v>1898</v>
      </c>
      <c r="C153">
        <v>1</v>
      </c>
      <c r="D153" s="9" t="s">
        <v>1899</v>
      </c>
      <c r="E153" t="s">
        <v>878</v>
      </c>
      <c r="F153" t="s">
        <v>878</v>
      </c>
      <c r="G153" t="s">
        <v>879</v>
      </c>
      <c r="H153" t="s">
        <v>1898</v>
      </c>
      <c r="I153" t="s">
        <v>1898</v>
      </c>
      <c r="J153">
        <v>1360</v>
      </c>
      <c r="K153">
        <v>1220</v>
      </c>
      <c r="L153">
        <v>1040</v>
      </c>
      <c r="M153" t="s">
        <v>1898</v>
      </c>
      <c r="N153" s="6">
        <v>1360</v>
      </c>
      <c r="O153" s="6">
        <v>1220</v>
      </c>
      <c r="P153" s="6">
        <v>1040</v>
      </c>
      <c r="Q153" t="s">
        <v>54</v>
      </c>
      <c r="R153">
        <v>23</v>
      </c>
      <c r="S153">
        <v>1</v>
      </c>
      <c r="T153" s="8" t="s">
        <v>1902</v>
      </c>
      <c r="U153" s="8" t="s">
        <v>1901</v>
      </c>
      <c r="V153" s="10">
        <v>0</v>
      </c>
      <c r="W153" s="11" t="str">
        <f t="shared" si="2"/>
        <v>(1846,null,1,'2026-03-24 00:00:00','003308030250000-33080302505','003308030250000-33080302505','小儿人工膜肺的膜肺更换术',null,null,1360,1220,1040,null,1360,1220,1040,'次',23,1,'normal','main',0),</v>
      </c>
    </row>
    <row r="154" ht="15.75" spans="1:23">
      <c r="A154">
        <v>1847</v>
      </c>
      <c r="B154" t="s">
        <v>1898</v>
      </c>
      <c r="C154">
        <v>1</v>
      </c>
      <c r="D154" s="9" t="s">
        <v>1899</v>
      </c>
      <c r="E154" t="s">
        <v>880</v>
      </c>
      <c r="F154" t="s">
        <v>880</v>
      </c>
      <c r="G154" t="s">
        <v>881</v>
      </c>
      <c r="H154" t="s">
        <v>1898</v>
      </c>
      <c r="I154" t="s">
        <v>1898</v>
      </c>
      <c r="J154">
        <v>1360</v>
      </c>
      <c r="K154">
        <v>1220</v>
      </c>
      <c r="L154">
        <v>1040</v>
      </c>
      <c r="M154" t="s">
        <v>1898</v>
      </c>
      <c r="N154" s="6">
        <v>1360</v>
      </c>
      <c r="O154" s="6">
        <v>1220</v>
      </c>
      <c r="P154" s="6">
        <v>1040</v>
      </c>
      <c r="Q154" t="s">
        <v>54</v>
      </c>
      <c r="R154">
        <v>23</v>
      </c>
      <c r="S154">
        <v>1</v>
      </c>
      <c r="T154" s="8" t="s">
        <v>1902</v>
      </c>
      <c r="U154" s="8" t="s">
        <v>1901</v>
      </c>
      <c r="V154" s="10">
        <v>0</v>
      </c>
      <c r="W154" s="11" t="str">
        <f t="shared" si="2"/>
        <v>(1847,null,1,'2026-03-24 00:00:00','003308030250000-33080302507','003308030250000-33080302507','小儿人工膜肺的血泵更换术',null,null,1360,1220,1040,null,1360,1220,1040,'次',23,1,'normal','main',0),</v>
      </c>
    </row>
    <row r="155" ht="15.75" spans="1:23">
      <c r="A155">
        <v>1848</v>
      </c>
      <c r="B155" t="s">
        <v>1898</v>
      </c>
      <c r="C155">
        <v>1</v>
      </c>
      <c r="D155" s="9" t="s">
        <v>1899</v>
      </c>
      <c r="E155" t="s">
        <v>889</v>
      </c>
      <c r="F155" t="s">
        <v>889</v>
      </c>
      <c r="G155" t="s">
        <v>890</v>
      </c>
      <c r="H155" t="s">
        <v>1898</v>
      </c>
      <c r="I155" t="s">
        <v>1898</v>
      </c>
      <c r="J155">
        <v>1010</v>
      </c>
      <c r="K155">
        <v>910</v>
      </c>
      <c r="L155">
        <v>775</v>
      </c>
      <c r="M155" t="s">
        <v>1898</v>
      </c>
      <c r="N155" s="6">
        <v>6300</v>
      </c>
      <c r="O155" s="6">
        <v>5700</v>
      </c>
      <c r="P155" s="6">
        <v>4850</v>
      </c>
      <c r="Q155" t="s">
        <v>54</v>
      </c>
      <c r="R155">
        <v>23</v>
      </c>
      <c r="S155">
        <v>1</v>
      </c>
      <c r="T155" s="8" t="s">
        <v>1902</v>
      </c>
      <c r="U155" s="8" t="s">
        <v>1901</v>
      </c>
      <c r="V155" s="10">
        <v>0</v>
      </c>
      <c r="W155" s="11" t="str">
        <f t="shared" si="2"/>
        <v>(1848,null,1,'2026-03-24 00:00:00','003308030220000-330803022','003308030220000-330803022','左右心室辅助泵安装术',null,null,1010,910,775,null,6300,5700,4850,'次',23,1,'normal','main',0),</v>
      </c>
    </row>
    <row r="156" ht="15.75" spans="1:23">
      <c r="A156">
        <v>1849</v>
      </c>
      <c r="B156" t="s">
        <v>1898</v>
      </c>
      <c r="C156">
        <v>1</v>
      </c>
      <c r="D156" s="9" t="s">
        <v>1899</v>
      </c>
      <c r="E156" t="s">
        <v>893</v>
      </c>
      <c r="F156" t="s">
        <v>893</v>
      </c>
      <c r="G156" t="s">
        <v>890</v>
      </c>
      <c r="H156" t="s">
        <v>1898</v>
      </c>
      <c r="I156" t="s">
        <v>1898</v>
      </c>
      <c r="J156">
        <v>4730</v>
      </c>
      <c r="K156">
        <v>4260</v>
      </c>
      <c r="L156">
        <v>3620</v>
      </c>
      <c r="M156" t="s">
        <v>1898</v>
      </c>
      <c r="N156" s="6">
        <v>6300</v>
      </c>
      <c r="O156" s="6">
        <v>5700</v>
      </c>
      <c r="P156" s="6">
        <v>4850</v>
      </c>
      <c r="Q156" t="s">
        <v>54</v>
      </c>
      <c r="R156">
        <v>23</v>
      </c>
      <c r="S156">
        <v>1</v>
      </c>
      <c r="T156" s="8" t="s">
        <v>1902</v>
      </c>
      <c r="U156" s="8" t="s">
        <v>1901</v>
      </c>
      <c r="V156" s="10">
        <v>0</v>
      </c>
      <c r="W156" s="11" t="str">
        <f t="shared" si="2"/>
        <v>(1849,null,1,'2026-03-24 00:00:00','003308030220000-330803024','003308030220000-330803024','左右心室辅助泵安装术',null,null,4730,4260,3620,null,6300,5700,4850,'次',23,1,'normal','main',0),</v>
      </c>
    </row>
    <row r="157" ht="15.75" spans="1:23">
      <c r="A157">
        <v>1850</v>
      </c>
      <c r="B157" t="s">
        <v>1898</v>
      </c>
      <c r="C157">
        <v>1</v>
      </c>
      <c r="D157" s="9" t="s">
        <v>1899</v>
      </c>
      <c r="E157" t="s">
        <v>901</v>
      </c>
      <c r="F157" t="s">
        <v>901</v>
      </c>
      <c r="G157" t="s">
        <v>902</v>
      </c>
      <c r="H157" t="s">
        <v>1898</v>
      </c>
      <c r="I157" t="s">
        <v>1898</v>
      </c>
      <c r="J157">
        <v>1315</v>
      </c>
      <c r="K157">
        <v>1185</v>
      </c>
      <c r="L157">
        <v>1005</v>
      </c>
      <c r="M157" t="s">
        <v>1898</v>
      </c>
      <c r="N157" s="6">
        <v>8190</v>
      </c>
      <c r="O157" s="6">
        <v>7410</v>
      </c>
      <c r="P157" s="6">
        <v>6305</v>
      </c>
      <c r="Q157" t="s">
        <v>54</v>
      </c>
      <c r="R157">
        <v>23</v>
      </c>
      <c r="S157">
        <v>1</v>
      </c>
      <c r="T157" s="8" t="s">
        <v>1902</v>
      </c>
      <c r="U157" s="8" t="s">
        <v>1901</v>
      </c>
      <c r="V157" s="10">
        <v>0</v>
      </c>
      <c r="W157" s="11" t="str">
        <f t="shared" si="2"/>
        <v>(1850,null,1,'2026-03-24 00:00:00','003308030220000-33080302201','003308030220000-33080302201','小儿左右心室辅助泵安装术',null,null,1315,1185,1005,null,8190,7410,6305,'次',23,1,'normal','main',0),</v>
      </c>
    </row>
    <row r="158" ht="15.75" spans="1:23">
      <c r="A158">
        <v>1851</v>
      </c>
      <c r="B158" t="s">
        <v>1898</v>
      </c>
      <c r="C158">
        <v>1</v>
      </c>
      <c r="D158" s="9" t="s">
        <v>1899</v>
      </c>
      <c r="E158" t="s">
        <v>903</v>
      </c>
      <c r="F158" t="s">
        <v>903</v>
      </c>
      <c r="G158" t="s">
        <v>902</v>
      </c>
      <c r="H158" t="s">
        <v>1898</v>
      </c>
      <c r="I158" t="s">
        <v>1898</v>
      </c>
      <c r="J158">
        <v>6150</v>
      </c>
      <c r="K158">
        <v>5540</v>
      </c>
      <c r="L158">
        <v>4710</v>
      </c>
      <c r="M158" t="s">
        <v>1898</v>
      </c>
      <c r="N158" s="6">
        <v>8190</v>
      </c>
      <c r="O158" s="6">
        <v>7410</v>
      </c>
      <c r="P158" s="6">
        <v>6305</v>
      </c>
      <c r="Q158" t="s">
        <v>54</v>
      </c>
      <c r="R158">
        <v>23</v>
      </c>
      <c r="S158">
        <v>1</v>
      </c>
      <c r="T158" s="8" t="s">
        <v>1902</v>
      </c>
      <c r="U158" s="8" t="s">
        <v>1901</v>
      </c>
      <c r="V158" s="10">
        <v>0</v>
      </c>
      <c r="W158" s="11" t="str">
        <f t="shared" si="2"/>
        <v>(1851,null,1,'2026-03-24 00:00:00','003308030220000-33080302401','003308030220000-33080302401','小儿左右心室辅助泵安装术',null,null,6150,5540,4710,null,8190,7410,6305,'次',23,1,'normal','main',0),</v>
      </c>
    </row>
    <row r="159" ht="15.75" spans="1:23">
      <c r="A159">
        <v>1852</v>
      </c>
      <c r="B159" t="s">
        <v>1898</v>
      </c>
      <c r="C159">
        <v>1</v>
      </c>
      <c r="D159" s="9" t="s">
        <v>1899</v>
      </c>
      <c r="E159" t="s">
        <v>921</v>
      </c>
      <c r="F159" t="s">
        <v>921</v>
      </c>
      <c r="G159" t="s">
        <v>922</v>
      </c>
      <c r="H159" t="s">
        <v>1898</v>
      </c>
      <c r="I159" t="s">
        <v>1898</v>
      </c>
      <c r="J159">
        <v>7980</v>
      </c>
      <c r="K159">
        <v>7180</v>
      </c>
      <c r="L159">
        <v>5740</v>
      </c>
      <c r="M159" t="s">
        <v>1898</v>
      </c>
      <c r="N159" s="6">
        <v>7950</v>
      </c>
      <c r="O159" s="6">
        <v>7160</v>
      </c>
      <c r="P159" s="6">
        <v>6090</v>
      </c>
      <c r="Q159" t="s">
        <v>924</v>
      </c>
      <c r="R159">
        <v>23</v>
      </c>
      <c r="S159">
        <v>1</v>
      </c>
      <c r="T159" s="8" t="s">
        <v>1902</v>
      </c>
      <c r="U159" s="8" t="s">
        <v>1901</v>
      </c>
      <c r="V159" s="10">
        <v>0</v>
      </c>
      <c r="W159" s="11" t="str">
        <f t="shared" si="2"/>
        <v>(1852,null,1,'2026-03-24 00:00:00','003308020030000-330802003','003308020030000-330802003','冠状动脉搭桥术',null,null,7980,7180,5740,null,7950,7160,6090,'每支吻合血管',23,1,'normal','main',0),</v>
      </c>
    </row>
    <row r="160" ht="15.75" spans="1:23">
      <c r="A160">
        <v>1853</v>
      </c>
      <c r="B160" t="s">
        <v>1898</v>
      </c>
      <c r="C160">
        <v>1</v>
      </c>
      <c r="D160" s="9" t="s">
        <v>1899</v>
      </c>
      <c r="E160" t="s">
        <v>926</v>
      </c>
      <c r="F160" t="s">
        <v>926</v>
      </c>
      <c r="G160" t="s">
        <v>927</v>
      </c>
      <c r="H160" t="s">
        <v>1898</v>
      </c>
      <c r="I160" t="s">
        <v>1898</v>
      </c>
      <c r="J160">
        <v>7630</v>
      </c>
      <c r="K160">
        <v>6870</v>
      </c>
      <c r="L160">
        <v>5840</v>
      </c>
      <c r="M160" t="s">
        <v>1898</v>
      </c>
      <c r="N160" s="6">
        <v>7950</v>
      </c>
      <c r="O160" s="6">
        <v>7160</v>
      </c>
      <c r="P160" s="6">
        <v>6090</v>
      </c>
      <c r="Q160" t="s">
        <v>924</v>
      </c>
      <c r="R160">
        <v>23</v>
      </c>
      <c r="S160">
        <v>1</v>
      </c>
      <c r="T160" s="8" t="s">
        <v>1902</v>
      </c>
      <c r="U160" s="8" t="s">
        <v>1901</v>
      </c>
      <c r="V160" s="10">
        <v>0</v>
      </c>
      <c r="W160" s="11" t="str">
        <f t="shared" si="2"/>
        <v>(1853,null,1,'2026-03-24 00:00:00','003308020060000-330802006','003308020060000-330802006','非体外循环冠状动脉搭桥术',null,null,7630,6870,5840,null,7950,7160,6090,'每支吻合血管',23,1,'normal','main',0),</v>
      </c>
    </row>
    <row r="161" ht="15.75" spans="1:23">
      <c r="A161">
        <v>1854</v>
      </c>
      <c r="B161" t="s">
        <v>1898</v>
      </c>
      <c r="C161">
        <v>1</v>
      </c>
      <c r="D161" s="9" t="s">
        <v>1899</v>
      </c>
      <c r="E161" t="s">
        <v>931</v>
      </c>
      <c r="F161" t="s">
        <v>931</v>
      </c>
      <c r="G161" t="s">
        <v>932</v>
      </c>
      <c r="H161" t="s">
        <v>1898</v>
      </c>
      <c r="I161" t="s">
        <v>1898</v>
      </c>
      <c r="J161">
        <v>10375</v>
      </c>
      <c r="K161">
        <v>9335</v>
      </c>
      <c r="L161">
        <v>7460</v>
      </c>
      <c r="M161" t="s">
        <v>1898</v>
      </c>
      <c r="N161" s="6">
        <v>10335</v>
      </c>
      <c r="O161" s="6">
        <v>9310</v>
      </c>
      <c r="P161" s="6">
        <v>7915</v>
      </c>
      <c r="Q161" t="s">
        <v>924</v>
      </c>
      <c r="R161">
        <v>23</v>
      </c>
      <c r="S161">
        <v>1</v>
      </c>
      <c r="T161" s="8" t="s">
        <v>1902</v>
      </c>
      <c r="U161" s="8" t="s">
        <v>1901</v>
      </c>
      <c r="V161" s="10">
        <v>0</v>
      </c>
      <c r="W161" s="11" t="str">
        <f t="shared" si="2"/>
        <v>(1854,null,1,'2026-03-24 00:00:00','003308020030000-33080200302','003308020030000-33080200302','小儿冠状动脉搭桥术',null,null,10375,9335,7460,null,10335,9310,7915,'每支吻合血管',23,1,'normal','main',0),</v>
      </c>
    </row>
    <row r="162" ht="15.75" spans="1:23">
      <c r="A162">
        <v>1855</v>
      </c>
      <c r="B162" t="s">
        <v>1898</v>
      </c>
      <c r="C162">
        <v>1</v>
      </c>
      <c r="D162" s="9" t="s">
        <v>1899</v>
      </c>
      <c r="E162" t="s">
        <v>933</v>
      </c>
      <c r="F162" t="s">
        <v>933</v>
      </c>
      <c r="G162" t="s">
        <v>934</v>
      </c>
      <c r="H162" t="s">
        <v>1898</v>
      </c>
      <c r="I162" t="s">
        <v>1898</v>
      </c>
      <c r="J162">
        <v>9920</v>
      </c>
      <c r="K162">
        <v>8930</v>
      </c>
      <c r="L162">
        <v>7590</v>
      </c>
      <c r="M162" t="s">
        <v>1898</v>
      </c>
      <c r="N162" s="6">
        <v>10335</v>
      </c>
      <c r="O162" s="6">
        <v>9310</v>
      </c>
      <c r="P162" s="6">
        <v>7915</v>
      </c>
      <c r="Q162" t="s">
        <v>924</v>
      </c>
      <c r="R162">
        <v>23</v>
      </c>
      <c r="S162">
        <v>1</v>
      </c>
      <c r="T162" s="8" t="s">
        <v>1902</v>
      </c>
      <c r="U162" s="8" t="s">
        <v>1901</v>
      </c>
      <c r="V162" s="10">
        <v>0</v>
      </c>
      <c r="W162" s="11" t="str">
        <f t="shared" si="2"/>
        <v>(1855,null,1,'2026-03-24 00:00:00','003308020060000-33080200602','003308020060000-33080200602','小儿非体外循环冠状动脉搭桥术',null,null,9920,8930,7590,null,10335,9310,7915,'每支吻合血管',23,1,'normal','main',0),</v>
      </c>
    </row>
    <row r="163" ht="15.75" spans="1:23">
      <c r="A163">
        <v>1856</v>
      </c>
      <c r="B163" t="s">
        <v>1898</v>
      </c>
      <c r="C163">
        <v>1</v>
      </c>
      <c r="D163" s="9" t="s">
        <v>1899</v>
      </c>
      <c r="E163" t="s">
        <v>938</v>
      </c>
      <c r="F163" t="s">
        <v>938</v>
      </c>
      <c r="G163" t="s">
        <v>939</v>
      </c>
      <c r="H163" t="s">
        <v>1898</v>
      </c>
      <c r="I163" t="s">
        <v>1898</v>
      </c>
      <c r="J163">
        <v>7630</v>
      </c>
      <c r="K163">
        <v>6870</v>
      </c>
      <c r="L163">
        <v>5840</v>
      </c>
      <c r="M163" t="s">
        <v>1898</v>
      </c>
      <c r="N163" s="6">
        <v>8670</v>
      </c>
      <c r="O163" s="6">
        <v>7810</v>
      </c>
      <c r="P163" s="6">
        <v>6640</v>
      </c>
      <c r="Q163" t="s">
        <v>924</v>
      </c>
      <c r="R163">
        <v>23</v>
      </c>
      <c r="S163">
        <v>1</v>
      </c>
      <c r="T163" s="8" t="s">
        <v>1902</v>
      </c>
      <c r="U163" s="8" t="s">
        <v>1901</v>
      </c>
      <c r="V163" s="10">
        <v>0</v>
      </c>
      <c r="W163" s="11" t="str">
        <f t="shared" si="2"/>
        <v>(1856,null,1,'2026-03-24 00:00:00','003308020070000-330802007','003308020070000-330802007','小切口冠状动脉搭桥术',null,null,7630,6870,5840,null,8670,7810,6640,'每支吻合血管',23,1,'normal','main',0),</v>
      </c>
    </row>
    <row r="164" ht="15.75" spans="1:23">
      <c r="A164">
        <v>1857</v>
      </c>
      <c r="B164" t="s">
        <v>1898</v>
      </c>
      <c r="C164">
        <v>1</v>
      </c>
      <c r="D164" s="9" t="s">
        <v>1899</v>
      </c>
      <c r="E164" t="s">
        <v>941</v>
      </c>
      <c r="F164" t="s">
        <v>941</v>
      </c>
      <c r="G164" t="s">
        <v>942</v>
      </c>
      <c r="H164" t="s">
        <v>1898</v>
      </c>
      <c r="I164" t="s">
        <v>1898</v>
      </c>
      <c r="J164">
        <v>9920</v>
      </c>
      <c r="K164">
        <v>8930</v>
      </c>
      <c r="L164">
        <v>7590</v>
      </c>
      <c r="M164" t="s">
        <v>1898</v>
      </c>
      <c r="N164" s="6">
        <v>8670</v>
      </c>
      <c r="O164" s="6">
        <v>7810</v>
      </c>
      <c r="P164" s="6">
        <v>6640</v>
      </c>
      <c r="Q164" t="s">
        <v>924</v>
      </c>
      <c r="R164">
        <v>23</v>
      </c>
      <c r="S164">
        <v>1</v>
      </c>
      <c r="T164" s="8" t="s">
        <v>1902</v>
      </c>
      <c r="U164" s="8" t="s">
        <v>1901</v>
      </c>
      <c r="V164" s="10">
        <v>0</v>
      </c>
      <c r="W164" s="11" t="str">
        <f t="shared" si="2"/>
        <v>(1857,null,1,'2026-03-24 00:00:00','003308020070000-33080200701','003308020070000-33080200701','小儿小切口冠状动脉搭桥术',null,null,9920,8930,7590,null,8670,7810,6640,'每支吻合血管',23,1,'normal','main',0),</v>
      </c>
    </row>
    <row r="165" ht="15.75" spans="1:23">
      <c r="A165">
        <v>1858</v>
      </c>
      <c r="B165" t="s">
        <v>1898</v>
      </c>
      <c r="C165">
        <v>1</v>
      </c>
      <c r="D165" s="9" t="s">
        <v>1899</v>
      </c>
      <c r="E165" t="s">
        <v>949</v>
      </c>
      <c r="F165" t="s">
        <v>949</v>
      </c>
      <c r="G165" t="s">
        <v>950</v>
      </c>
      <c r="H165" t="s">
        <v>1898</v>
      </c>
      <c r="I165" t="s">
        <v>1898</v>
      </c>
      <c r="J165">
        <v>570</v>
      </c>
      <c r="K165">
        <v>510</v>
      </c>
      <c r="L165">
        <v>405</v>
      </c>
      <c r="M165" t="s">
        <v>1898</v>
      </c>
      <c r="N165" s="6">
        <v>555</v>
      </c>
      <c r="O165" s="6">
        <v>500</v>
      </c>
      <c r="P165" s="6">
        <v>425</v>
      </c>
      <c r="Q165" t="s">
        <v>924</v>
      </c>
      <c r="R165">
        <v>23</v>
      </c>
      <c r="S165">
        <v>1</v>
      </c>
      <c r="T165" s="8" t="s">
        <v>1902</v>
      </c>
      <c r="U165" s="8" t="s">
        <v>1901</v>
      </c>
      <c r="V165" s="10">
        <v>0</v>
      </c>
      <c r="W165" s="11" t="str">
        <f t="shared" si="2"/>
        <v>(1858,null,1,'2026-03-24 00:00:00','003308020030000-33080200301','003308020030000-33080200301','冠状动脉搭桥术（每增一支加收）',null,null,570,510,405,null,555,500,425,'每支吻合血管',23,1,'normal','main',0),</v>
      </c>
    </row>
    <row r="166" ht="15.75" spans="1:23">
      <c r="A166">
        <v>1859</v>
      </c>
      <c r="B166" t="s">
        <v>1898</v>
      </c>
      <c r="C166">
        <v>1</v>
      </c>
      <c r="D166" s="9" t="s">
        <v>1899</v>
      </c>
      <c r="E166" t="s">
        <v>952</v>
      </c>
      <c r="F166" t="s">
        <v>952</v>
      </c>
      <c r="G166" t="s">
        <v>953</v>
      </c>
      <c r="H166" t="s">
        <v>1898</v>
      </c>
      <c r="I166" t="s">
        <v>1898</v>
      </c>
      <c r="J166">
        <v>740</v>
      </c>
      <c r="K166">
        <v>665</v>
      </c>
      <c r="L166">
        <v>525</v>
      </c>
      <c r="M166" t="s">
        <v>1898</v>
      </c>
      <c r="N166" s="6">
        <v>555</v>
      </c>
      <c r="O166" s="6">
        <v>500</v>
      </c>
      <c r="P166" s="6">
        <v>425</v>
      </c>
      <c r="Q166" t="s">
        <v>924</v>
      </c>
      <c r="R166">
        <v>23</v>
      </c>
      <c r="S166">
        <v>1</v>
      </c>
      <c r="T166" s="8" t="s">
        <v>1902</v>
      </c>
      <c r="U166" s="8" t="s">
        <v>1901</v>
      </c>
      <c r="V166" s="10">
        <v>0</v>
      </c>
      <c r="W166" s="11" t="str">
        <f t="shared" si="2"/>
        <v>(1859,null,1,'2026-03-24 00:00:00','003308020030000-33080200303','003308020030000-33080200303','小儿冠状动脉搭桥术（每增一支加收）',null,null,740,665,525,null,555,500,425,'每支吻合血管',23,1,'normal','main',0),</v>
      </c>
    </row>
    <row r="167" ht="15.75" spans="1:23">
      <c r="A167">
        <v>1860</v>
      </c>
      <c r="B167" t="s">
        <v>1898</v>
      </c>
      <c r="C167">
        <v>1</v>
      </c>
      <c r="D167" s="9" t="s">
        <v>1899</v>
      </c>
      <c r="E167" t="s">
        <v>954</v>
      </c>
      <c r="F167" t="s">
        <v>954</v>
      </c>
      <c r="G167" t="s">
        <v>955</v>
      </c>
      <c r="H167" t="s">
        <v>1898</v>
      </c>
      <c r="I167" t="s">
        <v>1898</v>
      </c>
      <c r="J167">
        <v>540</v>
      </c>
      <c r="K167">
        <v>485</v>
      </c>
      <c r="L167">
        <v>415</v>
      </c>
      <c r="M167" t="s">
        <v>1898</v>
      </c>
      <c r="N167" s="6">
        <v>555</v>
      </c>
      <c r="O167" s="6">
        <v>500</v>
      </c>
      <c r="P167" s="6">
        <v>425</v>
      </c>
      <c r="Q167" t="s">
        <v>924</v>
      </c>
      <c r="R167">
        <v>23</v>
      </c>
      <c r="S167">
        <v>1</v>
      </c>
      <c r="T167" s="8" t="s">
        <v>1902</v>
      </c>
      <c r="U167" s="8" t="s">
        <v>1901</v>
      </c>
      <c r="V167" s="10">
        <v>0</v>
      </c>
      <c r="W167" s="11" t="str">
        <f t="shared" si="2"/>
        <v>(1860,null,1,'2026-03-24 00:00:00','003308020040000-33080200401','003308020040000-33080200401','冠脉搭桥+换瓣术（每增一支加收）',null,null,540,485,415,null,555,500,425,'每支吻合血管',23,1,'normal','main',0),</v>
      </c>
    </row>
    <row r="168" ht="15.75" spans="1:23">
      <c r="A168">
        <v>1861</v>
      </c>
      <c r="B168" t="s">
        <v>1898</v>
      </c>
      <c r="C168">
        <v>1</v>
      </c>
      <c r="D168" s="9" t="s">
        <v>1899</v>
      </c>
      <c r="E168" t="s">
        <v>956</v>
      </c>
      <c r="F168" t="s">
        <v>956</v>
      </c>
      <c r="G168" t="s">
        <v>957</v>
      </c>
      <c r="H168" t="s">
        <v>1898</v>
      </c>
      <c r="I168" t="s">
        <v>1898</v>
      </c>
      <c r="J168">
        <v>700</v>
      </c>
      <c r="K168">
        <v>630</v>
      </c>
      <c r="L168">
        <v>535</v>
      </c>
      <c r="M168" t="s">
        <v>1898</v>
      </c>
      <c r="N168" s="6">
        <v>555</v>
      </c>
      <c r="O168" s="6">
        <v>500</v>
      </c>
      <c r="P168" s="6">
        <v>425</v>
      </c>
      <c r="Q168" t="s">
        <v>924</v>
      </c>
      <c r="R168">
        <v>23</v>
      </c>
      <c r="S168">
        <v>1</v>
      </c>
      <c r="T168" s="8" t="s">
        <v>1902</v>
      </c>
      <c r="U168" s="8" t="s">
        <v>1901</v>
      </c>
      <c r="V168" s="10">
        <v>0</v>
      </c>
      <c r="W168" s="11" t="str">
        <f t="shared" si="2"/>
        <v>(1861,null,1,'2026-03-24 00:00:00','003308020040000-33080200403','003308020040000-33080200403','小儿冠脉搭桥+换瓣术（每增一支加收）',null,null,700,630,535,null,555,500,425,'每支吻合血管',23,1,'normal','main',0),</v>
      </c>
    </row>
    <row r="169" ht="15.75" spans="1:23">
      <c r="A169">
        <v>1862</v>
      </c>
      <c r="B169" t="s">
        <v>1898</v>
      </c>
      <c r="C169">
        <v>1</v>
      </c>
      <c r="D169" s="9" t="s">
        <v>1899</v>
      </c>
      <c r="E169" t="s">
        <v>958</v>
      </c>
      <c r="F169" t="s">
        <v>958</v>
      </c>
      <c r="G169" t="s">
        <v>959</v>
      </c>
      <c r="H169" t="s">
        <v>1898</v>
      </c>
      <c r="I169" t="s">
        <v>1898</v>
      </c>
      <c r="J169">
        <v>540</v>
      </c>
      <c r="K169">
        <v>485</v>
      </c>
      <c r="L169">
        <v>415</v>
      </c>
      <c r="M169" t="s">
        <v>1898</v>
      </c>
      <c r="N169" s="6">
        <v>555</v>
      </c>
      <c r="O169" s="6">
        <v>500</v>
      </c>
      <c r="P169" s="6">
        <v>425</v>
      </c>
      <c r="Q169" t="s">
        <v>924</v>
      </c>
      <c r="R169">
        <v>23</v>
      </c>
      <c r="S169">
        <v>1</v>
      </c>
      <c r="T169" s="8" t="s">
        <v>1902</v>
      </c>
      <c r="U169" s="8" t="s">
        <v>1901</v>
      </c>
      <c r="V169" s="10">
        <v>0</v>
      </c>
      <c r="W169" s="11" t="str">
        <f t="shared" si="2"/>
        <v>(1862,null,1,'2026-03-24 00:00:00','003308020050000-33080200501','003308020050000-33080200501','冠脉搭桥+人工血管置换术（每增一支加收）',null,null,540,485,415,null,555,500,425,'每支吻合血管',23,1,'normal','main',0),</v>
      </c>
    </row>
    <row r="170" ht="15.75" spans="1:23">
      <c r="A170">
        <v>1863</v>
      </c>
      <c r="B170" t="s">
        <v>1898</v>
      </c>
      <c r="C170">
        <v>1</v>
      </c>
      <c r="D170" s="9" t="s">
        <v>1899</v>
      </c>
      <c r="E170" t="s">
        <v>960</v>
      </c>
      <c r="F170" t="s">
        <v>960</v>
      </c>
      <c r="G170" t="s">
        <v>961</v>
      </c>
      <c r="H170" t="s">
        <v>1898</v>
      </c>
      <c r="I170" t="s">
        <v>1898</v>
      </c>
      <c r="J170">
        <v>700</v>
      </c>
      <c r="K170">
        <v>630</v>
      </c>
      <c r="L170">
        <v>535</v>
      </c>
      <c r="M170" t="s">
        <v>1898</v>
      </c>
      <c r="N170" s="6">
        <v>555</v>
      </c>
      <c r="O170" s="6">
        <v>500</v>
      </c>
      <c r="P170" s="6">
        <v>425</v>
      </c>
      <c r="Q170" t="s">
        <v>924</v>
      </c>
      <c r="R170">
        <v>23</v>
      </c>
      <c r="S170">
        <v>1</v>
      </c>
      <c r="T170" s="8" t="s">
        <v>1902</v>
      </c>
      <c r="U170" s="8" t="s">
        <v>1901</v>
      </c>
      <c r="V170" s="10">
        <v>0</v>
      </c>
      <c r="W170" s="11" t="str">
        <f t="shared" si="2"/>
        <v>(1863,null,1,'2026-03-24 00:00:00','003308020050000-33080200503','003308020050000-33080200503','小儿冠脉搭桥+人工血管置换术（每增一支加收）',null,null,700,630,535,null,555,500,425,'每支吻合血管',23,1,'normal','main',0),</v>
      </c>
    </row>
    <row r="171" ht="15.75" spans="1:23">
      <c r="A171">
        <v>1864</v>
      </c>
      <c r="B171" t="s">
        <v>1898</v>
      </c>
      <c r="C171">
        <v>1</v>
      </c>
      <c r="D171" s="9" t="s">
        <v>1899</v>
      </c>
      <c r="E171" t="s">
        <v>962</v>
      </c>
      <c r="F171" t="s">
        <v>962</v>
      </c>
      <c r="G171" t="s">
        <v>963</v>
      </c>
      <c r="H171" t="s">
        <v>1898</v>
      </c>
      <c r="I171" t="s">
        <v>1898</v>
      </c>
      <c r="J171">
        <v>540</v>
      </c>
      <c r="K171">
        <v>485</v>
      </c>
      <c r="L171">
        <v>415</v>
      </c>
      <c r="M171" t="s">
        <v>1898</v>
      </c>
      <c r="N171" s="6">
        <v>555</v>
      </c>
      <c r="O171" s="6">
        <v>500</v>
      </c>
      <c r="P171" s="6">
        <v>425</v>
      </c>
      <c r="Q171" t="s">
        <v>924</v>
      </c>
      <c r="R171">
        <v>23</v>
      </c>
      <c r="S171">
        <v>1</v>
      </c>
      <c r="T171" s="8" t="s">
        <v>1902</v>
      </c>
      <c r="U171" s="8" t="s">
        <v>1901</v>
      </c>
      <c r="V171" s="10">
        <v>0</v>
      </c>
      <c r="W171" s="11" t="str">
        <f t="shared" si="2"/>
        <v>(1864,null,1,'2026-03-24 00:00:00','003308020060000-33080200601','003308020060000-33080200601','非体外循环冠状动脉搭桥术（每增一支加收）',null,null,540,485,415,null,555,500,425,'每支吻合血管',23,1,'normal','main',0),</v>
      </c>
    </row>
    <row r="172" ht="15.75" spans="1:23">
      <c r="A172">
        <v>1865</v>
      </c>
      <c r="B172" t="s">
        <v>1898</v>
      </c>
      <c r="C172">
        <v>1</v>
      </c>
      <c r="D172" s="9" t="s">
        <v>1899</v>
      </c>
      <c r="E172" t="s">
        <v>964</v>
      </c>
      <c r="F172" t="s">
        <v>964</v>
      </c>
      <c r="G172" t="s">
        <v>965</v>
      </c>
      <c r="H172" t="s">
        <v>1898</v>
      </c>
      <c r="I172" t="s">
        <v>1898</v>
      </c>
      <c r="J172">
        <v>700</v>
      </c>
      <c r="K172">
        <v>630</v>
      </c>
      <c r="L172">
        <v>535</v>
      </c>
      <c r="M172" t="s">
        <v>1898</v>
      </c>
      <c r="N172" s="6">
        <v>555</v>
      </c>
      <c r="O172" s="6">
        <v>500</v>
      </c>
      <c r="P172" s="6">
        <v>425</v>
      </c>
      <c r="Q172" t="s">
        <v>924</v>
      </c>
      <c r="R172">
        <v>23</v>
      </c>
      <c r="S172">
        <v>1</v>
      </c>
      <c r="T172" s="8" t="s">
        <v>1902</v>
      </c>
      <c r="U172" s="8" t="s">
        <v>1901</v>
      </c>
      <c r="V172" s="10">
        <v>0</v>
      </c>
      <c r="W172" s="11" t="str">
        <f t="shared" si="2"/>
        <v>(1865,null,1,'2026-03-24 00:00:00','003308020060000-33080200603','003308020060000-33080200603','小儿非体外循环冠状动脉搭桥术（每增一支加收）',null,null,700,630,535,null,555,500,425,'每支吻合血管',23,1,'normal','main',0),</v>
      </c>
    </row>
    <row r="173" ht="15.75" spans="1:23">
      <c r="A173">
        <v>1866</v>
      </c>
      <c r="B173" t="s">
        <v>1898</v>
      </c>
      <c r="C173">
        <v>1</v>
      </c>
      <c r="D173" s="9" t="s">
        <v>1899</v>
      </c>
      <c r="E173" t="s">
        <v>974</v>
      </c>
      <c r="F173" t="s">
        <v>974</v>
      </c>
      <c r="G173" t="s">
        <v>975</v>
      </c>
      <c r="H173" t="s">
        <v>1898</v>
      </c>
      <c r="I173" t="s">
        <v>1898</v>
      </c>
      <c r="J173">
        <v>6200</v>
      </c>
      <c r="K173">
        <v>5580</v>
      </c>
      <c r="L173">
        <v>4460</v>
      </c>
      <c r="M173" t="s">
        <v>1898</v>
      </c>
      <c r="N173">
        <v>6200</v>
      </c>
      <c r="O173">
        <v>5580</v>
      </c>
      <c r="P173">
        <v>4750</v>
      </c>
      <c r="Q173" t="s">
        <v>54</v>
      </c>
      <c r="R173">
        <v>23</v>
      </c>
      <c r="S173">
        <v>1</v>
      </c>
      <c r="T173" s="8" t="s">
        <v>1902</v>
      </c>
      <c r="U173" s="8" t="s">
        <v>1901</v>
      </c>
      <c r="V173" s="10">
        <v>0</v>
      </c>
      <c r="W173" s="11" t="str">
        <f t="shared" si="2"/>
        <v>(1866,null,1,'2026-03-24 00:00:00','003308030110000-330803011','003308030110000-330803011','室壁瘤切除术',null,null,6200,5580,4460,null,6200,5580,4750,'次',23,1,'normal','main',0),</v>
      </c>
    </row>
    <row r="174" ht="15.75" spans="1:23">
      <c r="A174">
        <v>1867</v>
      </c>
      <c r="B174" t="s">
        <v>1898</v>
      </c>
      <c r="C174">
        <v>1</v>
      </c>
      <c r="D174" s="9" t="s">
        <v>1899</v>
      </c>
      <c r="E174" t="s">
        <v>980</v>
      </c>
      <c r="F174" t="s">
        <v>980</v>
      </c>
      <c r="G174" t="s">
        <v>981</v>
      </c>
      <c r="H174" t="s">
        <v>1898</v>
      </c>
      <c r="I174" t="s">
        <v>1898</v>
      </c>
      <c r="J174">
        <v>8060</v>
      </c>
      <c r="K174">
        <v>7255</v>
      </c>
      <c r="L174">
        <v>5800</v>
      </c>
      <c r="M174" t="s">
        <v>1898</v>
      </c>
      <c r="N174">
        <v>8060</v>
      </c>
      <c r="O174">
        <v>7255</v>
      </c>
      <c r="P174">
        <v>6175</v>
      </c>
      <c r="Q174" t="s">
        <v>54</v>
      </c>
      <c r="R174">
        <v>23</v>
      </c>
      <c r="S174">
        <v>1</v>
      </c>
      <c r="T174" s="8" t="s">
        <v>1902</v>
      </c>
      <c r="U174" s="8" t="s">
        <v>1901</v>
      </c>
      <c r="V174" s="10">
        <v>0</v>
      </c>
      <c r="W174" s="11" t="str">
        <f t="shared" si="2"/>
        <v>(1867,null,1,'2026-03-24 00:00:00','003308030110000-33080301101','003308030110000-33080301101','小儿室壁瘤切除术',null,null,8060,7255,5800,null,8060,7255,6175,'次',23,1,'normal','main',0),</v>
      </c>
    </row>
    <row r="175" ht="15.75" spans="1:23">
      <c r="A175">
        <v>1868</v>
      </c>
      <c r="B175" t="s">
        <v>1898</v>
      </c>
      <c r="C175">
        <v>1</v>
      </c>
      <c r="D175" s="9" t="s">
        <v>1899</v>
      </c>
      <c r="E175" t="s">
        <v>985</v>
      </c>
      <c r="F175" t="s">
        <v>985</v>
      </c>
      <c r="G175" t="s">
        <v>987</v>
      </c>
      <c r="H175" t="s">
        <v>1898</v>
      </c>
      <c r="I175" t="s">
        <v>1898</v>
      </c>
      <c r="J175">
        <v>9120</v>
      </c>
      <c r="K175">
        <v>8665</v>
      </c>
      <c r="L175">
        <v>7365</v>
      </c>
      <c r="M175" t="s">
        <v>1898</v>
      </c>
      <c r="N175" s="6">
        <v>2850</v>
      </c>
      <c r="O175" s="6">
        <v>2560</v>
      </c>
      <c r="P175" s="6">
        <v>2180</v>
      </c>
      <c r="Q175" t="s">
        <v>54</v>
      </c>
      <c r="R175">
        <v>23</v>
      </c>
      <c r="S175">
        <v>1</v>
      </c>
      <c r="T175" s="8" t="s">
        <v>1902</v>
      </c>
      <c r="U175" s="8" t="s">
        <v>1901</v>
      </c>
      <c r="V175" s="10">
        <v>0</v>
      </c>
      <c r="W175" s="11" t="str">
        <f t="shared" si="2"/>
        <v>(1868,null,1,'2026-03-24 00:00:00','003308030140000-33080301402','003308030140000-33080301402','经导管左心室减容术',null,null,9120,8665,7365,null,2850,2560,2180,'次',23,1,'normal','main',0),</v>
      </c>
    </row>
    <row r="176" ht="15.75" spans="1:23">
      <c r="A176">
        <v>1869</v>
      </c>
      <c r="B176" t="s">
        <v>1898</v>
      </c>
      <c r="C176">
        <v>1</v>
      </c>
      <c r="D176" s="9" t="s">
        <v>1899</v>
      </c>
      <c r="E176" t="s">
        <v>988</v>
      </c>
      <c r="F176" t="s">
        <v>988</v>
      </c>
      <c r="G176" t="s">
        <v>989</v>
      </c>
      <c r="H176" t="s">
        <v>1898</v>
      </c>
      <c r="I176" t="s">
        <v>1898</v>
      </c>
      <c r="J176">
        <v>11855</v>
      </c>
      <c r="K176">
        <v>11265</v>
      </c>
      <c r="L176">
        <v>9575</v>
      </c>
      <c r="M176" t="s">
        <v>1898</v>
      </c>
      <c r="N176" s="6">
        <v>2850</v>
      </c>
      <c r="O176" s="6">
        <v>2560</v>
      </c>
      <c r="P176" s="6">
        <v>2180</v>
      </c>
      <c r="Q176" t="s">
        <v>54</v>
      </c>
      <c r="R176">
        <v>23</v>
      </c>
      <c r="S176">
        <v>1</v>
      </c>
      <c r="T176" s="8" t="s">
        <v>1902</v>
      </c>
      <c r="U176" s="8" t="s">
        <v>1901</v>
      </c>
      <c r="V176" s="10">
        <v>0</v>
      </c>
      <c r="W176" s="11" t="str">
        <f t="shared" si="2"/>
        <v>(1869,null,1,'2026-03-24 00:00:00','003308030140000-33080301403','003308030140000-33080301403','小儿经导管左心室减容术',null,null,11855,11265,9575,null,2850,2560,2180,'次',23,1,'normal','main',0),</v>
      </c>
    </row>
    <row r="177" ht="15.75" spans="1:23">
      <c r="A177">
        <v>1870</v>
      </c>
      <c r="B177" t="s">
        <v>1898</v>
      </c>
      <c r="C177">
        <v>1</v>
      </c>
      <c r="D177" s="9" t="s">
        <v>1899</v>
      </c>
      <c r="E177" t="s">
        <v>996</v>
      </c>
      <c r="F177" t="s">
        <v>996</v>
      </c>
      <c r="G177" t="s">
        <v>997</v>
      </c>
      <c r="H177" t="s">
        <v>1898</v>
      </c>
      <c r="I177" t="s">
        <v>1898</v>
      </c>
      <c r="J177">
        <v>3040</v>
      </c>
      <c r="K177">
        <v>2740</v>
      </c>
      <c r="L177">
        <v>2330</v>
      </c>
      <c r="M177" t="s">
        <v>1898</v>
      </c>
      <c r="N177" s="6">
        <v>3200</v>
      </c>
      <c r="O177" s="6">
        <v>2900</v>
      </c>
      <c r="P177" s="6">
        <v>2450</v>
      </c>
      <c r="Q177" t="s">
        <v>54</v>
      </c>
      <c r="R177">
        <v>23</v>
      </c>
      <c r="S177">
        <v>1</v>
      </c>
      <c r="T177" s="8" t="s">
        <v>1902</v>
      </c>
      <c r="U177" s="8" t="s">
        <v>1901</v>
      </c>
      <c r="V177" s="10">
        <v>0</v>
      </c>
      <c r="W177" s="11" t="str">
        <f t="shared" si="2"/>
        <v>(1870,null,1,'2026-03-24 00:00:00','003308030020000-330803002','003308030020000-330803002','心包剥脱术',null,null,3040,2740,2330,null,3200,2900,2450,'次',23,1,'normal','main',0),</v>
      </c>
    </row>
    <row r="178" ht="15.75" spans="1:23">
      <c r="A178">
        <v>1871</v>
      </c>
      <c r="B178" t="s">
        <v>1898</v>
      </c>
      <c r="C178">
        <v>1</v>
      </c>
      <c r="D178" s="9" t="s">
        <v>1899</v>
      </c>
      <c r="E178" t="s">
        <v>999</v>
      </c>
      <c r="F178" t="s">
        <v>999</v>
      </c>
      <c r="G178" t="s">
        <v>1000</v>
      </c>
      <c r="H178" t="s">
        <v>1898</v>
      </c>
      <c r="I178" t="s">
        <v>1898</v>
      </c>
      <c r="J178">
        <v>2250</v>
      </c>
      <c r="K178">
        <v>2160</v>
      </c>
      <c r="L178">
        <v>1836</v>
      </c>
      <c r="M178" t="s">
        <v>1898</v>
      </c>
      <c r="N178" s="6">
        <v>3200</v>
      </c>
      <c r="O178" s="6">
        <v>2900</v>
      </c>
      <c r="P178" s="6">
        <v>2450</v>
      </c>
      <c r="Q178" t="s">
        <v>54</v>
      </c>
      <c r="R178">
        <v>23</v>
      </c>
      <c r="S178">
        <v>1</v>
      </c>
      <c r="T178" s="8" t="s">
        <v>1902</v>
      </c>
      <c r="U178" s="8" t="s">
        <v>1901</v>
      </c>
      <c r="V178" s="10">
        <v>0</v>
      </c>
      <c r="W178" s="11" t="str">
        <f t="shared" si="2"/>
        <v>(1871,null,1,'2026-03-24 00:00:00','003308030030000-330803003','003308030030000-330803003','经胸腔镜心包部分切除术',null,null,2250,2160,1836,null,3200,2900,2450,'次',23,1,'normal','main',0),</v>
      </c>
    </row>
    <row r="179" ht="15.75" spans="1:23">
      <c r="A179">
        <v>1872</v>
      </c>
      <c r="B179" t="s">
        <v>1898</v>
      </c>
      <c r="C179">
        <v>1</v>
      </c>
      <c r="D179" s="9" t="s">
        <v>1899</v>
      </c>
      <c r="E179" t="s">
        <v>1003</v>
      </c>
      <c r="F179" t="s">
        <v>1003</v>
      </c>
      <c r="G179" t="s">
        <v>1004</v>
      </c>
      <c r="H179" t="s">
        <v>1898</v>
      </c>
      <c r="I179" t="s">
        <v>1898</v>
      </c>
      <c r="J179">
        <v>3950</v>
      </c>
      <c r="K179">
        <v>3560</v>
      </c>
      <c r="L179">
        <v>3025</v>
      </c>
      <c r="M179" t="s">
        <v>1898</v>
      </c>
      <c r="N179" s="6">
        <v>4160</v>
      </c>
      <c r="O179" s="6">
        <v>3770</v>
      </c>
      <c r="P179" s="6">
        <v>3185</v>
      </c>
      <c r="Q179" t="s">
        <v>54</v>
      </c>
      <c r="R179">
        <v>23</v>
      </c>
      <c r="S179">
        <v>1</v>
      </c>
      <c r="T179" s="8" t="s">
        <v>1902</v>
      </c>
      <c r="U179" s="8" t="s">
        <v>1901</v>
      </c>
      <c r="V179" s="10">
        <v>0</v>
      </c>
      <c r="W179" s="11" t="str">
        <f t="shared" si="2"/>
        <v>(1872,null,1,'2026-03-24 00:00:00','003308030020000-33080300201','003308030020000-33080300201','小儿心包剥脱术',null,null,3950,3560,3025,null,4160,3770,3185,'次',23,1,'normal','main',0),</v>
      </c>
    </row>
    <row r="180" ht="15.75" spans="1:23">
      <c r="A180">
        <v>1873</v>
      </c>
      <c r="B180" t="s">
        <v>1898</v>
      </c>
      <c r="C180">
        <v>1</v>
      </c>
      <c r="D180" s="9" t="s">
        <v>1899</v>
      </c>
      <c r="E180" t="s">
        <v>1005</v>
      </c>
      <c r="F180" t="s">
        <v>1005</v>
      </c>
      <c r="G180" t="s">
        <v>1006</v>
      </c>
      <c r="H180" t="s">
        <v>1898</v>
      </c>
      <c r="I180" t="s">
        <v>1898</v>
      </c>
      <c r="J180">
        <v>2925</v>
      </c>
      <c r="K180">
        <v>2810</v>
      </c>
      <c r="L180">
        <v>2390</v>
      </c>
      <c r="M180" t="s">
        <v>1898</v>
      </c>
      <c r="N180" s="6">
        <v>4160</v>
      </c>
      <c r="O180" s="6">
        <v>3770</v>
      </c>
      <c r="P180" s="6">
        <v>3185</v>
      </c>
      <c r="Q180" t="s">
        <v>54</v>
      </c>
      <c r="R180">
        <v>23</v>
      </c>
      <c r="S180">
        <v>1</v>
      </c>
      <c r="T180" s="8" t="s">
        <v>1902</v>
      </c>
      <c r="U180" s="8" t="s">
        <v>1901</v>
      </c>
      <c r="V180" s="10">
        <v>0</v>
      </c>
      <c r="W180" s="11" t="str">
        <f t="shared" si="2"/>
        <v>(1873,null,1,'2026-03-24 00:00:00','003308030030000-33080300301','003308030030000-33080300301','小儿经胸腔镜心包部分切除术',null,null,2925,2810,2390,null,4160,3770,3185,'次',23,1,'normal','main',0),</v>
      </c>
    </row>
    <row r="181" ht="15.75" spans="1:23">
      <c r="A181">
        <v>1874</v>
      </c>
      <c r="B181" t="s">
        <v>1898</v>
      </c>
      <c r="C181">
        <v>1</v>
      </c>
      <c r="D181" s="9" t="s">
        <v>1899</v>
      </c>
      <c r="E181" t="s">
        <v>1012</v>
      </c>
      <c r="F181" t="s">
        <v>1012</v>
      </c>
      <c r="G181" t="s">
        <v>1013</v>
      </c>
      <c r="H181" t="s">
        <v>1898</v>
      </c>
      <c r="I181" t="s">
        <v>1898</v>
      </c>
      <c r="J181">
        <v>5060</v>
      </c>
      <c r="K181">
        <v>4550</v>
      </c>
      <c r="L181">
        <v>3870</v>
      </c>
      <c r="M181" t="s">
        <v>1898</v>
      </c>
      <c r="N181" s="6">
        <v>3700</v>
      </c>
      <c r="O181" s="6">
        <v>3350</v>
      </c>
      <c r="P181" s="6">
        <v>2850</v>
      </c>
      <c r="Q181" t="s">
        <v>54</v>
      </c>
      <c r="R181">
        <v>23</v>
      </c>
      <c r="S181">
        <v>1</v>
      </c>
      <c r="T181" s="8" t="s">
        <v>1902</v>
      </c>
      <c r="U181" s="8" t="s">
        <v>1901</v>
      </c>
      <c r="V181" s="10">
        <v>0</v>
      </c>
      <c r="W181" s="11" t="str">
        <f t="shared" si="2"/>
        <v>(1874,null,1,'2026-03-24 00:00:00','003308020130000-330802013','003308020130000-330802013','肺动脉栓塞摘除术',null,null,5060,4550,3870,null,3700,3350,2850,'次',23,1,'normal','main',0),</v>
      </c>
    </row>
    <row r="182" ht="15.75" spans="1:23">
      <c r="A182">
        <v>1875</v>
      </c>
      <c r="B182" t="s">
        <v>1898</v>
      </c>
      <c r="C182">
        <v>1</v>
      </c>
      <c r="D182" s="9" t="s">
        <v>1899</v>
      </c>
      <c r="E182" t="s">
        <v>1014</v>
      </c>
      <c r="F182" t="s">
        <v>1014</v>
      </c>
      <c r="G182" t="s">
        <v>1015</v>
      </c>
      <c r="H182" t="s">
        <v>1898</v>
      </c>
      <c r="I182" t="s">
        <v>1898</v>
      </c>
      <c r="J182">
        <v>2500</v>
      </c>
      <c r="K182">
        <v>2400</v>
      </c>
      <c r="L182">
        <v>2040</v>
      </c>
      <c r="M182" t="s">
        <v>1898</v>
      </c>
      <c r="N182" s="6">
        <v>3700</v>
      </c>
      <c r="O182" s="6">
        <v>3350</v>
      </c>
      <c r="P182" s="6">
        <v>2850</v>
      </c>
      <c r="Q182" t="s">
        <v>54</v>
      </c>
      <c r="R182">
        <v>23</v>
      </c>
      <c r="S182">
        <v>1</v>
      </c>
      <c r="T182" s="8" t="s">
        <v>1902</v>
      </c>
      <c r="U182" s="8" t="s">
        <v>1901</v>
      </c>
      <c r="V182" s="10">
        <v>0</v>
      </c>
      <c r="W182" s="11" t="str">
        <f t="shared" si="2"/>
        <v>(1875,null,1,'2026-03-24 00:00:00','003308030120000-330803012','003308030120000-330803012','心房血栓清除术',null,null,2500,2400,2040,null,3700,3350,2850,'次',23,1,'normal','main',0),</v>
      </c>
    </row>
    <row r="183" ht="15.75" spans="1:23">
      <c r="A183">
        <v>1876</v>
      </c>
      <c r="B183" t="s">
        <v>1898</v>
      </c>
      <c r="C183">
        <v>1</v>
      </c>
      <c r="D183" s="9" t="s">
        <v>1899</v>
      </c>
      <c r="E183" t="s">
        <v>1018</v>
      </c>
      <c r="F183" t="s">
        <v>1018</v>
      </c>
      <c r="G183" t="s">
        <v>1019</v>
      </c>
      <c r="H183" t="s">
        <v>1898</v>
      </c>
      <c r="I183" t="s">
        <v>1898</v>
      </c>
      <c r="J183">
        <v>6580</v>
      </c>
      <c r="K183">
        <v>5915</v>
      </c>
      <c r="L183">
        <v>5030</v>
      </c>
      <c r="M183" t="s">
        <v>1898</v>
      </c>
      <c r="N183" s="6">
        <v>4810</v>
      </c>
      <c r="O183" s="6">
        <v>4355</v>
      </c>
      <c r="P183" s="6">
        <v>3705</v>
      </c>
      <c r="Q183" t="s">
        <v>54</v>
      </c>
      <c r="R183">
        <v>23</v>
      </c>
      <c r="S183">
        <v>1</v>
      </c>
      <c r="T183" s="8" t="s">
        <v>1902</v>
      </c>
      <c r="U183" s="8" t="s">
        <v>1901</v>
      </c>
      <c r="V183" s="10">
        <v>0</v>
      </c>
      <c r="W183" s="11" t="str">
        <f t="shared" si="2"/>
        <v>(1876,null,1,'2026-03-24 00:00:00','003308020130000-33080201301','003308020130000-33080201301','小儿肺动脉栓塞摘除术',null,null,6580,5915,5030,null,4810,4355,3705,'次',23,1,'normal','main',0),</v>
      </c>
    </row>
    <row r="184" ht="15.75" spans="1:23">
      <c r="A184">
        <v>1877</v>
      </c>
      <c r="B184" t="s">
        <v>1898</v>
      </c>
      <c r="C184">
        <v>1</v>
      </c>
      <c r="D184" s="9" t="s">
        <v>1899</v>
      </c>
      <c r="E184" t="s">
        <v>1020</v>
      </c>
      <c r="F184" t="s">
        <v>1020</v>
      </c>
      <c r="G184" t="s">
        <v>1021</v>
      </c>
      <c r="H184" t="s">
        <v>1898</v>
      </c>
      <c r="I184" t="s">
        <v>1898</v>
      </c>
      <c r="J184">
        <v>3250</v>
      </c>
      <c r="K184">
        <v>3120</v>
      </c>
      <c r="L184">
        <v>2650</v>
      </c>
      <c r="M184" t="s">
        <v>1898</v>
      </c>
      <c r="N184" s="6">
        <v>4810</v>
      </c>
      <c r="O184" s="6">
        <v>4355</v>
      </c>
      <c r="P184" s="6">
        <v>3705</v>
      </c>
      <c r="Q184" t="s">
        <v>54</v>
      </c>
      <c r="R184">
        <v>23</v>
      </c>
      <c r="S184">
        <v>1</v>
      </c>
      <c r="T184" s="8" t="s">
        <v>1902</v>
      </c>
      <c r="U184" s="8" t="s">
        <v>1901</v>
      </c>
      <c r="V184" s="10">
        <v>0</v>
      </c>
      <c r="W184" s="11" t="str">
        <f t="shared" si="2"/>
        <v>(1877,null,1,'2026-03-24 00:00:00','003308030120000-33080301201','003308030120000-33080301201','小儿心房血栓清除术',null,null,3250,3120,2650,null,4810,4355,3705,'次',23,1,'normal','main',0),</v>
      </c>
    </row>
    <row r="185" ht="15.75" spans="1:23">
      <c r="A185">
        <v>1878</v>
      </c>
      <c r="B185" t="s">
        <v>1898</v>
      </c>
      <c r="C185">
        <v>1</v>
      </c>
      <c r="D185" s="9" t="s">
        <v>1899</v>
      </c>
      <c r="E185" t="s">
        <v>1026</v>
      </c>
      <c r="F185" t="s">
        <v>1026</v>
      </c>
      <c r="G185" t="s">
        <v>1027</v>
      </c>
      <c r="H185" t="s">
        <v>1898</v>
      </c>
      <c r="I185" t="s">
        <v>1898</v>
      </c>
      <c r="J185">
        <v>1250</v>
      </c>
      <c r="K185">
        <v>1200</v>
      </c>
      <c r="L185">
        <v>1020</v>
      </c>
      <c r="M185" t="s">
        <v>1898</v>
      </c>
      <c r="N185">
        <v>1250</v>
      </c>
      <c r="O185">
        <v>1200</v>
      </c>
      <c r="P185">
        <v>1020</v>
      </c>
      <c r="Q185" t="s">
        <v>54</v>
      </c>
      <c r="R185">
        <v>23</v>
      </c>
      <c r="S185">
        <v>1</v>
      </c>
      <c r="T185" s="8" t="s">
        <v>1902</v>
      </c>
      <c r="U185" s="8" t="s">
        <v>1901</v>
      </c>
      <c r="V185" s="10">
        <v>0</v>
      </c>
      <c r="W185" s="11" t="str">
        <f t="shared" si="2"/>
        <v>(1878,null,1,'2026-03-24 00:00:00','003308030050000-330803005','003308030050000-330803005','心包开窗引流术',null,null,1250,1200,1020,null,1250,1200,1020,'次',23,1,'normal','main',0),</v>
      </c>
    </row>
    <row r="186" ht="15.75" spans="1:23">
      <c r="A186">
        <v>1879</v>
      </c>
      <c r="B186" t="s">
        <v>1898</v>
      </c>
      <c r="C186">
        <v>1</v>
      </c>
      <c r="D186" s="9" t="s">
        <v>1899</v>
      </c>
      <c r="E186" t="s">
        <v>1030</v>
      </c>
      <c r="F186" t="s">
        <v>1030</v>
      </c>
      <c r="G186" t="s">
        <v>1031</v>
      </c>
      <c r="H186" t="s">
        <v>1898</v>
      </c>
      <c r="I186" t="s">
        <v>1898</v>
      </c>
      <c r="J186">
        <v>1625</v>
      </c>
      <c r="K186">
        <v>1560</v>
      </c>
      <c r="L186">
        <v>1325</v>
      </c>
      <c r="M186" t="s">
        <v>1898</v>
      </c>
      <c r="N186">
        <v>1625</v>
      </c>
      <c r="O186">
        <v>1560</v>
      </c>
      <c r="P186">
        <v>1325</v>
      </c>
      <c r="Q186" t="s">
        <v>54</v>
      </c>
      <c r="R186">
        <v>23</v>
      </c>
      <c r="S186">
        <v>1</v>
      </c>
      <c r="T186" s="8" t="s">
        <v>1902</v>
      </c>
      <c r="U186" s="8" t="s">
        <v>1901</v>
      </c>
      <c r="V186" s="10">
        <v>0</v>
      </c>
      <c r="W186" s="11" t="str">
        <f t="shared" si="2"/>
        <v>(1879,null,1,'2026-03-24 00:00:00','003308030050000-33080300501','003308030050000-33080300501','小儿心包开窗引流术',null,null,1625,1560,1325,null,1625,1560,1325,'次',23,1,'normal','main',0),</v>
      </c>
    </row>
    <row r="187" ht="15.75" spans="1:23">
      <c r="A187">
        <v>1880</v>
      </c>
      <c r="B187" t="s">
        <v>1898</v>
      </c>
      <c r="C187">
        <v>1</v>
      </c>
      <c r="D187" s="9" t="s">
        <v>1899</v>
      </c>
      <c r="E187" t="s">
        <v>1036</v>
      </c>
      <c r="F187" t="s">
        <v>1036</v>
      </c>
      <c r="G187" t="s">
        <v>1037</v>
      </c>
      <c r="H187" t="s">
        <v>1898</v>
      </c>
      <c r="I187" t="s">
        <v>1898</v>
      </c>
      <c r="J187">
        <v>2250</v>
      </c>
      <c r="K187">
        <v>2160</v>
      </c>
      <c r="L187">
        <v>1836</v>
      </c>
      <c r="M187" t="s">
        <v>1898</v>
      </c>
      <c r="N187" s="6">
        <v>2600</v>
      </c>
      <c r="O187" s="6">
        <v>2450</v>
      </c>
      <c r="P187" s="6">
        <v>2080</v>
      </c>
      <c r="Q187" t="s">
        <v>54</v>
      </c>
      <c r="R187">
        <v>23</v>
      </c>
      <c r="S187">
        <v>1</v>
      </c>
      <c r="T187" s="8" t="s">
        <v>1902</v>
      </c>
      <c r="U187" s="8" t="s">
        <v>1901</v>
      </c>
      <c r="V187" s="10">
        <v>0</v>
      </c>
      <c r="W187" s="11" t="str">
        <f t="shared" si="2"/>
        <v>(1880,null,1,'2026-03-24 00:00:00','003308030040000-330803004','003308030040000-330803004','心包肿瘤切除术',null,null,2250,2160,1836,null,2600,2450,2080,'次',23,1,'normal','main',0),</v>
      </c>
    </row>
    <row r="188" ht="15.75" spans="1:23">
      <c r="A188">
        <v>1881</v>
      </c>
      <c r="B188" t="s">
        <v>1898</v>
      </c>
      <c r="C188">
        <v>1</v>
      </c>
      <c r="D188" s="9" t="s">
        <v>1899</v>
      </c>
      <c r="E188" t="s">
        <v>1038</v>
      </c>
      <c r="F188" t="s">
        <v>1038</v>
      </c>
      <c r="G188" t="s">
        <v>1039</v>
      </c>
      <c r="H188" t="s">
        <v>1898</v>
      </c>
      <c r="I188" t="s">
        <v>1898</v>
      </c>
      <c r="J188">
        <v>2875</v>
      </c>
      <c r="K188">
        <v>2760</v>
      </c>
      <c r="L188">
        <v>2346</v>
      </c>
      <c r="M188" t="s">
        <v>1898</v>
      </c>
      <c r="N188" s="6">
        <v>2600</v>
      </c>
      <c r="O188" s="6">
        <v>2450</v>
      </c>
      <c r="P188" s="6">
        <v>2080</v>
      </c>
      <c r="Q188" t="s">
        <v>54</v>
      </c>
      <c r="R188">
        <v>23</v>
      </c>
      <c r="S188">
        <v>1</v>
      </c>
      <c r="T188" s="8" t="s">
        <v>1902</v>
      </c>
      <c r="U188" s="8" t="s">
        <v>1901</v>
      </c>
      <c r="V188" s="10">
        <v>0</v>
      </c>
      <c r="W188" s="11" t="str">
        <f t="shared" si="2"/>
        <v>(1881,null,1,'2026-03-24 00:00:00','003308030040001-33080300402','003308030040001-33080300402','经胸腔镜心包肿瘤切除术',null,null,2875,2760,2346,null,2600,2450,2080,'次',23,1,'normal','main',0),</v>
      </c>
    </row>
    <row r="189" ht="15.75" spans="1:23">
      <c r="A189">
        <v>1882</v>
      </c>
      <c r="B189" t="s">
        <v>1898</v>
      </c>
      <c r="C189">
        <v>1</v>
      </c>
      <c r="D189" s="9" t="s">
        <v>1899</v>
      </c>
      <c r="E189" t="s">
        <v>1042</v>
      </c>
      <c r="F189" t="s">
        <v>1042</v>
      </c>
      <c r="G189" t="s">
        <v>1043</v>
      </c>
      <c r="H189" t="s">
        <v>1898</v>
      </c>
      <c r="I189" t="s">
        <v>1898</v>
      </c>
      <c r="J189">
        <v>2925</v>
      </c>
      <c r="K189">
        <v>2810</v>
      </c>
      <c r="L189">
        <v>2390</v>
      </c>
      <c r="M189" t="s">
        <v>1898</v>
      </c>
      <c r="N189" s="6">
        <v>3380</v>
      </c>
      <c r="O189" s="6">
        <v>3185</v>
      </c>
      <c r="P189" s="6">
        <v>2705</v>
      </c>
      <c r="Q189" t="s">
        <v>54</v>
      </c>
      <c r="R189">
        <v>23</v>
      </c>
      <c r="S189">
        <v>1</v>
      </c>
      <c r="T189" s="8" t="s">
        <v>1902</v>
      </c>
      <c r="U189" s="8" t="s">
        <v>1901</v>
      </c>
      <c r="V189" s="10">
        <v>0</v>
      </c>
      <c r="W189" s="11" t="str">
        <f t="shared" si="2"/>
        <v>(1882,null,1,'2026-03-24 00:00:00','003308030040000-33080300401','003308030040000-33080300401','小儿心包肿瘤切除术',null,null,2925,2810,2390,null,3380,3185,2705,'次',23,1,'normal','main',0),</v>
      </c>
    </row>
    <row r="190" ht="15.75" spans="1:23">
      <c r="A190">
        <v>1883</v>
      </c>
      <c r="B190" t="s">
        <v>1898</v>
      </c>
      <c r="C190">
        <v>1</v>
      </c>
      <c r="D190" s="9" t="s">
        <v>1899</v>
      </c>
      <c r="E190" t="s">
        <v>1044</v>
      </c>
      <c r="F190" t="s">
        <v>1044</v>
      </c>
      <c r="G190" t="s">
        <v>1045</v>
      </c>
      <c r="H190" t="s">
        <v>1898</v>
      </c>
      <c r="I190" t="s">
        <v>1898</v>
      </c>
      <c r="J190">
        <v>3550</v>
      </c>
      <c r="K190">
        <v>3410</v>
      </c>
      <c r="L190">
        <v>2900</v>
      </c>
      <c r="M190" t="s">
        <v>1898</v>
      </c>
      <c r="N190" s="6">
        <v>3380</v>
      </c>
      <c r="O190" s="6">
        <v>3185</v>
      </c>
      <c r="P190" s="6">
        <v>2705</v>
      </c>
      <c r="Q190" t="s">
        <v>54</v>
      </c>
      <c r="R190">
        <v>23</v>
      </c>
      <c r="S190">
        <v>1</v>
      </c>
      <c r="T190" s="8" t="s">
        <v>1902</v>
      </c>
      <c r="U190" s="8" t="s">
        <v>1901</v>
      </c>
      <c r="V190" s="10">
        <v>0</v>
      </c>
      <c r="W190" s="11" t="str">
        <f t="shared" si="2"/>
        <v>(1883,null,1,'2026-03-24 00:00:00','003308030040001-33080300403','003308030040001-33080300403','小儿经胸腔镜心包肿瘤切除术',null,null,3550,3410,2900,null,3380,3185,2705,'次',23,1,'normal','main',0),</v>
      </c>
    </row>
    <row r="191" ht="15.75" spans="1:23">
      <c r="A191">
        <v>1884</v>
      </c>
      <c r="B191" t="s">
        <v>1898</v>
      </c>
      <c r="C191">
        <v>1</v>
      </c>
      <c r="D191" s="9" t="s">
        <v>1899</v>
      </c>
      <c r="E191" t="s">
        <v>1052</v>
      </c>
      <c r="F191" t="s">
        <v>1052</v>
      </c>
      <c r="G191" t="s">
        <v>1053</v>
      </c>
      <c r="H191" t="s">
        <v>1898</v>
      </c>
      <c r="I191" t="s">
        <v>1898</v>
      </c>
      <c r="J191">
        <v>4750</v>
      </c>
      <c r="K191">
        <v>4275</v>
      </c>
      <c r="L191">
        <v>3420</v>
      </c>
      <c r="M191" t="s">
        <v>1898</v>
      </c>
      <c r="N191" s="6">
        <v>5080</v>
      </c>
      <c r="O191" s="6">
        <v>4580</v>
      </c>
      <c r="P191" s="6">
        <v>3900</v>
      </c>
      <c r="Q191" t="s">
        <v>54</v>
      </c>
      <c r="R191">
        <v>23</v>
      </c>
      <c r="S191">
        <v>1</v>
      </c>
      <c r="T191" s="8" t="s">
        <v>1902</v>
      </c>
      <c r="U191" s="8" t="s">
        <v>1901</v>
      </c>
      <c r="V191" s="10">
        <v>0</v>
      </c>
      <c r="W191" s="11" t="str">
        <f t="shared" si="2"/>
        <v>(1884,null,1,'2026-03-24 00:00:00','003308030090000-330803009','003308030090000-330803009','心脏良性肿瘤摘除术',null,null,4750,4275,3420,null,5080,4580,3900,'次',23,1,'normal','main',0),</v>
      </c>
    </row>
    <row r="192" ht="15.75" spans="1:23">
      <c r="A192">
        <v>1885</v>
      </c>
      <c r="B192" t="s">
        <v>1898</v>
      </c>
      <c r="C192">
        <v>1</v>
      </c>
      <c r="D192" s="9" t="s">
        <v>1899</v>
      </c>
      <c r="E192" t="s">
        <v>1056</v>
      </c>
      <c r="F192" t="s">
        <v>1056</v>
      </c>
      <c r="G192" t="s">
        <v>1057</v>
      </c>
      <c r="H192" t="s">
        <v>1898</v>
      </c>
      <c r="I192" t="s">
        <v>1898</v>
      </c>
      <c r="J192">
        <v>5470</v>
      </c>
      <c r="K192">
        <v>4925</v>
      </c>
      <c r="L192">
        <v>3975</v>
      </c>
      <c r="M192" t="s">
        <v>1898</v>
      </c>
      <c r="N192" s="6">
        <v>5080</v>
      </c>
      <c r="O192" s="6">
        <v>4580</v>
      </c>
      <c r="P192" s="6">
        <v>3900</v>
      </c>
      <c r="Q192" t="s">
        <v>54</v>
      </c>
      <c r="R192">
        <v>23</v>
      </c>
      <c r="S192">
        <v>1</v>
      </c>
      <c r="T192" s="8" t="s">
        <v>1902</v>
      </c>
      <c r="U192" s="8" t="s">
        <v>1901</v>
      </c>
      <c r="V192" s="10">
        <v>0</v>
      </c>
      <c r="W192" s="11" t="str">
        <f t="shared" si="2"/>
        <v>(1885,null,1,'2026-03-24 00:00:00','003308030090001-33080300901','003308030090001-33080300901','心脏良性肿瘤摘除术（多发肿瘤）',null,null,5470,4925,3975,null,5080,4580,3900,'次',23,1,'normal','main',0),</v>
      </c>
    </row>
    <row r="193" ht="15.75" spans="1:23">
      <c r="A193">
        <v>1886</v>
      </c>
      <c r="B193" t="s">
        <v>1898</v>
      </c>
      <c r="C193">
        <v>1</v>
      </c>
      <c r="D193" s="9" t="s">
        <v>1899</v>
      </c>
      <c r="E193" t="s">
        <v>1059</v>
      </c>
      <c r="F193" t="s">
        <v>1059</v>
      </c>
      <c r="G193" t="s">
        <v>1060</v>
      </c>
      <c r="H193" t="s">
        <v>1898</v>
      </c>
      <c r="I193" t="s">
        <v>1898</v>
      </c>
      <c r="J193">
        <v>2500</v>
      </c>
      <c r="K193">
        <v>2400</v>
      </c>
      <c r="L193">
        <v>2040</v>
      </c>
      <c r="M193" t="s">
        <v>1898</v>
      </c>
      <c r="N193" s="6">
        <v>0</v>
      </c>
      <c r="O193" s="6">
        <v>0</v>
      </c>
      <c r="P193" s="6">
        <v>0</v>
      </c>
      <c r="Q193" t="s">
        <v>54</v>
      </c>
      <c r="R193">
        <v>23</v>
      </c>
      <c r="S193">
        <v>1</v>
      </c>
      <c r="T193" s="8" t="s">
        <v>1902</v>
      </c>
      <c r="U193" s="8" t="s">
        <v>1901</v>
      </c>
      <c r="V193" s="10">
        <v>0</v>
      </c>
      <c r="W193" s="11" t="str">
        <f t="shared" si="2"/>
        <v>(1886,null,1,'2026-03-24 00:00:00','003308030130000-330803013','003308030130000-330803013','心房折叠术',null,null,2500,2400,2040,null,0,0,0,'次',23,1,'normal','main',0),</v>
      </c>
    </row>
    <row r="194" ht="15.75" spans="1:23">
      <c r="A194">
        <v>1887</v>
      </c>
      <c r="B194" t="s">
        <v>1898</v>
      </c>
      <c r="C194">
        <v>1</v>
      </c>
      <c r="D194" s="9" t="s">
        <v>1899</v>
      </c>
      <c r="E194" t="s">
        <v>1063</v>
      </c>
      <c r="F194" t="s">
        <v>1063</v>
      </c>
      <c r="G194" t="s">
        <v>1064</v>
      </c>
      <c r="H194" t="s">
        <v>1898</v>
      </c>
      <c r="I194" t="s">
        <v>1898</v>
      </c>
      <c r="J194">
        <v>6175</v>
      </c>
      <c r="K194">
        <v>5555</v>
      </c>
      <c r="L194">
        <v>4445</v>
      </c>
      <c r="M194" t="s">
        <v>1898</v>
      </c>
      <c r="N194" s="6">
        <v>6605</v>
      </c>
      <c r="O194" s="6">
        <v>5955</v>
      </c>
      <c r="P194" s="6">
        <v>5070</v>
      </c>
      <c r="Q194" t="s">
        <v>54</v>
      </c>
      <c r="R194">
        <v>23</v>
      </c>
      <c r="S194">
        <v>1</v>
      </c>
      <c r="T194" s="8" t="s">
        <v>1902</v>
      </c>
      <c r="U194" s="8" t="s">
        <v>1901</v>
      </c>
      <c r="V194" s="10">
        <v>0</v>
      </c>
      <c r="W194" s="11" t="str">
        <f t="shared" si="2"/>
        <v>(1887,null,1,'2026-03-24 00:00:00','003308030090000-33080300902','003308030090000-33080300902','小儿心脏良性肿瘤摘除术',null,null,6175,5555,4445,null,6605,5955,5070,'次',23,1,'normal','main',0),</v>
      </c>
    </row>
    <row r="195" ht="15.75" spans="1:23">
      <c r="A195">
        <v>1888</v>
      </c>
      <c r="B195" t="s">
        <v>1898</v>
      </c>
      <c r="C195">
        <v>1</v>
      </c>
      <c r="D195" s="9" t="s">
        <v>1899</v>
      </c>
      <c r="E195" t="s">
        <v>1065</v>
      </c>
      <c r="F195" t="s">
        <v>1065</v>
      </c>
      <c r="G195" t="s">
        <v>1066</v>
      </c>
      <c r="H195" t="s">
        <v>1898</v>
      </c>
      <c r="I195" t="s">
        <v>1898</v>
      </c>
      <c r="J195">
        <v>7110</v>
      </c>
      <c r="K195">
        <v>6400</v>
      </c>
      <c r="L195">
        <v>5165</v>
      </c>
      <c r="M195" t="s">
        <v>1898</v>
      </c>
      <c r="N195" s="6">
        <v>6605</v>
      </c>
      <c r="O195" s="6">
        <v>5955</v>
      </c>
      <c r="P195" s="6">
        <v>5070</v>
      </c>
      <c r="Q195" t="s">
        <v>54</v>
      </c>
      <c r="R195">
        <v>23</v>
      </c>
      <c r="S195">
        <v>1</v>
      </c>
      <c r="T195" s="8" t="s">
        <v>1902</v>
      </c>
      <c r="U195" s="8" t="s">
        <v>1901</v>
      </c>
      <c r="V195" s="10">
        <v>0</v>
      </c>
      <c r="W195" s="11" t="str">
        <f t="shared" ref="W195:W258" si="3">"("&amp;A195&amp;","&amp;B195&amp;","&amp;C195&amp;",'"&amp;D195&amp;"','"&amp;E195&amp;"','"&amp;F195&amp;"','"&amp;G195&amp;"',"&amp;H195&amp;","&amp;I195&amp;","&amp;J195&amp;","&amp;K195&amp;","&amp;L195&amp;","&amp;M195&amp;","&amp;N195&amp;","&amp;O195&amp;","&amp;P195&amp;",'"&amp;Q195&amp;"',"&amp;R195&amp;","&amp;S195&amp;",'"&amp;T195&amp;"','"&amp;U195&amp;"',"&amp;V195&amp;"),"</f>
        <v>(1888,null,1,'2026-03-24 00:00:00','003308030090001-33080300903','003308030090001-33080300903','小儿心脏良性肿瘤摘除术（多发肿瘤）',null,null,7110,6400,5165,null,6605,5955,5070,'次',23,1,'normal','main',0),</v>
      </c>
    </row>
    <row r="196" ht="15.75" spans="1:23">
      <c r="A196">
        <v>1889</v>
      </c>
      <c r="B196" t="s">
        <v>1898</v>
      </c>
      <c r="C196">
        <v>1</v>
      </c>
      <c r="D196" s="9" t="s">
        <v>1899</v>
      </c>
      <c r="E196" t="s">
        <v>1067</v>
      </c>
      <c r="F196" t="s">
        <v>1067</v>
      </c>
      <c r="G196" t="s">
        <v>1068</v>
      </c>
      <c r="H196" t="s">
        <v>1898</v>
      </c>
      <c r="I196" t="s">
        <v>1898</v>
      </c>
      <c r="J196">
        <v>3250</v>
      </c>
      <c r="K196">
        <v>3120</v>
      </c>
      <c r="L196">
        <v>2650</v>
      </c>
      <c r="M196" t="s">
        <v>1898</v>
      </c>
      <c r="N196" s="6">
        <v>0</v>
      </c>
      <c r="O196" s="6">
        <v>0</v>
      </c>
      <c r="P196" s="6">
        <v>0</v>
      </c>
      <c r="Q196" t="s">
        <v>54</v>
      </c>
      <c r="R196">
        <v>23</v>
      </c>
      <c r="S196">
        <v>1</v>
      </c>
      <c r="T196" s="8" t="s">
        <v>1902</v>
      </c>
      <c r="U196" s="8" t="s">
        <v>1901</v>
      </c>
      <c r="V196" s="10">
        <v>0</v>
      </c>
      <c r="W196" s="11" t="str">
        <f t="shared" si="3"/>
        <v>(1889,null,1,'2026-03-24 00:00:00','003308030130000-33080301301','003308030130000-33080301301','小儿心房折叠术',null,null,3250,3120,2650,null,0,0,0,'次',23,1,'normal','main',0),</v>
      </c>
    </row>
    <row r="197" ht="15.75" spans="1:23">
      <c r="A197">
        <v>1890</v>
      </c>
      <c r="B197" t="s">
        <v>1898</v>
      </c>
      <c r="C197">
        <v>1</v>
      </c>
      <c r="D197" s="9" t="s">
        <v>1899</v>
      </c>
      <c r="E197" t="s">
        <v>1071</v>
      </c>
      <c r="F197" t="s">
        <v>1071</v>
      </c>
      <c r="G197" t="s">
        <v>1072</v>
      </c>
      <c r="H197" t="s">
        <v>1898</v>
      </c>
      <c r="I197" t="s">
        <v>1898</v>
      </c>
      <c r="J197">
        <v>5400</v>
      </c>
      <c r="K197">
        <v>4860</v>
      </c>
      <c r="L197">
        <v>4130</v>
      </c>
      <c r="M197" t="s">
        <v>1898</v>
      </c>
      <c r="N197" s="6">
        <v>1100</v>
      </c>
      <c r="O197" s="6">
        <v>990</v>
      </c>
      <c r="P197" s="6">
        <v>850</v>
      </c>
      <c r="Q197" t="s">
        <v>54</v>
      </c>
      <c r="R197">
        <v>23</v>
      </c>
      <c r="S197">
        <v>1</v>
      </c>
      <c r="T197" s="8" t="s">
        <v>1902</v>
      </c>
      <c r="U197" s="8" t="s">
        <v>1901</v>
      </c>
      <c r="V197" s="10">
        <v>0</v>
      </c>
      <c r="W197" s="11" t="str">
        <f t="shared" si="3"/>
        <v>(1890,null,1,'2026-03-24 00:00:00','003308030100000-330803010','003308030100000-330803010','心脏恶性肿瘤摘除术',null,null,5400,4860,4130,null,1100,990,850,'次',23,1,'normal','main',0),</v>
      </c>
    </row>
    <row r="198" ht="15.75" spans="1:23">
      <c r="A198">
        <v>1891</v>
      </c>
      <c r="B198" t="s">
        <v>1898</v>
      </c>
      <c r="C198">
        <v>1</v>
      </c>
      <c r="D198" s="9" t="s">
        <v>1899</v>
      </c>
      <c r="E198" t="s">
        <v>1073</v>
      </c>
      <c r="F198" t="s">
        <v>1073</v>
      </c>
      <c r="G198" t="s">
        <v>1074</v>
      </c>
      <c r="H198" t="s">
        <v>1898</v>
      </c>
      <c r="I198" t="s">
        <v>1898</v>
      </c>
      <c r="J198">
        <v>7020</v>
      </c>
      <c r="K198">
        <v>6320</v>
      </c>
      <c r="L198">
        <v>5370</v>
      </c>
      <c r="M198" t="s">
        <v>1898</v>
      </c>
      <c r="N198" s="6">
        <v>1100</v>
      </c>
      <c r="O198" s="6">
        <v>990</v>
      </c>
      <c r="P198" s="6">
        <v>850</v>
      </c>
      <c r="Q198" t="s">
        <v>54</v>
      </c>
      <c r="R198">
        <v>23</v>
      </c>
      <c r="S198">
        <v>1</v>
      </c>
      <c r="T198" s="8" t="s">
        <v>1902</v>
      </c>
      <c r="U198" s="8" t="s">
        <v>1901</v>
      </c>
      <c r="V198" s="10">
        <v>0</v>
      </c>
      <c r="W198" s="11" t="str">
        <f t="shared" si="3"/>
        <v>(1891,null,1,'2026-03-24 00:00:00','003308030100000-33080301001','003308030100000-33080301001','小儿心脏恶性肿瘤摘除术',null,null,7020,6320,5370,null,1100,990,850,'次',23,1,'normal','main',0),</v>
      </c>
    </row>
    <row r="199" ht="15.75" spans="1:23">
      <c r="A199">
        <v>1892</v>
      </c>
      <c r="B199" t="s">
        <v>1898</v>
      </c>
      <c r="C199">
        <v>1</v>
      </c>
      <c r="D199" s="9" t="s">
        <v>1899</v>
      </c>
      <c r="E199" t="s">
        <v>1079</v>
      </c>
      <c r="F199" t="s">
        <v>1079</v>
      </c>
      <c r="G199" t="s">
        <v>1080</v>
      </c>
      <c r="H199" t="s">
        <v>1898</v>
      </c>
      <c r="I199" t="s">
        <v>1898</v>
      </c>
      <c r="J199">
        <v>3125</v>
      </c>
      <c r="K199">
        <v>3000</v>
      </c>
      <c r="L199">
        <v>2550</v>
      </c>
      <c r="M199" t="s">
        <v>1898</v>
      </c>
      <c r="N199">
        <v>3125</v>
      </c>
      <c r="O199">
        <v>3000</v>
      </c>
      <c r="P199">
        <v>2550</v>
      </c>
      <c r="Q199" t="s">
        <v>54</v>
      </c>
      <c r="R199">
        <v>23</v>
      </c>
      <c r="S199">
        <v>1</v>
      </c>
      <c r="T199" s="8" t="s">
        <v>1902</v>
      </c>
      <c r="U199" s="8" t="s">
        <v>1901</v>
      </c>
      <c r="V199" s="10">
        <v>0</v>
      </c>
      <c r="W199" s="11" t="str">
        <f t="shared" si="3"/>
        <v>(1892,null,1,'2026-03-24 00:00:00','003308030080000-330803008','003308030080000-330803008','心内异物取出术',null,null,3125,3000,2550,null,3125,3000,2550,'次',23,1,'normal','main',0),</v>
      </c>
    </row>
    <row r="200" ht="15.75" spans="1:23">
      <c r="A200">
        <v>1893</v>
      </c>
      <c r="B200" t="s">
        <v>1898</v>
      </c>
      <c r="C200">
        <v>1</v>
      </c>
      <c r="D200" s="9" t="s">
        <v>1899</v>
      </c>
      <c r="E200" t="s">
        <v>1084</v>
      </c>
      <c r="F200" t="s">
        <v>1084</v>
      </c>
      <c r="G200" t="s">
        <v>1085</v>
      </c>
      <c r="H200" t="s">
        <v>1898</v>
      </c>
      <c r="I200" t="s">
        <v>1898</v>
      </c>
      <c r="J200">
        <v>4065</v>
      </c>
      <c r="K200">
        <v>3900</v>
      </c>
      <c r="L200">
        <v>3315</v>
      </c>
      <c r="M200" t="s">
        <v>1898</v>
      </c>
      <c r="N200">
        <v>4065</v>
      </c>
      <c r="O200">
        <v>3900</v>
      </c>
      <c r="P200">
        <v>3315</v>
      </c>
      <c r="Q200" t="s">
        <v>54</v>
      </c>
      <c r="R200">
        <v>23</v>
      </c>
      <c r="S200">
        <v>1</v>
      </c>
      <c r="T200" s="8" t="s">
        <v>1902</v>
      </c>
      <c r="U200" s="8" t="s">
        <v>1901</v>
      </c>
      <c r="V200" s="10">
        <v>0</v>
      </c>
      <c r="W200" s="11" t="str">
        <f t="shared" si="3"/>
        <v>(1893,null,1,'2026-03-24 00:00:00','003308030080000-33080300801','003308030080000-33080300801','小儿心内异物取出术',null,null,4065,3900,3315,null,4065,3900,3315,'次',23,1,'normal','main',0),</v>
      </c>
    </row>
    <row r="201" ht="15.75" spans="1:23">
      <c r="A201">
        <v>1894</v>
      </c>
      <c r="B201" t="s">
        <v>1898</v>
      </c>
      <c r="C201">
        <v>1</v>
      </c>
      <c r="D201" s="9" t="s">
        <v>1899</v>
      </c>
      <c r="E201" t="s">
        <v>1090</v>
      </c>
      <c r="F201" t="s">
        <v>1090</v>
      </c>
      <c r="G201" t="s">
        <v>1091</v>
      </c>
      <c r="H201" t="s">
        <v>1898</v>
      </c>
      <c r="I201" t="s">
        <v>1898</v>
      </c>
      <c r="J201">
        <v>3650</v>
      </c>
      <c r="K201">
        <v>3285</v>
      </c>
      <c r="L201">
        <v>2625</v>
      </c>
      <c r="M201" t="s">
        <v>1898</v>
      </c>
      <c r="N201">
        <v>3650</v>
      </c>
      <c r="O201">
        <v>3285</v>
      </c>
      <c r="P201">
        <v>2800</v>
      </c>
      <c r="Q201" t="s">
        <v>54</v>
      </c>
      <c r="R201">
        <v>23</v>
      </c>
      <c r="S201">
        <v>1</v>
      </c>
      <c r="T201" s="8" t="s">
        <v>1902</v>
      </c>
      <c r="U201" s="8" t="s">
        <v>1901</v>
      </c>
      <c r="V201" s="10">
        <v>0</v>
      </c>
      <c r="W201" s="11" t="str">
        <f t="shared" si="3"/>
        <v>(1894,null,1,'2026-03-24 00:00:00','003308030070000-330803007','003308030070000-330803007','心脏外伤修补术',null,null,3650,3285,2625,null,3650,3285,2800,'次',23,1,'normal','main',0),</v>
      </c>
    </row>
    <row r="202" ht="15.75" spans="1:23">
      <c r="A202">
        <v>1895</v>
      </c>
      <c r="B202" t="s">
        <v>1898</v>
      </c>
      <c r="C202">
        <v>1</v>
      </c>
      <c r="D202" s="9" t="s">
        <v>1899</v>
      </c>
      <c r="E202" t="s">
        <v>1095</v>
      </c>
      <c r="F202" t="s">
        <v>1095</v>
      </c>
      <c r="G202" t="s">
        <v>1096</v>
      </c>
      <c r="H202" t="s">
        <v>1898</v>
      </c>
      <c r="I202" t="s">
        <v>1898</v>
      </c>
      <c r="J202">
        <v>4745</v>
      </c>
      <c r="K202">
        <v>4270</v>
      </c>
      <c r="L202">
        <v>3410</v>
      </c>
      <c r="M202" t="s">
        <v>1898</v>
      </c>
      <c r="N202">
        <v>4745</v>
      </c>
      <c r="O202">
        <v>4270</v>
      </c>
      <c r="P202">
        <v>3640</v>
      </c>
      <c r="Q202" t="s">
        <v>54</v>
      </c>
      <c r="R202">
        <v>23</v>
      </c>
      <c r="S202">
        <v>1</v>
      </c>
      <c r="T202" s="8" t="s">
        <v>1902</v>
      </c>
      <c r="U202" s="8" t="s">
        <v>1901</v>
      </c>
      <c r="V202" s="10">
        <v>0</v>
      </c>
      <c r="W202" s="11" t="str">
        <f t="shared" si="3"/>
        <v>(1895,null,1,'2026-03-24 00:00:00','003308030070000-33080300701','003308030070000-33080300701','小儿心脏外伤修补术',null,null,4745,4270,3410,null,4745,4270,3640,'次',23,1,'normal','main',0),</v>
      </c>
    </row>
    <row r="203" ht="15.75" spans="1:23">
      <c r="A203">
        <v>1896</v>
      </c>
      <c r="B203" t="s">
        <v>1898</v>
      </c>
      <c r="C203">
        <v>1</v>
      </c>
      <c r="D203" s="9" t="s">
        <v>1899</v>
      </c>
      <c r="E203" t="s">
        <v>1102</v>
      </c>
      <c r="F203" t="s">
        <v>1102</v>
      </c>
      <c r="G203" t="s">
        <v>1103</v>
      </c>
      <c r="H203" t="s">
        <v>1898</v>
      </c>
      <c r="I203" t="s">
        <v>1898</v>
      </c>
      <c r="J203">
        <v>1000</v>
      </c>
      <c r="K203">
        <v>960</v>
      </c>
      <c r="L203">
        <v>816</v>
      </c>
      <c r="M203" t="s">
        <v>1898</v>
      </c>
      <c r="N203">
        <v>1000</v>
      </c>
      <c r="O203">
        <v>960</v>
      </c>
      <c r="P203">
        <v>816</v>
      </c>
      <c r="Q203" t="s">
        <v>54</v>
      </c>
      <c r="R203">
        <v>23</v>
      </c>
      <c r="S203">
        <v>1</v>
      </c>
      <c r="T203" s="8" t="s">
        <v>1902</v>
      </c>
      <c r="U203" s="8" t="s">
        <v>1901</v>
      </c>
      <c r="V203" s="10">
        <v>0</v>
      </c>
      <c r="W203" s="11" t="str">
        <f t="shared" si="3"/>
        <v>(1896,null,1,'2026-03-24 00:00:00','003308030310000-330803031','003308030310000-330803031','开胸心脏挤压术',null,null,1000,960,816,null,1000,960,816,'次',23,1,'normal','main',0),</v>
      </c>
    </row>
    <row r="204" ht="15.75" spans="1:23">
      <c r="A204">
        <v>1897</v>
      </c>
      <c r="B204" t="s">
        <v>1898</v>
      </c>
      <c r="C204">
        <v>1</v>
      </c>
      <c r="D204" s="9" t="s">
        <v>1899</v>
      </c>
      <c r="E204" t="s">
        <v>1106</v>
      </c>
      <c r="F204" t="s">
        <v>1106</v>
      </c>
      <c r="G204" t="s">
        <v>1107</v>
      </c>
      <c r="H204" t="s">
        <v>1898</v>
      </c>
      <c r="I204" t="s">
        <v>1898</v>
      </c>
      <c r="J204">
        <v>1300</v>
      </c>
      <c r="K204">
        <v>1250</v>
      </c>
      <c r="L204">
        <v>1065</v>
      </c>
      <c r="M204" t="s">
        <v>1898</v>
      </c>
      <c r="N204">
        <v>1300</v>
      </c>
      <c r="O204">
        <v>1250</v>
      </c>
      <c r="P204">
        <v>1061</v>
      </c>
      <c r="Q204" t="s">
        <v>54</v>
      </c>
      <c r="R204">
        <v>23</v>
      </c>
      <c r="S204">
        <v>1</v>
      </c>
      <c r="T204" s="8" t="s">
        <v>1902</v>
      </c>
      <c r="U204" s="8" t="s">
        <v>1901</v>
      </c>
      <c r="V204" s="10">
        <v>0</v>
      </c>
      <c r="W204" s="11" t="str">
        <f t="shared" si="3"/>
        <v>(1897,null,1,'2026-03-24 00:00:00','003308030310000-33080303101','003308030310000-33080303101','小儿开胸心脏挤压术',null,null,1300,1250,1065,null,1300,1250,1061,'次',23,1,'normal','main',0),</v>
      </c>
    </row>
    <row r="205" ht="15.75" spans="1:23">
      <c r="A205">
        <v>1898</v>
      </c>
      <c r="B205" t="s">
        <v>1898</v>
      </c>
      <c r="C205">
        <v>1</v>
      </c>
      <c r="D205" s="9" t="s">
        <v>1899</v>
      </c>
      <c r="E205" t="s">
        <v>1112</v>
      </c>
      <c r="F205" t="s">
        <v>1112</v>
      </c>
      <c r="G205" t="s">
        <v>1113</v>
      </c>
      <c r="H205" t="s">
        <v>1898</v>
      </c>
      <c r="I205" t="s">
        <v>1898</v>
      </c>
      <c r="J205">
        <v>6600</v>
      </c>
      <c r="K205">
        <v>5940</v>
      </c>
      <c r="L205">
        <v>5050</v>
      </c>
      <c r="M205" t="s">
        <v>1898</v>
      </c>
      <c r="N205">
        <v>7000</v>
      </c>
      <c r="O205">
        <v>6300</v>
      </c>
      <c r="P205">
        <v>5400</v>
      </c>
      <c r="Q205" t="s">
        <v>54</v>
      </c>
      <c r="R205">
        <v>23</v>
      </c>
      <c r="S205">
        <v>1</v>
      </c>
      <c r="T205" s="8" t="s">
        <v>1902</v>
      </c>
      <c r="U205" s="8" t="s">
        <v>1901</v>
      </c>
      <c r="V205" s="10">
        <v>0</v>
      </c>
      <c r="W205" s="11" t="str">
        <f t="shared" si="3"/>
        <v>(1898,null,1,'2026-03-24 00:00:00','003308020240000-330802024','003308020240000-330802024','左室流出道狭窄疏通术',null,null,6600,5940,5050,null,7000,6300,5400,'次',23,1,'normal','main',0),</v>
      </c>
    </row>
    <row r="206" ht="15.75" spans="1:23">
      <c r="A206">
        <v>1899</v>
      </c>
      <c r="B206" t="s">
        <v>1898</v>
      </c>
      <c r="C206">
        <v>1</v>
      </c>
      <c r="D206" s="9" t="s">
        <v>1899</v>
      </c>
      <c r="E206" t="s">
        <v>1117</v>
      </c>
      <c r="F206" t="s">
        <v>1117</v>
      </c>
      <c r="G206" t="s">
        <v>1118</v>
      </c>
      <c r="H206" t="s">
        <v>1898</v>
      </c>
      <c r="I206" t="s">
        <v>1898</v>
      </c>
      <c r="J206">
        <v>8580</v>
      </c>
      <c r="K206">
        <v>7720</v>
      </c>
      <c r="L206">
        <v>6560</v>
      </c>
      <c r="M206" t="s">
        <v>1898</v>
      </c>
      <c r="N206">
        <v>9100</v>
      </c>
      <c r="O206">
        <v>8190</v>
      </c>
      <c r="P206">
        <v>7020</v>
      </c>
      <c r="Q206" t="s">
        <v>54</v>
      </c>
      <c r="R206">
        <v>23</v>
      </c>
      <c r="S206">
        <v>1</v>
      </c>
      <c r="T206" s="8" t="s">
        <v>1902</v>
      </c>
      <c r="U206" s="8" t="s">
        <v>1901</v>
      </c>
      <c r="V206" s="10">
        <v>0</v>
      </c>
      <c r="W206" s="11" t="str">
        <f t="shared" si="3"/>
        <v>(1899,null,1,'2026-03-24 00:00:00','003308020240000-33080202401','003308020240000-33080202401','小儿左室流出道狭窄疏通术',null,null,8580,7720,6560,null,9100,8190,7020,'次',23,1,'normal','main',0),</v>
      </c>
    </row>
    <row r="207" ht="15.75" spans="1:23">
      <c r="A207">
        <v>1900</v>
      </c>
      <c r="B207" t="s">
        <v>1898</v>
      </c>
      <c r="C207">
        <v>1</v>
      </c>
      <c r="D207" s="9" t="s">
        <v>1899</v>
      </c>
      <c r="E207" t="s">
        <v>1125</v>
      </c>
      <c r="F207" t="s">
        <v>1125</v>
      </c>
      <c r="G207" t="s">
        <v>1127</v>
      </c>
      <c r="H207" t="s">
        <v>1898</v>
      </c>
      <c r="I207" t="s">
        <v>1898</v>
      </c>
      <c r="J207">
        <v>0</v>
      </c>
      <c r="K207">
        <v>0</v>
      </c>
      <c r="L207">
        <v>0</v>
      </c>
      <c r="M207" t="s">
        <v>1898</v>
      </c>
      <c r="N207">
        <v>2250</v>
      </c>
      <c r="O207">
        <v>2050</v>
      </c>
      <c r="P207">
        <v>1750</v>
      </c>
      <c r="Q207" t="s">
        <v>54</v>
      </c>
      <c r="R207">
        <v>23</v>
      </c>
      <c r="S207">
        <v>1</v>
      </c>
      <c r="T207" s="8" t="s">
        <v>1902</v>
      </c>
      <c r="U207" s="8" t="s">
        <v>1901</v>
      </c>
      <c r="V207" s="10">
        <v>0</v>
      </c>
      <c r="W207" s="11" t="str">
        <f t="shared" si="3"/>
        <v>(1900,null,1,'2026-03-24 00:00:00','353308030400000-A330803034','353308030400000-A330803034','心耳闭合术',null,null,0,0,0,null,2250,2050,1750,'次',23,1,'normal','main',0),</v>
      </c>
    </row>
    <row r="208" ht="15.75" spans="1:23">
      <c r="A208">
        <v>1901</v>
      </c>
      <c r="B208" t="s">
        <v>1898</v>
      </c>
      <c r="C208">
        <v>1</v>
      </c>
      <c r="D208" s="9" t="s">
        <v>1899</v>
      </c>
      <c r="E208" t="s">
        <v>1132</v>
      </c>
      <c r="F208" t="s">
        <v>1132</v>
      </c>
      <c r="G208" t="s">
        <v>1133</v>
      </c>
      <c r="H208" t="s">
        <v>1898</v>
      </c>
      <c r="I208" t="s">
        <v>1898</v>
      </c>
      <c r="J208">
        <v>1870</v>
      </c>
      <c r="K208">
        <v>1685</v>
      </c>
      <c r="L208">
        <v>1430</v>
      </c>
      <c r="M208" t="s">
        <v>1898</v>
      </c>
      <c r="N208">
        <v>2925</v>
      </c>
      <c r="O208">
        <v>2665</v>
      </c>
      <c r="P208">
        <v>2275</v>
      </c>
      <c r="Q208" t="s">
        <v>54</v>
      </c>
      <c r="R208">
        <v>23</v>
      </c>
      <c r="S208">
        <v>1</v>
      </c>
      <c r="T208" s="8" t="s">
        <v>1902</v>
      </c>
      <c r="U208" s="8" t="s">
        <v>1901</v>
      </c>
      <c r="V208" s="10">
        <v>0</v>
      </c>
      <c r="W208" s="11" t="str">
        <f t="shared" si="3"/>
        <v>(1901,null,1,'2026-03-24 00:00:00','353204000080000-33080303201','353204000080000-33080303201','小儿心耳结扎术',null,null,1870,1685,1430,null,2925,2665,2275,'次',23,1,'normal','main',0),</v>
      </c>
    </row>
    <row r="209" ht="15.75" spans="1:23">
      <c r="A209">
        <v>1902</v>
      </c>
      <c r="B209" t="s">
        <v>1898</v>
      </c>
      <c r="C209">
        <v>1</v>
      </c>
      <c r="D209" s="9" t="s">
        <v>1899</v>
      </c>
      <c r="E209" t="s">
        <v>1136</v>
      </c>
      <c r="F209" t="s">
        <v>1136</v>
      </c>
      <c r="G209" t="s">
        <v>1137</v>
      </c>
      <c r="H209" t="s">
        <v>1898</v>
      </c>
      <c r="I209" t="s">
        <v>1898</v>
      </c>
      <c r="J209">
        <v>7925</v>
      </c>
      <c r="K209">
        <v>7170</v>
      </c>
      <c r="L209">
        <v>5765</v>
      </c>
      <c r="M209" t="s">
        <v>1898</v>
      </c>
      <c r="N209">
        <v>2970</v>
      </c>
      <c r="O209">
        <v>2700</v>
      </c>
      <c r="P209">
        <v>2300</v>
      </c>
      <c r="Q209" t="s">
        <v>54</v>
      </c>
      <c r="R209">
        <v>23</v>
      </c>
      <c r="S209">
        <v>1</v>
      </c>
      <c r="T209" s="8" t="s">
        <v>1902</v>
      </c>
      <c r="U209" s="8" t="s">
        <v>1901</v>
      </c>
      <c r="V209" s="10">
        <v>0</v>
      </c>
      <c r="W209" s="11" t="str">
        <f t="shared" si="3"/>
        <v>(1902,null,1,'2026-03-24 00:00:00','003308030160000-33080301604','003308030160000-33080301604','经胸腔镜房颤矫治术',null,null,7925,7170,5765,null,2970,2700,2300,'次',23,1,'normal','main',0),</v>
      </c>
    </row>
    <row r="210" ht="15.75" spans="1:23">
      <c r="A210">
        <v>1903</v>
      </c>
      <c r="B210" t="s">
        <v>1898</v>
      </c>
      <c r="C210">
        <v>1</v>
      </c>
      <c r="D210" s="9" t="s">
        <v>1899</v>
      </c>
      <c r="E210" t="s">
        <v>1142</v>
      </c>
      <c r="F210" t="s">
        <v>1142</v>
      </c>
      <c r="G210" t="s">
        <v>1143</v>
      </c>
      <c r="H210" t="s">
        <v>1898</v>
      </c>
      <c r="I210" t="s">
        <v>1898</v>
      </c>
      <c r="J210">
        <v>7300</v>
      </c>
      <c r="K210">
        <v>6570</v>
      </c>
      <c r="L210">
        <v>5255</v>
      </c>
      <c r="M210" t="s">
        <v>1898</v>
      </c>
      <c r="N210" s="6">
        <v>7300</v>
      </c>
      <c r="O210" s="6">
        <v>6570</v>
      </c>
      <c r="P210" s="6">
        <v>5585</v>
      </c>
      <c r="Q210" t="s">
        <v>54</v>
      </c>
      <c r="R210">
        <v>23</v>
      </c>
      <c r="S210">
        <v>1</v>
      </c>
      <c r="T210" s="8" t="s">
        <v>1902</v>
      </c>
      <c r="U210" s="8" t="s">
        <v>1901</v>
      </c>
      <c r="V210" s="10">
        <v>0</v>
      </c>
      <c r="W210" s="11" t="str">
        <f t="shared" si="3"/>
        <v>(1903,null,1,'2026-03-24 00:00:00','003308030160000-330803016','003308030160000-330803016','迷宫手术（房颤矫治术）',null,null,7300,6570,5255,null,7300,6570,5585,'次',23,1,'normal','main',0),</v>
      </c>
    </row>
    <row r="211" ht="15.75" spans="1:23">
      <c r="A211">
        <v>1904</v>
      </c>
      <c r="B211" t="s">
        <v>1898</v>
      </c>
      <c r="C211">
        <v>1</v>
      </c>
      <c r="D211" s="9" t="s">
        <v>1899</v>
      </c>
      <c r="E211" t="s">
        <v>1145</v>
      </c>
      <c r="F211" t="s">
        <v>1145</v>
      </c>
      <c r="G211" t="s">
        <v>1146</v>
      </c>
      <c r="H211" t="s">
        <v>1898</v>
      </c>
      <c r="I211" t="s">
        <v>1898</v>
      </c>
      <c r="J211">
        <v>7300</v>
      </c>
      <c r="K211">
        <v>6570</v>
      </c>
      <c r="L211">
        <v>5255</v>
      </c>
      <c r="M211" t="s">
        <v>1898</v>
      </c>
      <c r="N211" s="6">
        <v>7300</v>
      </c>
      <c r="O211" s="6">
        <v>6570</v>
      </c>
      <c r="P211" s="6">
        <v>5585</v>
      </c>
      <c r="Q211" t="s">
        <v>54</v>
      </c>
      <c r="R211">
        <v>23</v>
      </c>
      <c r="S211">
        <v>1</v>
      </c>
      <c r="T211" s="8" t="s">
        <v>1902</v>
      </c>
      <c r="U211" s="8" t="s">
        <v>1901</v>
      </c>
      <c r="V211" s="10">
        <v>0</v>
      </c>
      <c r="W211" s="11" t="str">
        <f t="shared" si="3"/>
        <v>(1904,null,1,'2026-03-24 00:00:00','003308030160200-33080301601','003308030160200-33080301601','迷宫手术（房颤矫治术）-心内直视射频消融术',null,null,7300,6570,5255,null,7300,6570,5585,'次',23,1,'normal','main',0),</v>
      </c>
    </row>
    <row r="212" ht="15.75" spans="1:23">
      <c r="A212">
        <v>1905</v>
      </c>
      <c r="B212" t="s">
        <v>1898</v>
      </c>
      <c r="C212">
        <v>1</v>
      </c>
      <c r="D212" s="9" t="s">
        <v>1899</v>
      </c>
      <c r="E212" t="s">
        <v>1150</v>
      </c>
      <c r="F212" t="s">
        <v>1150</v>
      </c>
      <c r="G212" t="s">
        <v>1151</v>
      </c>
      <c r="H212" t="s">
        <v>1898</v>
      </c>
      <c r="I212" t="s">
        <v>1898</v>
      </c>
      <c r="J212">
        <v>9490</v>
      </c>
      <c r="K212">
        <v>8540</v>
      </c>
      <c r="L212">
        <v>6830</v>
      </c>
      <c r="M212" t="s">
        <v>1898</v>
      </c>
      <c r="N212" s="6">
        <v>9490</v>
      </c>
      <c r="O212" s="6">
        <v>8540</v>
      </c>
      <c r="P212" s="6">
        <v>7260</v>
      </c>
      <c r="Q212" t="s">
        <v>54</v>
      </c>
      <c r="R212">
        <v>23</v>
      </c>
      <c r="S212">
        <v>1</v>
      </c>
      <c r="T212" s="8" t="s">
        <v>1902</v>
      </c>
      <c r="U212" s="8" t="s">
        <v>1901</v>
      </c>
      <c r="V212" s="10">
        <v>0</v>
      </c>
      <c r="W212" s="11" t="str">
        <f t="shared" si="3"/>
        <v>(1905,null,1,'2026-03-24 00:00:00','003308030160000-33080301602','003308030160000-33080301602','小儿迷宫手术（房颤矫治术）',null,null,9490,8540,6830,null,9490,8540,7260,'次',23,1,'normal','main',0),</v>
      </c>
    </row>
    <row r="213" ht="15.75" spans="1:23">
      <c r="A213">
        <v>1906</v>
      </c>
      <c r="B213" t="s">
        <v>1898</v>
      </c>
      <c r="C213">
        <v>1</v>
      </c>
      <c r="D213" s="9" t="s">
        <v>1899</v>
      </c>
      <c r="E213" t="s">
        <v>1152</v>
      </c>
      <c r="F213" t="s">
        <v>1152</v>
      </c>
      <c r="G213" t="s">
        <v>1153</v>
      </c>
      <c r="H213" t="s">
        <v>1898</v>
      </c>
      <c r="I213" t="s">
        <v>1898</v>
      </c>
      <c r="J213">
        <v>9490</v>
      </c>
      <c r="K213">
        <v>8540</v>
      </c>
      <c r="L213">
        <v>6830</v>
      </c>
      <c r="M213" t="s">
        <v>1898</v>
      </c>
      <c r="N213" s="6">
        <v>9490</v>
      </c>
      <c r="O213" s="6">
        <v>8540</v>
      </c>
      <c r="P213" s="6">
        <v>7260</v>
      </c>
      <c r="Q213" t="s">
        <v>54</v>
      </c>
      <c r="R213">
        <v>23</v>
      </c>
      <c r="S213">
        <v>1</v>
      </c>
      <c r="T213" s="8" t="s">
        <v>1902</v>
      </c>
      <c r="U213" s="8" t="s">
        <v>1901</v>
      </c>
      <c r="V213" s="10">
        <v>0</v>
      </c>
      <c r="W213" s="11" t="str">
        <f t="shared" si="3"/>
        <v>(1906,null,1,'2026-03-24 00:00:00','003308030160200-33080301603','003308030160200-33080301603','小儿迷宫手术（房颤矫治术）-心内直视射频消融术',null,null,9490,8540,6830,null,9490,8540,7260,'次',23,1,'normal','main',0),</v>
      </c>
    </row>
    <row r="214" ht="15.75" spans="1:23">
      <c r="A214">
        <v>1907</v>
      </c>
      <c r="B214" t="s">
        <v>1898</v>
      </c>
      <c r="C214">
        <v>1</v>
      </c>
      <c r="D214" s="9" t="s">
        <v>1899</v>
      </c>
      <c r="E214" t="s">
        <v>1136</v>
      </c>
      <c r="F214" t="s">
        <v>1136</v>
      </c>
      <c r="G214" t="s">
        <v>1137</v>
      </c>
      <c r="H214" t="s">
        <v>1898</v>
      </c>
      <c r="I214" t="s">
        <v>1898</v>
      </c>
      <c r="J214">
        <v>7925</v>
      </c>
      <c r="K214">
        <v>7170</v>
      </c>
      <c r="L214">
        <v>5765</v>
      </c>
      <c r="M214" t="s">
        <v>1898</v>
      </c>
      <c r="N214" s="6">
        <v>8020</v>
      </c>
      <c r="O214" s="6">
        <v>7220</v>
      </c>
      <c r="P214" s="6">
        <v>6135</v>
      </c>
      <c r="Q214" t="s">
        <v>54</v>
      </c>
      <c r="R214">
        <v>23</v>
      </c>
      <c r="S214">
        <v>1</v>
      </c>
      <c r="T214" s="8" t="s">
        <v>1902</v>
      </c>
      <c r="U214" s="8" t="s">
        <v>1901</v>
      </c>
      <c r="V214" s="10">
        <v>0</v>
      </c>
      <c r="W214" s="11" t="str">
        <f t="shared" si="3"/>
        <v>(1907,null,1,'2026-03-24 00:00:00','003308030160000-33080301604','003308030160000-33080301604','经胸腔镜房颤矫治术',null,null,7925,7170,5765,null,8020,7220,6135,'次',23,1,'normal','main',0),</v>
      </c>
    </row>
    <row r="215" ht="15.75" spans="1:23">
      <c r="A215">
        <v>1908</v>
      </c>
      <c r="B215" t="s">
        <v>1898</v>
      </c>
      <c r="C215">
        <v>1</v>
      </c>
      <c r="D215" s="9" t="s">
        <v>1899</v>
      </c>
      <c r="E215" t="s">
        <v>1157</v>
      </c>
      <c r="F215" t="s">
        <v>1157</v>
      </c>
      <c r="G215" t="s">
        <v>1158</v>
      </c>
      <c r="H215" t="s">
        <v>1898</v>
      </c>
      <c r="I215" t="s">
        <v>1898</v>
      </c>
      <c r="J215">
        <v>10115</v>
      </c>
      <c r="K215">
        <v>9140</v>
      </c>
      <c r="L215">
        <v>7340</v>
      </c>
      <c r="M215" t="s">
        <v>1898</v>
      </c>
      <c r="N215" s="6">
        <v>8020</v>
      </c>
      <c r="O215" s="6">
        <v>7220</v>
      </c>
      <c r="P215" s="6">
        <v>6135</v>
      </c>
      <c r="Q215" t="s">
        <v>54</v>
      </c>
      <c r="R215">
        <v>23</v>
      </c>
      <c r="S215">
        <v>1</v>
      </c>
      <c r="T215" s="8" t="s">
        <v>1902</v>
      </c>
      <c r="U215" s="8" t="s">
        <v>1901</v>
      </c>
      <c r="V215" s="10">
        <v>0</v>
      </c>
      <c r="W215" s="11" t="str">
        <f t="shared" si="3"/>
        <v>(1908,null,1,'2026-03-24 00:00:00','003308030160000-33080301605','003308030160000-33080301605','小儿经胸腔镜房颤矫治术',null,null,10115,9140,7340,null,8020,7220,6135,'次',23,1,'normal','main',0),</v>
      </c>
    </row>
    <row r="216" ht="15.75" spans="1:23">
      <c r="A216">
        <v>1909</v>
      </c>
      <c r="B216" t="s">
        <v>1898</v>
      </c>
      <c r="C216">
        <v>1</v>
      </c>
      <c r="D216" s="9" t="s">
        <v>1899</v>
      </c>
      <c r="E216" t="s">
        <v>1164</v>
      </c>
      <c r="F216" t="s">
        <v>1164</v>
      </c>
      <c r="G216" t="s">
        <v>1165</v>
      </c>
      <c r="H216" t="s">
        <v>1898</v>
      </c>
      <c r="I216" t="s">
        <v>1898</v>
      </c>
      <c r="J216">
        <v>6190</v>
      </c>
      <c r="K216">
        <v>5570</v>
      </c>
      <c r="L216">
        <v>4730</v>
      </c>
      <c r="M216" t="s">
        <v>1898</v>
      </c>
      <c r="N216" s="6">
        <v>7200</v>
      </c>
      <c r="O216" s="6">
        <v>6500</v>
      </c>
      <c r="P216" s="6">
        <v>5500</v>
      </c>
      <c r="Q216" t="s">
        <v>54</v>
      </c>
      <c r="R216">
        <v>23</v>
      </c>
      <c r="S216">
        <v>1</v>
      </c>
      <c r="T216" s="8" t="s">
        <v>1902</v>
      </c>
      <c r="U216" s="8" t="s">
        <v>1901</v>
      </c>
      <c r="V216" s="10">
        <v>0</v>
      </c>
      <c r="W216" s="11" t="str">
        <f t="shared" si="3"/>
        <v>(1909,null,1,'2026-03-24 00:00:00','003308010220000-330801022','003308010220000-330801022','法鲁氏三联症根治术',null,null,6190,5570,4730,null,7200,6500,5500,'次',23,1,'normal','main',0),</v>
      </c>
    </row>
    <row r="217" ht="15.75" spans="1:23">
      <c r="A217">
        <v>1910</v>
      </c>
      <c r="B217" t="s">
        <v>1898</v>
      </c>
      <c r="C217">
        <v>1</v>
      </c>
      <c r="D217" s="9" t="s">
        <v>1899</v>
      </c>
      <c r="E217" t="s">
        <v>1167</v>
      </c>
      <c r="F217" t="s">
        <v>1167</v>
      </c>
      <c r="G217" t="s">
        <v>1168</v>
      </c>
      <c r="H217" t="s">
        <v>1898</v>
      </c>
      <c r="I217" t="s">
        <v>1898</v>
      </c>
      <c r="J217">
        <v>7980</v>
      </c>
      <c r="K217">
        <v>7180</v>
      </c>
      <c r="L217">
        <v>5740</v>
      </c>
      <c r="M217" t="s">
        <v>1898</v>
      </c>
      <c r="N217" s="6">
        <v>7200</v>
      </c>
      <c r="O217" s="6">
        <v>6500</v>
      </c>
      <c r="P217" s="6">
        <v>5500</v>
      </c>
      <c r="Q217" t="s">
        <v>54</v>
      </c>
      <c r="R217">
        <v>23</v>
      </c>
      <c r="S217">
        <v>1</v>
      </c>
      <c r="T217" s="8" t="s">
        <v>1902</v>
      </c>
      <c r="U217" s="8" t="s">
        <v>1901</v>
      </c>
      <c r="V217" s="10">
        <v>0</v>
      </c>
      <c r="W217" s="11" t="str">
        <f t="shared" si="3"/>
        <v>(1910,null,1,'2026-03-24 00:00:00','003308010230000-330801023','003308010230000-330801023','法鲁氏四联症根治术（大）',null,null,7980,7180,5740,null,7200,6500,5500,'次',23,1,'normal','main',0),</v>
      </c>
    </row>
    <row r="218" ht="15.75" spans="1:23">
      <c r="A218">
        <v>1911</v>
      </c>
      <c r="B218" t="s">
        <v>1898</v>
      </c>
      <c r="C218">
        <v>1</v>
      </c>
      <c r="D218" s="9" t="s">
        <v>1899</v>
      </c>
      <c r="E218" t="s">
        <v>1170</v>
      </c>
      <c r="F218" t="s">
        <v>1170</v>
      </c>
      <c r="G218" t="s">
        <v>1171</v>
      </c>
      <c r="H218" t="s">
        <v>1898</v>
      </c>
      <c r="I218" t="s">
        <v>1898</v>
      </c>
      <c r="J218">
        <v>7550</v>
      </c>
      <c r="K218">
        <v>6795</v>
      </c>
      <c r="L218">
        <v>5435</v>
      </c>
      <c r="M218" t="s">
        <v>1898</v>
      </c>
      <c r="N218" s="6">
        <v>7200</v>
      </c>
      <c r="O218" s="6">
        <v>6500</v>
      </c>
      <c r="P218" s="6">
        <v>5500</v>
      </c>
      <c r="Q218" t="s">
        <v>54</v>
      </c>
      <c r="R218">
        <v>23</v>
      </c>
      <c r="S218">
        <v>1</v>
      </c>
      <c r="T218" s="8" t="s">
        <v>1902</v>
      </c>
      <c r="U218" s="8" t="s">
        <v>1901</v>
      </c>
      <c r="V218" s="10">
        <v>0</v>
      </c>
      <c r="W218" s="11" t="str">
        <f t="shared" si="3"/>
        <v>(1911,null,1,'2026-03-24 00:00:00','003308010240000-330801024','003308010240000-330801024','法鲁氏四联症根治术（中）',null,null,7550,6795,5435,null,7200,6500,5500,'次',23,1,'normal','main',0),</v>
      </c>
    </row>
    <row r="219" ht="15.75" spans="1:23">
      <c r="A219">
        <v>1912</v>
      </c>
      <c r="B219" t="s">
        <v>1898</v>
      </c>
      <c r="C219">
        <v>1</v>
      </c>
      <c r="D219" s="9" t="s">
        <v>1899</v>
      </c>
      <c r="E219" t="s">
        <v>1173</v>
      </c>
      <c r="F219" t="s">
        <v>1173</v>
      </c>
      <c r="G219" t="s">
        <v>1174</v>
      </c>
      <c r="H219" t="s">
        <v>1898</v>
      </c>
      <c r="I219" t="s">
        <v>1898</v>
      </c>
      <c r="J219">
        <v>6840</v>
      </c>
      <c r="K219">
        <v>6150</v>
      </c>
      <c r="L219">
        <v>4920</v>
      </c>
      <c r="M219" t="s">
        <v>1898</v>
      </c>
      <c r="N219" s="6">
        <v>7200</v>
      </c>
      <c r="O219" s="6">
        <v>6500</v>
      </c>
      <c r="P219" s="6">
        <v>5500</v>
      </c>
      <c r="Q219" t="s">
        <v>54</v>
      </c>
      <c r="R219">
        <v>23</v>
      </c>
      <c r="S219">
        <v>1</v>
      </c>
      <c r="T219" s="8" t="s">
        <v>1902</v>
      </c>
      <c r="U219" s="8" t="s">
        <v>1901</v>
      </c>
      <c r="V219" s="10">
        <v>0</v>
      </c>
      <c r="W219" s="11" t="str">
        <f t="shared" si="3"/>
        <v>(1912,null,1,'2026-03-24 00:00:00','003308010250000-330801025','003308010250000-330801025','法鲁氏四联症根治术（小）',null,null,6840,6150,4920,null,7200,6500,5500,'次',23,1,'normal','main',0),</v>
      </c>
    </row>
    <row r="220" ht="15.75" spans="1:23">
      <c r="A220">
        <v>1913</v>
      </c>
      <c r="B220" t="s">
        <v>1898</v>
      </c>
      <c r="C220">
        <v>1</v>
      </c>
      <c r="D220" s="9" t="s">
        <v>1899</v>
      </c>
      <c r="E220" t="s">
        <v>1176</v>
      </c>
      <c r="F220" t="s">
        <v>1176</v>
      </c>
      <c r="G220" t="s">
        <v>1177</v>
      </c>
      <c r="H220" t="s">
        <v>1898</v>
      </c>
      <c r="I220" t="s">
        <v>1898</v>
      </c>
      <c r="J220">
        <v>15000</v>
      </c>
      <c r="K220">
        <v>13500</v>
      </c>
      <c r="L220">
        <v>11475</v>
      </c>
      <c r="M220" t="s">
        <v>1898</v>
      </c>
      <c r="N220" s="6">
        <v>7200</v>
      </c>
      <c r="O220" s="6">
        <v>6500</v>
      </c>
      <c r="P220" s="6">
        <v>5500</v>
      </c>
      <c r="Q220" t="s">
        <v>54</v>
      </c>
      <c r="R220">
        <v>23</v>
      </c>
      <c r="S220">
        <v>1</v>
      </c>
      <c r="T220" s="8" t="s">
        <v>1902</v>
      </c>
      <c r="U220" s="8" t="s">
        <v>1901</v>
      </c>
      <c r="V220" s="10">
        <v>0</v>
      </c>
      <c r="W220" s="11" t="str">
        <f t="shared" si="3"/>
        <v>(1913,null,1,'2026-03-24 00:00:00','003308010260000-330801026','003308010260000-330801026','复合性先天性心脏畸形矫治术',null,null,15000,13500,11475,null,7200,6500,5500,'次',23,1,'normal','main',0),</v>
      </c>
    </row>
    <row r="221" ht="15.75" spans="1:23">
      <c r="A221">
        <v>1914</v>
      </c>
      <c r="B221" t="s">
        <v>1898</v>
      </c>
      <c r="C221">
        <v>1</v>
      </c>
      <c r="D221" s="9" t="s">
        <v>1899</v>
      </c>
      <c r="E221" t="s">
        <v>1181</v>
      </c>
      <c r="F221" t="s">
        <v>1181</v>
      </c>
      <c r="G221" t="s">
        <v>1182</v>
      </c>
      <c r="H221" t="s">
        <v>1898</v>
      </c>
      <c r="I221" t="s">
        <v>1898</v>
      </c>
      <c r="J221">
        <v>8045</v>
      </c>
      <c r="K221">
        <v>7240</v>
      </c>
      <c r="L221">
        <v>6155</v>
      </c>
      <c r="M221" t="s">
        <v>1898</v>
      </c>
      <c r="N221" s="6">
        <v>9360</v>
      </c>
      <c r="O221" s="6">
        <v>8450</v>
      </c>
      <c r="P221" s="6">
        <v>7150</v>
      </c>
      <c r="Q221" t="s">
        <v>54</v>
      </c>
      <c r="R221">
        <v>23</v>
      </c>
      <c r="S221">
        <v>1</v>
      </c>
      <c r="T221" s="8" t="s">
        <v>1902</v>
      </c>
      <c r="U221" s="8" t="s">
        <v>1901</v>
      </c>
      <c r="V221" s="10">
        <v>0</v>
      </c>
      <c r="W221" s="11" t="str">
        <f t="shared" si="3"/>
        <v>(1914,null,1,'2026-03-24 00:00:00','003308010220000-33080102201','003308010220000-33080102201','小儿法鲁氏三联症根治术',null,null,8045,7240,6155,null,9360,8450,7150,'次',23,1,'normal','main',0),</v>
      </c>
    </row>
    <row r="222" ht="15.75" spans="1:23">
      <c r="A222">
        <v>1915</v>
      </c>
      <c r="B222" t="s">
        <v>1898</v>
      </c>
      <c r="C222">
        <v>1</v>
      </c>
      <c r="D222" s="9" t="s">
        <v>1899</v>
      </c>
      <c r="E222" t="s">
        <v>1183</v>
      </c>
      <c r="F222" t="s">
        <v>1183</v>
      </c>
      <c r="G222" t="s">
        <v>1184</v>
      </c>
      <c r="H222" t="s">
        <v>1898</v>
      </c>
      <c r="I222" t="s">
        <v>1898</v>
      </c>
      <c r="J222">
        <v>10375</v>
      </c>
      <c r="K222">
        <v>9335</v>
      </c>
      <c r="L222">
        <v>7460</v>
      </c>
      <c r="M222" t="s">
        <v>1898</v>
      </c>
      <c r="N222" s="6">
        <v>9360</v>
      </c>
      <c r="O222" s="6">
        <v>8450</v>
      </c>
      <c r="P222" s="6">
        <v>7150</v>
      </c>
      <c r="Q222" t="s">
        <v>54</v>
      </c>
      <c r="R222">
        <v>23</v>
      </c>
      <c r="S222">
        <v>1</v>
      </c>
      <c r="T222" s="8" t="s">
        <v>1902</v>
      </c>
      <c r="U222" s="8" t="s">
        <v>1901</v>
      </c>
      <c r="V222" s="10">
        <v>0</v>
      </c>
      <c r="W222" s="11" t="str">
        <f t="shared" si="3"/>
        <v>(1915,null,1,'2026-03-24 00:00:00','003308010230000-33080102301','003308010230000-33080102301','小儿法鲁氏四联症根治术（大）',null,null,10375,9335,7460,null,9360,8450,7150,'次',23,1,'normal','main',0),</v>
      </c>
    </row>
    <row r="223" ht="15.75" spans="1:23">
      <c r="A223">
        <v>1916</v>
      </c>
      <c r="B223" t="s">
        <v>1898</v>
      </c>
      <c r="C223">
        <v>1</v>
      </c>
      <c r="D223" s="9" t="s">
        <v>1899</v>
      </c>
      <c r="E223" t="s">
        <v>1185</v>
      </c>
      <c r="F223" t="s">
        <v>1185</v>
      </c>
      <c r="G223" t="s">
        <v>1186</v>
      </c>
      <c r="H223" t="s">
        <v>1898</v>
      </c>
      <c r="I223" t="s">
        <v>1898</v>
      </c>
      <c r="J223">
        <v>9815</v>
      </c>
      <c r="K223">
        <v>8835</v>
      </c>
      <c r="L223">
        <v>7065</v>
      </c>
      <c r="M223" t="s">
        <v>1898</v>
      </c>
      <c r="N223" s="6">
        <v>9360</v>
      </c>
      <c r="O223" s="6">
        <v>8450</v>
      </c>
      <c r="P223" s="6">
        <v>7150</v>
      </c>
      <c r="Q223" t="s">
        <v>54</v>
      </c>
      <c r="R223">
        <v>23</v>
      </c>
      <c r="S223">
        <v>1</v>
      </c>
      <c r="T223" s="8" t="s">
        <v>1902</v>
      </c>
      <c r="U223" s="8" t="s">
        <v>1901</v>
      </c>
      <c r="V223" s="10">
        <v>0</v>
      </c>
      <c r="W223" s="11" t="str">
        <f t="shared" si="3"/>
        <v>(1916,null,1,'2026-03-24 00:00:00','003308010240000-33080102401','003308010240000-33080102401','小儿法鲁氏四联症根治术（中）',null,null,9815,8835,7065,null,9360,8450,7150,'次',23,1,'normal','main',0),</v>
      </c>
    </row>
    <row r="224" ht="15.75" spans="1:23">
      <c r="A224">
        <v>1917</v>
      </c>
      <c r="B224" t="s">
        <v>1898</v>
      </c>
      <c r="C224">
        <v>1</v>
      </c>
      <c r="D224" s="9" t="s">
        <v>1899</v>
      </c>
      <c r="E224" t="s">
        <v>1187</v>
      </c>
      <c r="F224" t="s">
        <v>1187</v>
      </c>
      <c r="G224" t="s">
        <v>1188</v>
      </c>
      <c r="H224" t="s">
        <v>1898</v>
      </c>
      <c r="I224" t="s">
        <v>1898</v>
      </c>
      <c r="J224">
        <v>8890</v>
      </c>
      <c r="K224">
        <v>7995</v>
      </c>
      <c r="L224">
        <v>6395</v>
      </c>
      <c r="M224" t="s">
        <v>1898</v>
      </c>
      <c r="N224" s="6">
        <v>9360</v>
      </c>
      <c r="O224" s="6">
        <v>8450</v>
      </c>
      <c r="P224" s="6">
        <v>7150</v>
      </c>
      <c r="Q224" t="s">
        <v>54</v>
      </c>
      <c r="R224">
        <v>23</v>
      </c>
      <c r="S224">
        <v>1</v>
      </c>
      <c r="T224" s="8" t="s">
        <v>1902</v>
      </c>
      <c r="U224" s="8" t="s">
        <v>1901</v>
      </c>
      <c r="V224" s="10">
        <v>0</v>
      </c>
      <c r="W224" s="11" t="str">
        <f t="shared" si="3"/>
        <v>(1917,null,1,'2026-03-24 00:00:00','003308010250000-33080102501','003308010250000-33080102501','小儿法鲁氏四联症根治术（小）',null,null,8890,7995,6395,null,9360,8450,7150,'次',23,1,'normal','main',0),</v>
      </c>
    </row>
    <row r="225" ht="15.75" spans="1:23">
      <c r="A225">
        <v>1918</v>
      </c>
      <c r="B225" t="s">
        <v>1898</v>
      </c>
      <c r="C225">
        <v>1</v>
      </c>
      <c r="D225" s="9" t="s">
        <v>1899</v>
      </c>
      <c r="E225" t="s">
        <v>1189</v>
      </c>
      <c r="F225" t="s">
        <v>1189</v>
      </c>
      <c r="G225" t="s">
        <v>1190</v>
      </c>
      <c r="H225" t="s">
        <v>1898</v>
      </c>
      <c r="I225" t="s">
        <v>1898</v>
      </c>
      <c r="J225">
        <v>19500</v>
      </c>
      <c r="K225">
        <v>17550</v>
      </c>
      <c r="L225">
        <v>14920</v>
      </c>
      <c r="M225" t="s">
        <v>1898</v>
      </c>
      <c r="N225" s="6">
        <v>9360</v>
      </c>
      <c r="O225" s="6">
        <v>8450</v>
      </c>
      <c r="P225" s="6">
        <v>7150</v>
      </c>
      <c r="Q225" t="s">
        <v>54</v>
      </c>
      <c r="R225">
        <v>23</v>
      </c>
      <c r="S225">
        <v>1</v>
      </c>
      <c r="T225" s="8" t="s">
        <v>1902</v>
      </c>
      <c r="U225" s="8" t="s">
        <v>1901</v>
      </c>
      <c r="V225" s="10">
        <v>0</v>
      </c>
      <c r="W225" s="11" t="str">
        <f t="shared" si="3"/>
        <v>(1918,null,1,'2026-03-24 00:00:00','003308010260000-33080102601','003308010260000-33080102601','小儿复合性先天性心脏畸形矫治术',null,null,19500,17550,14920,null,9360,8450,7150,'次',23,1,'normal','main',0),</v>
      </c>
    </row>
    <row r="226" ht="15.75" spans="1:23">
      <c r="A226">
        <v>1919</v>
      </c>
      <c r="B226" t="s">
        <v>1898</v>
      </c>
      <c r="C226">
        <v>1</v>
      </c>
      <c r="D226" s="9" t="s">
        <v>1899</v>
      </c>
      <c r="E226" t="s">
        <v>1195</v>
      </c>
      <c r="F226" t="s">
        <v>1195</v>
      </c>
      <c r="G226" t="s">
        <v>1196</v>
      </c>
      <c r="H226" t="s">
        <v>1898</v>
      </c>
      <c r="I226" t="s">
        <v>1898</v>
      </c>
      <c r="J226">
        <v>2450</v>
      </c>
      <c r="K226">
        <v>2280</v>
      </c>
      <c r="L226">
        <v>1938</v>
      </c>
      <c r="M226" t="s">
        <v>1898</v>
      </c>
      <c r="N226" s="6">
        <v>2940</v>
      </c>
      <c r="O226" s="6">
        <v>2650</v>
      </c>
      <c r="P226" s="6">
        <v>2250</v>
      </c>
      <c r="Q226" t="s">
        <v>54</v>
      </c>
      <c r="R226">
        <v>23</v>
      </c>
      <c r="S226">
        <v>1</v>
      </c>
      <c r="T226" s="8" t="s">
        <v>1902</v>
      </c>
      <c r="U226" s="8" t="s">
        <v>1901</v>
      </c>
      <c r="V226" s="10">
        <v>0</v>
      </c>
      <c r="W226" s="11" t="str">
        <f t="shared" si="3"/>
        <v>(1919,null,1,'2026-03-24 00:00:00','003308010170000-330801017','003308010170000-330801017','房间隔缺损修补术',null,null,2450,2280,1938,null,2940,2650,2250,'次',23,1,'normal','main',0),</v>
      </c>
    </row>
    <row r="227" ht="15.75" spans="1:23">
      <c r="A227">
        <v>1920</v>
      </c>
      <c r="B227" t="s">
        <v>1898</v>
      </c>
      <c r="C227">
        <v>1</v>
      </c>
      <c r="D227" s="9" t="s">
        <v>1899</v>
      </c>
      <c r="E227" t="s">
        <v>1198</v>
      </c>
      <c r="F227" t="s">
        <v>1198</v>
      </c>
      <c r="G227" t="s">
        <v>1199</v>
      </c>
      <c r="H227" t="s">
        <v>1898</v>
      </c>
      <c r="I227" t="s">
        <v>1898</v>
      </c>
      <c r="J227">
        <v>5060</v>
      </c>
      <c r="K227">
        <v>4550</v>
      </c>
      <c r="L227">
        <v>3870</v>
      </c>
      <c r="M227" t="s">
        <v>1898</v>
      </c>
      <c r="N227" s="6">
        <v>2940</v>
      </c>
      <c r="O227" s="6">
        <v>2650</v>
      </c>
      <c r="P227" s="6">
        <v>2250</v>
      </c>
      <c r="Q227" t="s">
        <v>54</v>
      </c>
      <c r="R227">
        <v>23</v>
      </c>
      <c r="S227">
        <v>1</v>
      </c>
      <c r="T227" s="8" t="s">
        <v>1902</v>
      </c>
      <c r="U227" s="8" t="s">
        <v>1901</v>
      </c>
      <c r="V227" s="10">
        <v>0</v>
      </c>
      <c r="W227" s="11" t="str">
        <f t="shared" si="3"/>
        <v>(1920,null,1,'2026-03-24 00:00:00','003308020100000-330802010','003308020100000-330802010','冠状静脉窦无顶综合征矫治术',null,null,5060,4550,3870,null,2940,2650,2250,'次',23,1,'normal','main',0),</v>
      </c>
    </row>
    <row r="228" ht="15.75" spans="1:23">
      <c r="A228">
        <v>1921</v>
      </c>
      <c r="B228" t="s">
        <v>1898</v>
      </c>
      <c r="C228">
        <v>1</v>
      </c>
      <c r="D228" s="9" t="s">
        <v>1899</v>
      </c>
      <c r="E228" t="s">
        <v>1200</v>
      </c>
      <c r="F228" t="s">
        <v>1200</v>
      </c>
      <c r="G228" t="s">
        <v>1201</v>
      </c>
      <c r="H228" t="s">
        <v>1898</v>
      </c>
      <c r="I228" t="s">
        <v>1898</v>
      </c>
      <c r="J228">
        <v>3150</v>
      </c>
      <c r="K228">
        <v>2850</v>
      </c>
      <c r="L228">
        <v>2420</v>
      </c>
      <c r="M228" t="s">
        <v>1898</v>
      </c>
      <c r="N228" s="6">
        <v>2940</v>
      </c>
      <c r="O228" s="6">
        <v>2650</v>
      </c>
      <c r="P228" s="6">
        <v>2250</v>
      </c>
      <c r="Q228" t="s">
        <v>54</v>
      </c>
      <c r="R228">
        <v>23</v>
      </c>
      <c r="S228">
        <v>1</v>
      </c>
      <c r="T228" s="8" t="s">
        <v>1902</v>
      </c>
      <c r="U228" s="8" t="s">
        <v>1901</v>
      </c>
      <c r="V228" s="10">
        <v>0</v>
      </c>
      <c r="W228" s="11" t="str">
        <f t="shared" si="3"/>
        <v>(1921,null,1,'2026-03-24 00:00:00','003308010210000-330801021','003308010210000-330801021','卵圆孔修补术',null,null,3150,2850,2420,null,2940,2650,2250,'次',23,1,'normal','main',0),</v>
      </c>
    </row>
    <row r="229" ht="15.75" spans="1:23">
      <c r="A229">
        <v>1922</v>
      </c>
      <c r="B229" t="s">
        <v>1898</v>
      </c>
      <c r="C229">
        <v>1</v>
      </c>
      <c r="D229" s="9" t="s">
        <v>1899</v>
      </c>
      <c r="E229" t="s">
        <v>1204</v>
      </c>
      <c r="F229" t="s">
        <v>1204</v>
      </c>
      <c r="G229" t="s">
        <v>1205</v>
      </c>
      <c r="H229" t="s">
        <v>1898</v>
      </c>
      <c r="I229" t="s">
        <v>1898</v>
      </c>
      <c r="J229">
        <v>3185</v>
      </c>
      <c r="K229">
        <v>2965</v>
      </c>
      <c r="L229">
        <v>2520</v>
      </c>
      <c r="M229" t="s">
        <v>1898</v>
      </c>
      <c r="N229" s="6">
        <v>3820</v>
      </c>
      <c r="O229" s="6">
        <v>3445</v>
      </c>
      <c r="P229" s="6">
        <v>2925</v>
      </c>
      <c r="Q229" t="s">
        <v>54</v>
      </c>
      <c r="R229">
        <v>23</v>
      </c>
      <c r="S229">
        <v>1</v>
      </c>
      <c r="T229" s="8" t="s">
        <v>1902</v>
      </c>
      <c r="U229" s="8" t="s">
        <v>1901</v>
      </c>
      <c r="V229" s="10">
        <v>0</v>
      </c>
      <c r="W229" s="11" t="str">
        <f t="shared" si="3"/>
        <v>(1922,null,1,'2026-03-24 00:00:00','003308010170000-33080101701','003308010170000-33080101701','小儿房间隔缺损修补术',null,null,3185,2965,2520,null,3820,3445,2925,'次',23,1,'normal','main',0),</v>
      </c>
    </row>
    <row r="230" ht="15.75" spans="1:23">
      <c r="A230">
        <v>1923</v>
      </c>
      <c r="B230" t="s">
        <v>1898</v>
      </c>
      <c r="C230">
        <v>1</v>
      </c>
      <c r="D230" s="9" t="s">
        <v>1899</v>
      </c>
      <c r="E230" t="s">
        <v>1206</v>
      </c>
      <c r="F230" t="s">
        <v>1206</v>
      </c>
      <c r="G230" t="s">
        <v>1207</v>
      </c>
      <c r="H230" t="s">
        <v>1898</v>
      </c>
      <c r="I230" t="s">
        <v>1898</v>
      </c>
      <c r="J230">
        <v>6580</v>
      </c>
      <c r="K230">
        <v>5915</v>
      </c>
      <c r="L230">
        <v>5030</v>
      </c>
      <c r="M230" t="s">
        <v>1898</v>
      </c>
      <c r="N230" s="6">
        <v>3820</v>
      </c>
      <c r="O230" s="6">
        <v>3445</v>
      </c>
      <c r="P230" s="6">
        <v>2925</v>
      </c>
      <c r="Q230" t="s">
        <v>54</v>
      </c>
      <c r="R230">
        <v>23</v>
      </c>
      <c r="S230">
        <v>1</v>
      </c>
      <c r="T230" s="8" t="s">
        <v>1902</v>
      </c>
      <c r="U230" s="8" t="s">
        <v>1901</v>
      </c>
      <c r="V230" s="10">
        <v>0</v>
      </c>
      <c r="W230" s="11" t="str">
        <f t="shared" si="3"/>
        <v>(1923,null,1,'2026-03-24 00:00:00','003308020100000-33080201001','003308020100000-33080201001','小儿冠状静脉窦无顶综合征矫治术',null,null,6580,5915,5030,null,3820,3445,2925,'次',23,1,'normal','main',0),</v>
      </c>
    </row>
    <row r="231" ht="15.75" spans="1:23">
      <c r="A231">
        <v>1924</v>
      </c>
      <c r="B231" t="s">
        <v>1898</v>
      </c>
      <c r="C231">
        <v>1</v>
      </c>
      <c r="D231" s="9" t="s">
        <v>1899</v>
      </c>
      <c r="E231" t="s">
        <v>1215</v>
      </c>
      <c r="F231" t="s">
        <v>1215</v>
      </c>
      <c r="G231" t="s">
        <v>1216</v>
      </c>
      <c r="H231" t="s">
        <v>1898</v>
      </c>
      <c r="I231" t="s">
        <v>1898</v>
      </c>
      <c r="J231">
        <v>3250</v>
      </c>
      <c r="K231">
        <v>3120</v>
      </c>
      <c r="L231">
        <v>2652</v>
      </c>
      <c r="M231" t="s">
        <v>1898</v>
      </c>
      <c r="N231" s="6">
        <v>3200</v>
      </c>
      <c r="O231" s="6">
        <v>2900</v>
      </c>
      <c r="P231" s="6">
        <v>2450</v>
      </c>
      <c r="Q231" t="s">
        <v>54</v>
      </c>
      <c r="R231">
        <v>23</v>
      </c>
      <c r="S231">
        <v>1</v>
      </c>
      <c r="T231" s="8" t="s">
        <v>1902</v>
      </c>
      <c r="U231" s="8" t="s">
        <v>1901</v>
      </c>
      <c r="V231" s="10">
        <v>0</v>
      </c>
      <c r="W231" s="11" t="str">
        <f t="shared" si="3"/>
        <v>(1924,null,1,'2026-03-24 00:00:00','003308010160000-330801016','003308010160000-330801016','房间隔造口术（Blabock-Hanlon手术）',null,null,3250,3120,2652,null,3200,2900,2450,'次',23,1,'normal','main',0),</v>
      </c>
    </row>
    <row r="232" ht="15.75" spans="1:23">
      <c r="A232">
        <v>1925</v>
      </c>
      <c r="B232" t="s">
        <v>1898</v>
      </c>
      <c r="C232">
        <v>1</v>
      </c>
      <c r="D232" s="9" t="s">
        <v>1899</v>
      </c>
      <c r="E232" t="s">
        <v>1219</v>
      </c>
      <c r="F232" t="s">
        <v>1219</v>
      </c>
      <c r="G232" t="s">
        <v>1220</v>
      </c>
      <c r="H232" t="s">
        <v>1898</v>
      </c>
      <c r="I232" t="s">
        <v>1898</v>
      </c>
      <c r="J232">
        <v>9280</v>
      </c>
      <c r="K232">
        <v>8350</v>
      </c>
      <c r="L232">
        <v>7100</v>
      </c>
      <c r="M232" t="s">
        <v>1898</v>
      </c>
      <c r="N232" s="6">
        <v>3200</v>
      </c>
      <c r="O232" s="6">
        <v>2900</v>
      </c>
      <c r="P232" s="6">
        <v>2450</v>
      </c>
      <c r="Q232" t="s">
        <v>54</v>
      </c>
      <c r="R232">
        <v>23</v>
      </c>
      <c r="S232">
        <v>1</v>
      </c>
      <c r="T232" s="8" t="s">
        <v>1902</v>
      </c>
      <c r="U232" s="8" t="s">
        <v>1901</v>
      </c>
      <c r="V232" s="10">
        <v>0</v>
      </c>
      <c r="W232" s="11" t="str">
        <f t="shared" si="3"/>
        <v>(1925,null,1,'2026-03-24 00:00:00','003308020390000-330802039','003308020390000-330802039','内外通道矫治手术（Rastalli手术）',null,null,9280,8350,7100,null,3200,2900,2450,'次',23,1,'normal','main',0),</v>
      </c>
    </row>
    <row r="233" ht="15.75" spans="1:23">
      <c r="A233">
        <v>1926</v>
      </c>
      <c r="B233" t="s">
        <v>1898</v>
      </c>
      <c r="C233">
        <v>1</v>
      </c>
      <c r="D233" s="9" t="s">
        <v>1899</v>
      </c>
      <c r="E233" t="s">
        <v>1222</v>
      </c>
      <c r="F233" t="s">
        <v>1222</v>
      </c>
      <c r="G233" t="s">
        <v>1223</v>
      </c>
      <c r="H233" t="s">
        <v>1898</v>
      </c>
      <c r="I233" t="s">
        <v>1898</v>
      </c>
      <c r="J233">
        <v>7260</v>
      </c>
      <c r="K233">
        <v>6530</v>
      </c>
      <c r="L233">
        <v>5550</v>
      </c>
      <c r="M233" t="s">
        <v>1898</v>
      </c>
      <c r="N233" s="6">
        <v>3200</v>
      </c>
      <c r="O233" s="6">
        <v>2900</v>
      </c>
      <c r="P233" s="6">
        <v>2450</v>
      </c>
      <c r="Q233" t="s">
        <v>54</v>
      </c>
      <c r="R233">
        <v>23</v>
      </c>
      <c r="S233">
        <v>1</v>
      </c>
      <c r="T233" s="8" t="s">
        <v>1902</v>
      </c>
      <c r="U233" s="8" t="s">
        <v>1901</v>
      </c>
      <c r="V233" s="10">
        <v>0</v>
      </c>
      <c r="W233" s="11" t="str">
        <f t="shared" si="3"/>
        <v>(1926,null,1,'2026-03-24 00:00:00','003308020450000-330802045','003308020450000-330802045','外通道手术',null,null,7260,6530,5550,null,3200,2900,2450,'次',23,1,'normal','main',0),</v>
      </c>
    </row>
    <row r="234" ht="15.75" spans="1:23">
      <c r="A234">
        <v>1927</v>
      </c>
      <c r="B234" t="s">
        <v>1898</v>
      </c>
      <c r="C234">
        <v>1</v>
      </c>
      <c r="D234" s="9" t="s">
        <v>1899</v>
      </c>
      <c r="E234" t="s">
        <v>1227</v>
      </c>
      <c r="F234" t="s">
        <v>1227</v>
      </c>
      <c r="G234" t="s">
        <v>1228</v>
      </c>
      <c r="H234" t="s">
        <v>1898</v>
      </c>
      <c r="I234" t="s">
        <v>1898</v>
      </c>
      <c r="J234">
        <v>4225</v>
      </c>
      <c r="K234">
        <v>4055</v>
      </c>
      <c r="L234">
        <v>3445</v>
      </c>
      <c r="M234" t="s">
        <v>1898</v>
      </c>
      <c r="N234" s="6">
        <v>4160</v>
      </c>
      <c r="O234" s="6">
        <v>3770</v>
      </c>
      <c r="P234" s="6">
        <v>3185</v>
      </c>
      <c r="Q234" t="s">
        <v>54</v>
      </c>
      <c r="R234">
        <v>23</v>
      </c>
      <c r="S234">
        <v>1</v>
      </c>
      <c r="T234" s="8" t="s">
        <v>1902</v>
      </c>
      <c r="U234" s="8" t="s">
        <v>1901</v>
      </c>
      <c r="V234" s="10">
        <v>0</v>
      </c>
      <c r="W234" s="11" t="str">
        <f t="shared" si="3"/>
        <v>(1927,null,1,'2026-03-24 00:00:00','003308010160000-33080101601','003308010160000-33080101601','小儿房间隔造口术（Blabock-Hanlon手术）',null,null,4225,4055,3445,null,4160,3770,3185,'次',23,1,'normal','main',0),</v>
      </c>
    </row>
    <row r="235" ht="15.75" spans="1:23">
      <c r="A235">
        <v>1928</v>
      </c>
      <c r="B235" t="s">
        <v>1898</v>
      </c>
      <c r="C235">
        <v>1</v>
      </c>
      <c r="D235" s="9" t="s">
        <v>1899</v>
      </c>
      <c r="E235" t="s">
        <v>1229</v>
      </c>
      <c r="F235" t="s">
        <v>1229</v>
      </c>
      <c r="G235" t="s">
        <v>1230</v>
      </c>
      <c r="H235" t="s">
        <v>1898</v>
      </c>
      <c r="I235" t="s">
        <v>1898</v>
      </c>
      <c r="J235">
        <v>12065</v>
      </c>
      <c r="K235">
        <v>10855</v>
      </c>
      <c r="L235">
        <v>9225</v>
      </c>
      <c r="M235" t="s">
        <v>1898</v>
      </c>
      <c r="N235" s="6">
        <v>4160</v>
      </c>
      <c r="O235" s="6">
        <v>3770</v>
      </c>
      <c r="P235" s="6">
        <v>3185</v>
      </c>
      <c r="Q235" t="s">
        <v>54</v>
      </c>
      <c r="R235">
        <v>23</v>
      </c>
      <c r="S235">
        <v>1</v>
      </c>
      <c r="T235" s="8" t="s">
        <v>1902</v>
      </c>
      <c r="U235" s="8" t="s">
        <v>1901</v>
      </c>
      <c r="V235" s="10">
        <v>0</v>
      </c>
      <c r="W235" s="11" t="str">
        <f t="shared" si="3"/>
        <v>(1928,null,1,'2026-03-24 00:00:00','003308020390000-33080203901','003308020390000-33080203901','小儿内外通道矫治手术（Rastalli手术）',null,null,12065,10855,9225,null,4160,3770,3185,'次',23,1,'normal','main',0),</v>
      </c>
    </row>
    <row r="236" ht="15.75" spans="1:23">
      <c r="A236">
        <v>1929</v>
      </c>
      <c r="B236" t="s">
        <v>1898</v>
      </c>
      <c r="C236">
        <v>1</v>
      </c>
      <c r="D236" s="9" t="s">
        <v>1899</v>
      </c>
      <c r="E236" t="s">
        <v>1231</v>
      </c>
      <c r="F236" t="s">
        <v>1231</v>
      </c>
      <c r="G236" t="s">
        <v>1232</v>
      </c>
      <c r="H236" t="s">
        <v>1898</v>
      </c>
      <c r="I236" t="s">
        <v>1898</v>
      </c>
      <c r="J236">
        <v>9440</v>
      </c>
      <c r="K236">
        <v>8490</v>
      </c>
      <c r="L236">
        <v>7215</v>
      </c>
      <c r="M236" t="s">
        <v>1898</v>
      </c>
      <c r="N236" s="6">
        <v>4160</v>
      </c>
      <c r="O236" s="6">
        <v>3770</v>
      </c>
      <c r="P236" s="6">
        <v>3185</v>
      </c>
      <c r="Q236" t="s">
        <v>54</v>
      </c>
      <c r="R236">
        <v>23</v>
      </c>
      <c r="S236">
        <v>1</v>
      </c>
      <c r="T236" s="8" t="s">
        <v>1902</v>
      </c>
      <c r="U236" s="8" t="s">
        <v>1901</v>
      </c>
      <c r="V236" s="10">
        <v>0</v>
      </c>
      <c r="W236" s="11" t="str">
        <f t="shared" si="3"/>
        <v>(1929,null,1,'2026-03-24 00:00:00','003308020450000-33080204501','003308020450000-33080204501','小儿外通道手术',null,null,9440,8490,7215,null,4160,3770,3185,'次',23,1,'normal','main',0),</v>
      </c>
    </row>
    <row r="237" ht="15.75" spans="1:23">
      <c r="A237">
        <v>1930</v>
      </c>
      <c r="B237" t="s">
        <v>1898</v>
      </c>
      <c r="C237">
        <v>1</v>
      </c>
      <c r="D237" s="9" t="s">
        <v>1899</v>
      </c>
      <c r="E237" t="s">
        <v>1237</v>
      </c>
      <c r="F237" t="s">
        <v>1237</v>
      </c>
      <c r="G237" t="s">
        <v>1238</v>
      </c>
      <c r="H237" t="s">
        <v>1898</v>
      </c>
      <c r="I237" t="s">
        <v>1898</v>
      </c>
      <c r="J237">
        <v>3850</v>
      </c>
      <c r="K237">
        <v>3465</v>
      </c>
      <c r="L237">
        <v>2770</v>
      </c>
      <c r="M237" t="s">
        <v>1898</v>
      </c>
      <c r="N237" s="6">
        <v>4190</v>
      </c>
      <c r="O237" s="6">
        <v>3770</v>
      </c>
      <c r="P237" s="6">
        <v>3200</v>
      </c>
      <c r="Q237" t="s">
        <v>54</v>
      </c>
      <c r="R237">
        <v>23</v>
      </c>
      <c r="S237">
        <v>1</v>
      </c>
      <c r="T237" s="8" t="s">
        <v>1902</v>
      </c>
      <c r="U237" s="8" t="s">
        <v>1901</v>
      </c>
      <c r="V237" s="10">
        <v>0</v>
      </c>
      <c r="W237" s="11" t="str">
        <f t="shared" si="3"/>
        <v>(1930,null,1,'2026-03-24 00:00:00','003308010180000-330801018','003308010180000-330801018','室间隔缺损直视修补术',null,null,3850,3465,2770,null,4190,3770,3200,'次',23,1,'normal','main',0),</v>
      </c>
    </row>
    <row r="238" ht="15.75" spans="1:23">
      <c r="A238">
        <v>1931</v>
      </c>
      <c r="B238" t="s">
        <v>1898</v>
      </c>
      <c r="C238">
        <v>1</v>
      </c>
      <c r="D238" s="9" t="s">
        <v>1899</v>
      </c>
      <c r="E238" t="s">
        <v>1241</v>
      </c>
      <c r="F238" t="s">
        <v>1241</v>
      </c>
      <c r="G238" t="s">
        <v>1242</v>
      </c>
      <c r="H238" t="s">
        <v>1898</v>
      </c>
      <c r="I238" t="s">
        <v>1898</v>
      </c>
      <c r="J238">
        <v>3250</v>
      </c>
      <c r="K238">
        <v>2925</v>
      </c>
      <c r="L238">
        <v>2340</v>
      </c>
      <c r="M238" t="s">
        <v>1898</v>
      </c>
      <c r="N238" s="6">
        <v>4190</v>
      </c>
      <c r="O238" s="6">
        <v>3770</v>
      </c>
      <c r="P238" s="6">
        <v>3200</v>
      </c>
      <c r="Q238" t="s">
        <v>54</v>
      </c>
      <c r="R238">
        <v>23</v>
      </c>
      <c r="S238">
        <v>1</v>
      </c>
      <c r="T238" s="8" t="s">
        <v>1902</v>
      </c>
      <c r="U238" s="8" t="s">
        <v>1901</v>
      </c>
      <c r="V238" s="10">
        <v>0</v>
      </c>
      <c r="W238" s="11" t="str">
        <f t="shared" si="3"/>
        <v>(1931,null,1,'2026-03-24 00:00:00','003308010180000-33080101801','003308010180000-33080101801','室间隔缺损直视修补术-室间隔缺损导管封堵术',null,null,3250,2925,2340,null,4190,3770,3200,'次',23,1,'normal','main',0),</v>
      </c>
    </row>
    <row r="239" ht="15.75" spans="1:23">
      <c r="A239">
        <v>1932</v>
      </c>
      <c r="B239" t="s">
        <v>1898</v>
      </c>
      <c r="C239">
        <v>1</v>
      </c>
      <c r="D239" s="9" t="s">
        <v>1899</v>
      </c>
      <c r="E239" t="s">
        <v>1244</v>
      </c>
      <c r="F239" t="s">
        <v>1244</v>
      </c>
      <c r="G239" t="s">
        <v>1245</v>
      </c>
      <c r="H239" t="s">
        <v>1898</v>
      </c>
      <c r="I239" t="s">
        <v>1898</v>
      </c>
      <c r="J239">
        <v>9280</v>
      </c>
      <c r="K239">
        <v>8350</v>
      </c>
      <c r="L239">
        <v>7100</v>
      </c>
      <c r="M239" t="s">
        <v>1898</v>
      </c>
      <c r="N239" s="6">
        <v>4190</v>
      </c>
      <c r="O239" s="6">
        <v>3770</v>
      </c>
      <c r="P239" s="6">
        <v>3200</v>
      </c>
      <c r="Q239" t="s">
        <v>1247</v>
      </c>
      <c r="R239">
        <v>23</v>
      </c>
      <c r="S239">
        <v>1</v>
      </c>
      <c r="T239" s="8" t="s">
        <v>1902</v>
      </c>
      <c r="U239" s="8" t="s">
        <v>1901</v>
      </c>
      <c r="V239" s="10">
        <v>0</v>
      </c>
      <c r="W239" s="11" t="str">
        <f t="shared" si="3"/>
        <v>(1932,null,1,'2026-03-24 00:00:00','003308020410000-330802041','003308020410000-330802041','矫正型大动脉转位伴发畸形矫治术',null,null,9280,8350,7100,null,4190,3770,3200,'每个部位',23,1,'normal','main',0),</v>
      </c>
    </row>
    <row r="240" ht="15.75" spans="1:23">
      <c r="A240">
        <v>1933</v>
      </c>
      <c r="B240" t="s">
        <v>1898</v>
      </c>
      <c r="C240">
        <v>1</v>
      </c>
      <c r="D240" s="9" t="s">
        <v>1899</v>
      </c>
      <c r="E240" t="s">
        <v>1248</v>
      </c>
      <c r="F240" t="s">
        <v>1248</v>
      </c>
      <c r="G240" t="s">
        <v>1249</v>
      </c>
      <c r="H240" t="s">
        <v>1898</v>
      </c>
      <c r="I240" t="s">
        <v>1898</v>
      </c>
      <c r="J240">
        <v>6600</v>
      </c>
      <c r="K240">
        <v>5940</v>
      </c>
      <c r="L240">
        <v>5050</v>
      </c>
      <c r="M240" t="s">
        <v>1898</v>
      </c>
      <c r="N240" s="6">
        <v>4190</v>
      </c>
      <c r="O240" s="6">
        <v>3770</v>
      </c>
      <c r="P240" s="6">
        <v>3200</v>
      </c>
      <c r="Q240" t="s">
        <v>54</v>
      </c>
      <c r="R240">
        <v>23</v>
      </c>
      <c r="S240">
        <v>1</v>
      </c>
      <c r="T240" s="8" t="s">
        <v>1902</v>
      </c>
      <c r="U240" s="8" t="s">
        <v>1901</v>
      </c>
      <c r="V240" s="10">
        <v>0</v>
      </c>
      <c r="W240" s="11" t="str">
        <f t="shared" si="3"/>
        <v>(1933,null,1,'2026-03-24 00:00:00','003308010280000-330801028','003308010280000-330801028','单心室分隔术',null,null,6600,5940,5050,null,4190,3770,3200,'次',23,1,'normal','main',0),</v>
      </c>
    </row>
    <row r="241" ht="15.75" spans="1:23">
      <c r="A241">
        <v>1934</v>
      </c>
      <c r="B241" t="s">
        <v>1898</v>
      </c>
      <c r="C241">
        <v>1</v>
      </c>
      <c r="D241" s="9" t="s">
        <v>1899</v>
      </c>
      <c r="E241" t="s">
        <v>1252</v>
      </c>
      <c r="F241" t="s">
        <v>1252</v>
      </c>
      <c r="G241" t="s">
        <v>1253</v>
      </c>
      <c r="H241" t="s">
        <v>1898</v>
      </c>
      <c r="I241" t="s">
        <v>1898</v>
      </c>
      <c r="J241">
        <v>5005</v>
      </c>
      <c r="K241">
        <v>4505</v>
      </c>
      <c r="L241">
        <v>3600</v>
      </c>
      <c r="M241" t="s">
        <v>1898</v>
      </c>
      <c r="N241" s="6">
        <v>5445</v>
      </c>
      <c r="O241" s="6">
        <v>4900</v>
      </c>
      <c r="P241" s="6">
        <v>4160</v>
      </c>
      <c r="Q241" t="s">
        <v>54</v>
      </c>
      <c r="R241">
        <v>23</v>
      </c>
      <c r="S241">
        <v>1</v>
      </c>
      <c r="T241" s="8" t="s">
        <v>1902</v>
      </c>
      <c r="U241" s="8" t="s">
        <v>1901</v>
      </c>
      <c r="V241" s="10">
        <v>0</v>
      </c>
      <c r="W241" s="11" t="str">
        <f t="shared" si="3"/>
        <v>(1934,null,1,'2026-03-24 00:00:00','003308010180000-33080101802','003308010180000-33080101802','小儿室间隔缺损直视修补术',null,null,5005,4505,3600,null,5445,4900,4160,'次',23,1,'normal','main',0),</v>
      </c>
    </row>
    <row r="242" ht="15.75" spans="1:23">
      <c r="A242">
        <v>1935</v>
      </c>
      <c r="B242" t="s">
        <v>1898</v>
      </c>
      <c r="C242">
        <v>1</v>
      </c>
      <c r="D242" s="9" t="s">
        <v>1899</v>
      </c>
      <c r="E242" t="s">
        <v>1254</v>
      </c>
      <c r="F242" t="s">
        <v>1254</v>
      </c>
      <c r="G242" t="s">
        <v>1255</v>
      </c>
      <c r="H242" t="s">
        <v>1898</v>
      </c>
      <c r="I242" t="s">
        <v>1898</v>
      </c>
      <c r="J242">
        <v>4225</v>
      </c>
      <c r="K242">
        <v>3800</v>
      </c>
      <c r="L242">
        <v>3040</v>
      </c>
      <c r="M242" t="s">
        <v>1898</v>
      </c>
      <c r="N242" s="6">
        <v>5445</v>
      </c>
      <c r="O242" s="6">
        <v>4900</v>
      </c>
      <c r="P242" s="6">
        <v>4160</v>
      </c>
      <c r="Q242" t="s">
        <v>54</v>
      </c>
      <c r="R242">
        <v>23</v>
      </c>
      <c r="S242">
        <v>1</v>
      </c>
      <c r="T242" s="8" t="s">
        <v>1902</v>
      </c>
      <c r="U242" s="8" t="s">
        <v>1901</v>
      </c>
      <c r="V242" s="10">
        <v>0</v>
      </c>
      <c r="W242" s="11" t="str">
        <f t="shared" si="3"/>
        <v>(1935,null,1,'2026-03-24 00:00:00','003308010180000-33080101803','003308010180000-33080101803','小儿室间隔缺损直视修补术-室间隔缺损导管封堵术',null,null,4225,3800,3040,null,5445,4900,4160,'次',23,1,'normal','main',0),</v>
      </c>
    </row>
    <row r="243" ht="15.75" spans="1:23">
      <c r="A243">
        <v>1936</v>
      </c>
      <c r="B243" t="s">
        <v>1898</v>
      </c>
      <c r="C243">
        <v>1</v>
      </c>
      <c r="D243" s="9" t="s">
        <v>1899</v>
      </c>
      <c r="E243" t="s">
        <v>1256</v>
      </c>
      <c r="F243" t="s">
        <v>1256</v>
      </c>
      <c r="G243" t="s">
        <v>1257</v>
      </c>
      <c r="H243" t="s">
        <v>1898</v>
      </c>
      <c r="I243" t="s">
        <v>1898</v>
      </c>
      <c r="J243">
        <v>12065</v>
      </c>
      <c r="K243">
        <v>10855</v>
      </c>
      <c r="L243">
        <v>9225</v>
      </c>
      <c r="M243" t="s">
        <v>1898</v>
      </c>
      <c r="N243" s="6">
        <v>5445</v>
      </c>
      <c r="O243" s="6">
        <v>4900</v>
      </c>
      <c r="P243" s="6">
        <v>4160</v>
      </c>
      <c r="Q243" t="s">
        <v>1247</v>
      </c>
      <c r="R243">
        <v>23</v>
      </c>
      <c r="S243">
        <v>1</v>
      </c>
      <c r="T243" s="8" t="s">
        <v>1902</v>
      </c>
      <c r="U243" s="8" t="s">
        <v>1901</v>
      </c>
      <c r="V243" s="10">
        <v>0</v>
      </c>
      <c r="W243" s="11" t="str">
        <f t="shared" si="3"/>
        <v>(1936,null,1,'2026-03-24 00:00:00','003308020410000-33080204101','003308020410000-33080204101','小儿矫正型大动脉转位伴发畸形矫治术',null,null,12065,10855,9225,null,5445,4900,4160,'每个部位',23,1,'normal','main',0),</v>
      </c>
    </row>
    <row r="244" ht="15.75" spans="1:23">
      <c r="A244">
        <v>1937</v>
      </c>
      <c r="B244" t="s">
        <v>1898</v>
      </c>
      <c r="C244">
        <v>1</v>
      </c>
      <c r="D244" s="9" t="s">
        <v>1899</v>
      </c>
      <c r="E244" t="s">
        <v>1258</v>
      </c>
      <c r="F244" t="s">
        <v>1258</v>
      </c>
      <c r="G244" t="s">
        <v>1259</v>
      </c>
      <c r="H244" t="s">
        <v>1898</v>
      </c>
      <c r="I244" t="s">
        <v>1898</v>
      </c>
      <c r="J244">
        <v>8580</v>
      </c>
      <c r="K244">
        <v>7720</v>
      </c>
      <c r="L244">
        <v>6560</v>
      </c>
      <c r="M244" t="s">
        <v>1898</v>
      </c>
      <c r="N244" s="6">
        <v>5445</v>
      </c>
      <c r="O244" s="6">
        <v>4900</v>
      </c>
      <c r="P244" s="6">
        <v>4160</v>
      </c>
      <c r="Q244" t="s">
        <v>54</v>
      </c>
      <c r="R244">
        <v>23</v>
      </c>
      <c r="S244">
        <v>1</v>
      </c>
      <c r="T244" s="8" t="s">
        <v>1902</v>
      </c>
      <c r="U244" s="8" t="s">
        <v>1901</v>
      </c>
      <c r="V244" s="10">
        <v>0</v>
      </c>
      <c r="W244" s="11" t="str">
        <f t="shared" si="3"/>
        <v>(1937,null,1,'2026-03-24 00:00:00','003308010280000-33080102801','003308010280000-33080102801','小儿单心室分隔术',null,null,8580,7720,6560,null,5445,4900,4160,'次',23,1,'normal','main',0),</v>
      </c>
    </row>
    <row r="245" ht="15.75" spans="1:23">
      <c r="A245">
        <v>1938</v>
      </c>
      <c r="B245" t="s">
        <v>1898</v>
      </c>
      <c r="C245">
        <v>1</v>
      </c>
      <c r="D245" s="9" t="s">
        <v>1899</v>
      </c>
      <c r="E245" t="s">
        <v>1266</v>
      </c>
      <c r="F245" t="s">
        <v>1266</v>
      </c>
      <c r="G245" t="s">
        <v>1267</v>
      </c>
      <c r="H245" t="s">
        <v>1898</v>
      </c>
      <c r="I245" t="s">
        <v>1898</v>
      </c>
      <c r="J245">
        <v>6400</v>
      </c>
      <c r="K245">
        <v>5760</v>
      </c>
      <c r="L245">
        <v>4600</v>
      </c>
      <c r="M245" t="s">
        <v>1898</v>
      </c>
      <c r="N245">
        <v>6400</v>
      </c>
      <c r="O245">
        <v>5760</v>
      </c>
      <c r="P245">
        <v>4900</v>
      </c>
      <c r="Q245" t="s">
        <v>54</v>
      </c>
      <c r="R245">
        <v>23</v>
      </c>
      <c r="S245">
        <v>1</v>
      </c>
      <c r="T245" s="8" t="s">
        <v>1902</v>
      </c>
      <c r="U245" s="8" t="s">
        <v>1901</v>
      </c>
      <c r="V245" s="10">
        <v>0</v>
      </c>
      <c r="W245" s="11" t="str">
        <f t="shared" si="3"/>
        <v>(1938,null,1,'2026-03-24 00:00:00','003308010190000-330801019','003308010190000-330801019','部分型心内膜垫缺损矫治术',null,null,6400,5760,4600,null,6400,5760,4900,'次',23,1,'normal','main',0),</v>
      </c>
    </row>
    <row r="246" ht="15.75" spans="1:23">
      <c r="A246">
        <v>1939</v>
      </c>
      <c r="B246" t="s">
        <v>1898</v>
      </c>
      <c r="C246">
        <v>1</v>
      </c>
      <c r="D246" s="9" t="s">
        <v>1899</v>
      </c>
      <c r="E246" t="s">
        <v>1271</v>
      </c>
      <c r="F246" t="s">
        <v>1271</v>
      </c>
      <c r="G246" t="s">
        <v>1272</v>
      </c>
      <c r="H246" t="s">
        <v>1898</v>
      </c>
      <c r="I246" t="s">
        <v>1898</v>
      </c>
      <c r="J246">
        <v>8320</v>
      </c>
      <c r="K246">
        <v>7490</v>
      </c>
      <c r="L246">
        <v>5980</v>
      </c>
      <c r="M246" t="s">
        <v>1898</v>
      </c>
      <c r="N246">
        <v>8320</v>
      </c>
      <c r="O246">
        <v>7488</v>
      </c>
      <c r="P246">
        <v>6370</v>
      </c>
      <c r="Q246" t="s">
        <v>54</v>
      </c>
      <c r="R246">
        <v>23</v>
      </c>
      <c r="S246">
        <v>1</v>
      </c>
      <c r="T246" s="8" t="s">
        <v>1902</v>
      </c>
      <c r="U246" s="8" t="s">
        <v>1901</v>
      </c>
      <c r="V246" s="10">
        <v>0</v>
      </c>
      <c r="W246" s="11" t="str">
        <f t="shared" si="3"/>
        <v>(1939,null,1,'2026-03-24 00:00:00','003308010190000-33080101901','003308010190000-33080101901','小儿部分型心内膜垫缺损矫治术',null,null,8320,7490,5980,null,8320,7488,6370,'次',23,1,'normal','main',0),</v>
      </c>
    </row>
    <row r="247" ht="15.75" spans="1:23">
      <c r="A247">
        <v>1940</v>
      </c>
      <c r="B247" t="s">
        <v>1898</v>
      </c>
      <c r="C247">
        <v>1</v>
      </c>
      <c r="D247" s="9" t="s">
        <v>1899</v>
      </c>
      <c r="E247" t="s">
        <v>1279</v>
      </c>
      <c r="F247" t="s">
        <v>1279</v>
      </c>
      <c r="G247" t="s">
        <v>1280</v>
      </c>
      <c r="H247" t="s">
        <v>1898</v>
      </c>
      <c r="I247" t="s">
        <v>1898</v>
      </c>
      <c r="J247">
        <v>7010</v>
      </c>
      <c r="K247">
        <v>6310</v>
      </c>
      <c r="L247">
        <v>5360</v>
      </c>
      <c r="M247" t="s">
        <v>1898</v>
      </c>
      <c r="N247" s="6">
        <v>7400</v>
      </c>
      <c r="O247" s="6">
        <v>6660</v>
      </c>
      <c r="P247" s="6">
        <v>5660</v>
      </c>
      <c r="Q247" t="s">
        <v>54</v>
      </c>
      <c r="R247">
        <v>23</v>
      </c>
      <c r="S247">
        <v>1</v>
      </c>
      <c r="T247" s="8" t="s">
        <v>1902</v>
      </c>
      <c r="U247" s="8" t="s">
        <v>1901</v>
      </c>
      <c r="V247" s="10">
        <v>0</v>
      </c>
      <c r="W247" s="11" t="str">
        <f t="shared" si="3"/>
        <v>(1940,null,1,'2026-03-24 00:00:00','003308010200000-330801020','003308010200000-330801020','完全型心内膜垫缺损矫治术',null,null,7010,6310,5360,null,7400,6660,5660,'次',23,1,'normal','main',0),</v>
      </c>
    </row>
    <row r="248" ht="15.75" spans="1:23">
      <c r="A248">
        <v>1941</v>
      </c>
      <c r="B248" t="s">
        <v>1898</v>
      </c>
      <c r="C248">
        <v>1</v>
      </c>
      <c r="D248" s="9" t="s">
        <v>1899</v>
      </c>
      <c r="E248" t="s">
        <v>1176</v>
      </c>
      <c r="F248" t="s">
        <v>1176</v>
      </c>
      <c r="G248" t="s">
        <v>1177</v>
      </c>
      <c r="H248" t="s">
        <v>1898</v>
      </c>
      <c r="I248" t="s">
        <v>1898</v>
      </c>
      <c r="J248">
        <v>15000</v>
      </c>
      <c r="K248">
        <v>13500</v>
      </c>
      <c r="L248">
        <v>11475</v>
      </c>
      <c r="M248" t="s">
        <v>1898</v>
      </c>
      <c r="N248" s="6">
        <v>7400</v>
      </c>
      <c r="O248" s="6">
        <v>6660</v>
      </c>
      <c r="P248" s="6">
        <v>5660</v>
      </c>
      <c r="Q248" t="s">
        <v>54</v>
      </c>
      <c r="R248">
        <v>23</v>
      </c>
      <c r="S248">
        <v>1</v>
      </c>
      <c r="T248" s="8" t="s">
        <v>1902</v>
      </c>
      <c r="U248" s="8" t="s">
        <v>1901</v>
      </c>
      <c r="V248" s="10">
        <v>0</v>
      </c>
      <c r="W248" s="11" t="str">
        <f t="shared" si="3"/>
        <v>(1941,null,1,'2026-03-24 00:00:00','003308010260000-330801026','003308010260000-330801026','复合性先天性心脏畸形矫治术',null,null,15000,13500,11475,null,7400,6660,5660,'次',23,1,'normal','main',0),</v>
      </c>
    </row>
    <row r="249" ht="15.75" spans="1:23">
      <c r="A249">
        <v>1942</v>
      </c>
      <c r="B249" t="s">
        <v>1898</v>
      </c>
      <c r="C249">
        <v>1</v>
      </c>
      <c r="D249" s="9" t="s">
        <v>1899</v>
      </c>
      <c r="E249" t="s">
        <v>1283</v>
      </c>
      <c r="F249" t="s">
        <v>1283</v>
      </c>
      <c r="G249" t="s">
        <v>1284</v>
      </c>
      <c r="H249" t="s">
        <v>1898</v>
      </c>
      <c r="I249" t="s">
        <v>1898</v>
      </c>
      <c r="J249">
        <v>9115</v>
      </c>
      <c r="K249">
        <v>8205</v>
      </c>
      <c r="L249">
        <v>6975</v>
      </c>
      <c r="M249" t="s">
        <v>1898</v>
      </c>
      <c r="N249" s="6">
        <v>9620</v>
      </c>
      <c r="O249" s="6">
        <v>8660</v>
      </c>
      <c r="P249" s="6">
        <v>7360</v>
      </c>
      <c r="Q249" t="s">
        <v>54</v>
      </c>
      <c r="R249">
        <v>23</v>
      </c>
      <c r="S249">
        <v>1</v>
      </c>
      <c r="T249" s="8" t="s">
        <v>1902</v>
      </c>
      <c r="U249" s="8" t="s">
        <v>1901</v>
      </c>
      <c r="V249" s="10">
        <v>0</v>
      </c>
      <c r="W249" s="11" t="str">
        <f t="shared" si="3"/>
        <v>(1942,null,1,'2026-03-24 00:00:00','003308010200000-33080102001','003308010200000-33080102001','小儿完全型心内膜垫缺损矫治术',null,null,9115,8205,6975,null,9620,8660,7360,'次',23,1,'normal','main',0),</v>
      </c>
    </row>
    <row r="250" ht="15.75" spans="1:23">
      <c r="A250">
        <v>1943</v>
      </c>
      <c r="B250" t="s">
        <v>1898</v>
      </c>
      <c r="C250">
        <v>1</v>
      </c>
      <c r="D250" s="9" t="s">
        <v>1899</v>
      </c>
      <c r="E250" t="s">
        <v>1189</v>
      </c>
      <c r="F250" t="s">
        <v>1189</v>
      </c>
      <c r="G250" t="s">
        <v>1190</v>
      </c>
      <c r="H250" t="s">
        <v>1898</v>
      </c>
      <c r="I250" t="s">
        <v>1898</v>
      </c>
      <c r="J250">
        <v>19500</v>
      </c>
      <c r="K250">
        <v>17550</v>
      </c>
      <c r="L250">
        <v>14920</v>
      </c>
      <c r="M250" t="s">
        <v>1898</v>
      </c>
      <c r="N250" s="6">
        <v>9620</v>
      </c>
      <c r="O250" s="6">
        <v>8660</v>
      </c>
      <c r="P250" s="6">
        <v>7360</v>
      </c>
      <c r="Q250" t="s">
        <v>54</v>
      </c>
      <c r="R250">
        <v>23</v>
      </c>
      <c r="S250">
        <v>1</v>
      </c>
      <c r="T250" s="8" t="s">
        <v>1902</v>
      </c>
      <c r="U250" s="8" t="s">
        <v>1901</v>
      </c>
      <c r="V250" s="10">
        <v>0</v>
      </c>
      <c r="W250" s="11" t="str">
        <f t="shared" si="3"/>
        <v>(1943,null,1,'2026-03-24 00:00:00','003308010260000-33080102601','003308010260000-33080102601','小儿复合性先天性心脏畸形矫治术',null,null,19500,17550,14920,null,9620,8660,7360,'次',23,1,'normal','main',0),</v>
      </c>
    </row>
    <row r="251" ht="15.75" spans="1:23">
      <c r="A251">
        <v>1944</v>
      </c>
      <c r="B251" t="s">
        <v>1898</v>
      </c>
      <c r="C251">
        <v>1</v>
      </c>
      <c r="D251" s="9" t="s">
        <v>1899</v>
      </c>
      <c r="E251" t="s">
        <v>1289</v>
      </c>
      <c r="F251" t="s">
        <v>1289</v>
      </c>
      <c r="G251" t="s">
        <v>1290</v>
      </c>
      <c r="H251" t="s">
        <v>1898</v>
      </c>
      <c r="I251" t="s">
        <v>1898</v>
      </c>
      <c r="J251">
        <v>2310</v>
      </c>
      <c r="K251">
        <v>2160</v>
      </c>
      <c r="L251">
        <v>1836</v>
      </c>
      <c r="M251" t="s">
        <v>1898</v>
      </c>
      <c r="N251" s="6">
        <v>2310</v>
      </c>
      <c r="O251" s="6">
        <v>2160</v>
      </c>
      <c r="P251" s="6">
        <v>1836</v>
      </c>
      <c r="Q251" t="s">
        <v>54</v>
      </c>
      <c r="R251">
        <v>23</v>
      </c>
      <c r="S251">
        <v>1</v>
      </c>
      <c r="T251" s="8" t="s">
        <v>1902</v>
      </c>
      <c r="U251" s="8" t="s">
        <v>1901</v>
      </c>
      <c r="V251" s="10">
        <v>0</v>
      </c>
      <c r="W251" s="11" t="str">
        <f t="shared" si="3"/>
        <v>(1944,null,1,'2026-03-24 00:00:00','003308020140000-330802014','003308020140000-330802014','动脉导管闭合术',null,null,2310,2160,1836,null,2310,2160,1836,'次',23,1,'normal','main',0),</v>
      </c>
    </row>
    <row r="252" ht="15.75" spans="1:23">
      <c r="A252">
        <v>1945</v>
      </c>
      <c r="B252" t="s">
        <v>1898</v>
      </c>
      <c r="C252">
        <v>1</v>
      </c>
      <c r="D252" s="9" t="s">
        <v>1899</v>
      </c>
      <c r="E252" t="s">
        <v>1293</v>
      </c>
      <c r="F252" t="s">
        <v>1293</v>
      </c>
      <c r="G252" t="s">
        <v>1294</v>
      </c>
      <c r="H252" t="s">
        <v>1898</v>
      </c>
      <c r="I252" t="s">
        <v>1898</v>
      </c>
      <c r="J252">
        <v>2950</v>
      </c>
      <c r="K252">
        <v>2760</v>
      </c>
      <c r="L252">
        <v>2346</v>
      </c>
      <c r="M252" t="s">
        <v>1898</v>
      </c>
      <c r="N252" s="6">
        <v>2310</v>
      </c>
      <c r="O252" s="6">
        <v>2160</v>
      </c>
      <c r="P252" s="6">
        <v>1836</v>
      </c>
      <c r="Q252" t="s">
        <v>54</v>
      </c>
      <c r="R252">
        <v>23</v>
      </c>
      <c r="S252">
        <v>1</v>
      </c>
      <c r="T252" s="8" t="s">
        <v>1902</v>
      </c>
      <c r="U252" s="8" t="s">
        <v>1901</v>
      </c>
      <c r="V252" s="10">
        <v>0</v>
      </c>
      <c r="W252" s="11" t="str">
        <f t="shared" si="3"/>
        <v>(1945,null,1,'2026-03-24 00:00:00','003308020140000-33080201401','003308020140000-33080201401','动脉导管闭合术-在体外循环下直视闭合术',null,null,2950,2760,2346,null,2310,2160,1836,'次',23,1,'normal','main',0),</v>
      </c>
    </row>
    <row r="253" ht="15.75" spans="1:23">
      <c r="A253">
        <v>1946</v>
      </c>
      <c r="B253" t="s">
        <v>1898</v>
      </c>
      <c r="C253">
        <v>1</v>
      </c>
      <c r="D253" s="9" t="s">
        <v>1899</v>
      </c>
      <c r="E253" t="s">
        <v>1298</v>
      </c>
      <c r="F253" t="s">
        <v>1298</v>
      </c>
      <c r="G253" t="s">
        <v>1299</v>
      </c>
      <c r="H253" t="s">
        <v>1898</v>
      </c>
      <c r="I253" t="s">
        <v>1898</v>
      </c>
      <c r="J253">
        <v>3005</v>
      </c>
      <c r="K253">
        <v>2810</v>
      </c>
      <c r="L253">
        <v>2385</v>
      </c>
      <c r="M253" t="s">
        <v>1898</v>
      </c>
      <c r="N253" s="6">
        <v>3005</v>
      </c>
      <c r="O253" s="6">
        <v>2810</v>
      </c>
      <c r="P253" s="6">
        <v>2386</v>
      </c>
      <c r="Q253" t="s">
        <v>54</v>
      </c>
      <c r="R253">
        <v>23</v>
      </c>
      <c r="S253">
        <v>1</v>
      </c>
      <c r="T253" s="8" t="s">
        <v>1902</v>
      </c>
      <c r="U253" s="8" t="s">
        <v>1901</v>
      </c>
      <c r="V253" s="10">
        <v>0</v>
      </c>
      <c r="W253" s="11" t="str">
        <f t="shared" si="3"/>
        <v>(1946,null,1,'2026-03-24 00:00:00','003308020140000-33080201402','003308020140000-33080201402','小儿动脉导管闭合术',null,null,3005,2810,2385,null,3005,2810,2386,'次',23,1,'normal','main',0),</v>
      </c>
    </row>
    <row r="254" ht="15.75" spans="1:23">
      <c r="A254">
        <v>1947</v>
      </c>
      <c r="B254" t="s">
        <v>1898</v>
      </c>
      <c r="C254">
        <v>1</v>
      </c>
      <c r="D254" s="9" t="s">
        <v>1899</v>
      </c>
      <c r="E254" t="s">
        <v>1300</v>
      </c>
      <c r="F254" t="s">
        <v>1300</v>
      </c>
      <c r="G254" t="s">
        <v>1301</v>
      </c>
      <c r="H254" t="s">
        <v>1898</v>
      </c>
      <c r="I254" t="s">
        <v>1898</v>
      </c>
      <c r="J254">
        <v>3835</v>
      </c>
      <c r="K254">
        <v>3590</v>
      </c>
      <c r="L254">
        <v>3050</v>
      </c>
      <c r="M254" t="s">
        <v>1898</v>
      </c>
      <c r="N254" s="6">
        <v>3005</v>
      </c>
      <c r="O254" s="6">
        <v>2810</v>
      </c>
      <c r="P254" s="6">
        <v>2386</v>
      </c>
      <c r="Q254" t="s">
        <v>54</v>
      </c>
      <c r="R254">
        <v>23</v>
      </c>
      <c r="S254">
        <v>1</v>
      </c>
      <c r="T254" s="8" t="s">
        <v>1902</v>
      </c>
      <c r="U254" s="8" t="s">
        <v>1901</v>
      </c>
      <c r="V254" s="10">
        <v>0</v>
      </c>
      <c r="W254" s="11" t="str">
        <f t="shared" si="3"/>
        <v>(1947,null,1,'2026-03-24 00:00:00','003308020140000-33080201403','003308020140000-33080201403','小儿动脉导管闭合术-在体外循环下直视闭合术',null,null,3835,3590,3050,null,3005,2810,2386,'次',23,1,'normal','main',0),</v>
      </c>
    </row>
    <row r="255" ht="15.75" spans="1:23">
      <c r="A255">
        <v>1948</v>
      </c>
      <c r="B255" t="s">
        <v>1898</v>
      </c>
      <c r="C255">
        <v>1</v>
      </c>
      <c r="D255" s="9" t="s">
        <v>1899</v>
      </c>
      <c r="E255" t="s">
        <v>1327</v>
      </c>
      <c r="F255" t="s">
        <v>1327</v>
      </c>
      <c r="G255" t="s">
        <v>1328</v>
      </c>
      <c r="H255" t="s">
        <v>1898</v>
      </c>
      <c r="I255" t="s">
        <v>1898</v>
      </c>
      <c r="J255">
        <v>10400</v>
      </c>
      <c r="K255">
        <v>9360</v>
      </c>
      <c r="L255">
        <v>7960</v>
      </c>
      <c r="M255" t="s">
        <v>1898</v>
      </c>
      <c r="N255" s="6">
        <v>9500</v>
      </c>
      <c r="O255" s="6">
        <v>8600</v>
      </c>
      <c r="P255" s="6">
        <v>7300</v>
      </c>
      <c r="Q255" t="s">
        <v>54</v>
      </c>
      <c r="R255">
        <v>23</v>
      </c>
      <c r="S255">
        <v>1</v>
      </c>
      <c r="T255" s="8" t="s">
        <v>1902</v>
      </c>
      <c r="U255" s="8" t="s">
        <v>1901</v>
      </c>
      <c r="V255" s="10">
        <v>0</v>
      </c>
      <c r="W255" s="11" t="str">
        <f t="shared" si="3"/>
        <v>(1948,null,1,'2026-03-24 00:00:00','003308020180000-330802018','003308020180000-330802018','右室双出口矫治术',null,null,10400,9360,7960,null,9500,8600,7300,'次',23,1,'normal','main',0),</v>
      </c>
    </row>
    <row r="256" ht="15.75" spans="1:23">
      <c r="A256">
        <v>1949</v>
      </c>
      <c r="B256" t="s">
        <v>1898</v>
      </c>
      <c r="C256">
        <v>1</v>
      </c>
      <c r="D256" s="9" t="s">
        <v>1899</v>
      </c>
      <c r="E256" t="s">
        <v>1330</v>
      </c>
      <c r="F256" t="s">
        <v>1330</v>
      </c>
      <c r="G256" t="s">
        <v>1331</v>
      </c>
      <c r="H256" t="s">
        <v>1898</v>
      </c>
      <c r="I256" t="s">
        <v>1898</v>
      </c>
      <c r="J256">
        <v>10400</v>
      </c>
      <c r="K256">
        <v>9360</v>
      </c>
      <c r="L256">
        <v>7960</v>
      </c>
      <c r="M256" t="s">
        <v>1898</v>
      </c>
      <c r="N256" s="6">
        <v>9500</v>
      </c>
      <c r="O256" s="6">
        <v>8600</v>
      </c>
      <c r="P256" s="6">
        <v>7300</v>
      </c>
      <c r="Q256" t="s">
        <v>54</v>
      </c>
      <c r="R256">
        <v>23</v>
      </c>
      <c r="S256">
        <v>1</v>
      </c>
      <c r="T256" s="8" t="s">
        <v>1902</v>
      </c>
      <c r="U256" s="8" t="s">
        <v>1901</v>
      </c>
      <c r="V256" s="10">
        <v>0</v>
      </c>
      <c r="W256" s="11" t="str">
        <f t="shared" si="3"/>
        <v>(1949,null,1,'2026-03-24 00:00:00','003308020360000-330802036','003308020360000-330802036','动脉调转术（Switch术）',null,null,10400,9360,7960,null,9500,8600,7300,'次',23,1,'normal','main',0),</v>
      </c>
    </row>
    <row r="257" ht="15.75" spans="1:23">
      <c r="A257">
        <v>1950</v>
      </c>
      <c r="B257" t="s">
        <v>1898</v>
      </c>
      <c r="C257">
        <v>1</v>
      </c>
      <c r="D257" s="9" t="s">
        <v>1899</v>
      </c>
      <c r="E257" t="s">
        <v>1335</v>
      </c>
      <c r="F257" t="s">
        <v>1335</v>
      </c>
      <c r="G257" t="s">
        <v>1336</v>
      </c>
      <c r="H257" t="s">
        <v>1898</v>
      </c>
      <c r="I257" t="s">
        <v>1898</v>
      </c>
      <c r="J257">
        <v>13520</v>
      </c>
      <c r="K257">
        <v>12170</v>
      </c>
      <c r="L257">
        <v>10345</v>
      </c>
      <c r="M257" t="s">
        <v>1898</v>
      </c>
      <c r="N257" s="6">
        <v>12350</v>
      </c>
      <c r="O257" s="6">
        <v>11180</v>
      </c>
      <c r="P257" s="6">
        <v>9490</v>
      </c>
      <c r="Q257" t="s">
        <v>54</v>
      </c>
      <c r="R257">
        <v>23</v>
      </c>
      <c r="S257">
        <v>1</v>
      </c>
      <c r="T257" s="8" t="s">
        <v>1902</v>
      </c>
      <c r="U257" s="8" t="s">
        <v>1901</v>
      </c>
      <c r="V257" s="10">
        <v>0</v>
      </c>
      <c r="W257" s="11" t="str">
        <f t="shared" si="3"/>
        <v>(1950,null,1,'2026-03-24 00:00:00','003308020180000-33080201801','003308020180000-33080201801','小儿右室双出口矫治术',null,null,13520,12170,10345,null,12350,11180,9490,'次',23,1,'normal','main',0),</v>
      </c>
    </row>
    <row r="258" ht="15.75" spans="1:23">
      <c r="A258">
        <v>1951</v>
      </c>
      <c r="B258" t="s">
        <v>1898</v>
      </c>
      <c r="C258">
        <v>1</v>
      </c>
      <c r="D258" s="9" t="s">
        <v>1899</v>
      </c>
      <c r="E258" t="s">
        <v>1337</v>
      </c>
      <c r="F258" t="s">
        <v>1337</v>
      </c>
      <c r="G258" t="s">
        <v>1338</v>
      </c>
      <c r="H258" t="s">
        <v>1898</v>
      </c>
      <c r="I258" t="s">
        <v>1898</v>
      </c>
      <c r="J258">
        <v>13520</v>
      </c>
      <c r="K258">
        <v>12170</v>
      </c>
      <c r="L258">
        <v>10345</v>
      </c>
      <c r="M258" t="s">
        <v>1898</v>
      </c>
      <c r="N258" s="6">
        <v>12350</v>
      </c>
      <c r="O258" s="6">
        <v>11180</v>
      </c>
      <c r="P258" s="6">
        <v>9490</v>
      </c>
      <c r="Q258" t="s">
        <v>54</v>
      </c>
      <c r="R258">
        <v>23</v>
      </c>
      <c r="S258">
        <v>1</v>
      </c>
      <c r="T258" s="8" t="s">
        <v>1902</v>
      </c>
      <c r="U258" s="8" t="s">
        <v>1901</v>
      </c>
      <c r="V258" s="10">
        <v>0</v>
      </c>
      <c r="W258" s="11" t="str">
        <f t="shared" si="3"/>
        <v>(1951,null,1,'2026-03-24 00:00:00','003308020360000-33080203601','003308020360000-33080203601','小儿动脉调转术（Switch术）',null,null,13520,12170,10345,null,12350,11180,9490,'次',23,1,'normal','main',0),</v>
      </c>
    </row>
    <row r="259" ht="15.75" spans="1:23">
      <c r="A259">
        <v>1952</v>
      </c>
      <c r="B259" t="s">
        <v>1898</v>
      </c>
      <c r="C259">
        <v>1</v>
      </c>
      <c r="D259" s="9" t="s">
        <v>1899</v>
      </c>
      <c r="E259" t="s">
        <v>1344</v>
      </c>
      <c r="F259" t="s">
        <v>1344</v>
      </c>
      <c r="G259" t="s">
        <v>1345</v>
      </c>
      <c r="H259" t="s">
        <v>1898</v>
      </c>
      <c r="I259" t="s">
        <v>1898</v>
      </c>
      <c r="J259">
        <v>8660</v>
      </c>
      <c r="K259">
        <v>7790</v>
      </c>
      <c r="L259">
        <v>6620</v>
      </c>
      <c r="M259" t="s">
        <v>1898</v>
      </c>
      <c r="N259">
        <v>9200</v>
      </c>
      <c r="O259">
        <v>8300</v>
      </c>
      <c r="P259">
        <v>7100</v>
      </c>
      <c r="Q259" t="s">
        <v>54</v>
      </c>
      <c r="R259">
        <v>23</v>
      </c>
      <c r="S259">
        <v>1</v>
      </c>
      <c r="T259" s="8" t="s">
        <v>1902</v>
      </c>
      <c r="U259" s="8" t="s">
        <v>1901</v>
      </c>
      <c r="V259" s="10">
        <v>0</v>
      </c>
      <c r="W259" s="11" t="str">
        <f t="shared" ref="W259:W322" si="4">"("&amp;A259&amp;","&amp;B259&amp;","&amp;C259&amp;",'"&amp;D259&amp;"','"&amp;E259&amp;"','"&amp;F259&amp;"','"&amp;G259&amp;"',"&amp;H259&amp;","&amp;I259&amp;","&amp;J259&amp;","&amp;K259&amp;","&amp;L259&amp;","&amp;M259&amp;","&amp;N259&amp;","&amp;O259&amp;","&amp;P259&amp;",'"&amp;Q259&amp;"',"&amp;R259&amp;","&amp;S259&amp;",'"&amp;T259&amp;"','"&amp;U259&amp;"',"&amp;V259&amp;"),"</f>
        <v>(1952,null,1,'2026-03-24 00:00:00','003308020370000-330802037','003308020370000-330802037','心房调转术',null,null,8660,7790,6620,null,9200,8300,7100,'次',23,1,'normal','main',0),</v>
      </c>
    </row>
    <row r="260" ht="15.75" spans="1:23">
      <c r="A260">
        <v>1953</v>
      </c>
      <c r="B260" t="s">
        <v>1898</v>
      </c>
      <c r="C260">
        <v>1</v>
      </c>
      <c r="D260" s="9" t="s">
        <v>1899</v>
      </c>
      <c r="E260" t="s">
        <v>1349</v>
      </c>
      <c r="F260" t="s">
        <v>1349</v>
      </c>
      <c r="G260" t="s">
        <v>1350</v>
      </c>
      <c r="H260" t="s">
        <v>1898</v>
      </c>
      <c r="I260" t="s">
        <v>1898</v>
      </c>
      <c r="J260">
        <v>11260</v>
      </c>
      <c r="K260">
        <v>10125</v>
      </c>
      <c r="L260">
        <v>8605</v>
      </c>
      <c r="M260" t="s">
        <v>1898</v>
      </c>
      <c r="N260">
        <v>11960</v>
      </c>
      <c r="O260">
        <v>10790</v>
      </c>
      <c r="P260">
        <v>9230</v>
      </c>
      <c r="Q260" t="s">
        <v>54</v>
      </c>
      <c r="R260">
        <v>23</v>
      </c>
      <c r="S260">
        <v>1</v>
      </c>
      <c r="T260" s="8" t="s">
        <v>1902</v>
      </c>
      <c r="U260" s="8" t="s">
        <v>1901</v>
      </c>
      <c r="V260" s="10">
        <v>0</v>
      </c>
      <c r="W260" s="11" t="str">
        <f t="shared" si="4"/>
        <v>(1953,null,1,'2026-03-24 00:00:00','003308020370000-33080203701','003308020370000-33080203701','小儿心房调转术',null,null,11260,10125,8605,null,11960,10790,9230,'次',23,1,'normal','main',0),</v>
      </c>
    </row>
    <row r="261" ht="15.75" spans="1:23">
      <c r="A261">
        <v>1954</v>
      </c>
      <c r="B261" t="s">
        <v>1898</v>
      </c>
      <c r="C261">
        <v>1</v>
      </c>
      <c r="D261" s="9" t="s">
        <v>1899</v>
      </c>
      <c r="E261" t="s">
        <v>1355</v>
      </c>
      <c r="F261" t="s">
        <v>1355</v>
      </c>
      <c r="G261" t="s">
        <v>1356</v>
      </c>
      <c r="H261" t="s">
        <v>1898</v>
      </c>
      <c r="I261" t="s">
        <v>1898</v>
      </c>
      <c r="J261">
        <v>5780</v>
      </c>
      <c r="K261">
        <v>5200</v>
      </c>
      <c r="L261">
        <v>4420</v>
      </c>
      <c r="M261" t="s">
        <v>1898</v>
      </c>
      <c r="N261">
        <v>6100</v>
      </c>
      <c r="O261">
        <v>5500</v>
      </c>
      <c r="P261">
        <v>4700</v>
      </c>
      <c r="Q261" t="s">
        <v>54</v>
      </c>
      <c r="R261">
        <v>23</v>
      </c>
      <c r="S261">
        <v>1</v>
      </c>
      <c r="T261" s="8" t="s">
        <v>1902</v>
      </c>
      <c r="U261" s="8" t="s">
        <v>1901</v>
      </c>
      <c r="V261" s="10">
        <v>0</v>
      </c>
      <c r="W261" s="11" t="str">
        <f t="shared" si="4"/>
        <v>(1954,null,1,'2026-03-24 00:00:00','003308010270000-330801027','003308010270000-330801027','三房心矫治术',null,null,5780,5200,4420,null,6100,5500,4700,'次',23,1,'normal','main',0),</v>
      </c>
    </row>
    <row r="262" ht="15.75" spans="1:23">
      <c r="A262">
        <v>1955</v>
      </c>
      <c r="B262" t="s">
        <v>1898</v>
      </c>
      <c r="C262">
        <v>1</v>
      </c>
      <c r="D262" s="9" t="s">
        <v>1899</v>
      </c>
      <c r="E262" t="s">
        <v>1360</v>
      </c>
      <c r="F262" t="s">
        <v>1360</v>
      </c>
      <c r="G262" t="s">
        <v>1361</v>
      </c>
      <c r="H262" t="s">
        <v>1898</v>
      </c>
      <c r="I262" t="s">
        <v>1898</v>
      </c>
      <c r="J262">
        <v>7515</v>
      </c>
      <c r="K262">
        <v>6760</v>
      </c>
      <c r="L262">
        <v>5745</v>
      </c>
      <c r="M262" t="s">
        <v>1898</v>
      </c>
      <c r="N262">
        <v>7930</v>
      </c>
      <c r="O262">
        <v>7150</v>
      </c>
      <c r="P262">
        <v>6110</v>
      </c>
      <c r="Q262" t="s">
        <v>54</v>
      </c>
      <c r="R262">
        <v>23</v>
      </c>
      <c r="S262">
        <v>1</v>
      </c>
      <c r="T262" s="8" t="s">
        <v>1902</v>
      </c>
      <c r="U262" s="8" t="s">
        <v>1901</v>
      </c>
      <c r="V262" s="10">
        <v>0</v>
      </c>
      <c r="W262" s="11" t="str">
        <f t="shared" si="4"/>
        <v>(1955,null,1,'2026-03-24 00:00:00','003308010270000-33080102701','003308010270000-33080102701','小儿三房心矫治术',null,null,7515,6760,5745,null,7930,7150,6110,'次',23,1,'normal','main',0),</v>
      </c>
    </row>
    <row r="263" ht="15.75" spans="1:23">
      <c r="A263">
        <v>1956</v>
      </c>
      <c r="B263" t="s">
        <v>1898</v>
      </c>
      <c r="C263">
        <v>1</v>
      </c>
      <c r="D263" s="9" t="s">
        <v>1899</v>
      </c>
      <c r="E263" t="s">
        <v>1366</v>
      </c>
      <c r="F263" t="s">
        <v>1366</v>
      </c>
      <c r="G263" t="s">
        <v>1367</v>
      </c>
      <c r="H263" t="s">
        <v>1898</v>
      </c>
      <c r="I263" t="s">
        <v>1898</v>
      </c>
      <c r="J263">
        <v>5060</v>
      </c>
      <c r="K263">
        <v>4550</v>
      </c>
      <c r="L263">
        <v>3870</v>
      </c>
      <c r="M263" t="s">
        <v>1898</v>
      </c>
      <c r="N263" s="6">
        <v>5600</v>
      </c>
      <c r="O263" s="6">
        <v>5050</v>
      </c>
      <c r="P263" s="6">
        <v>4300</v>
      </c>
      <c r="Q263" t="s">
        <v>54</v>
      </c>
      <c r="R263">
        <v>23</v>
      </c>
      <c r="S263">
        <v>1</v>
      </c>
      <c r="T263" s="8" t="s">
        <v>1902</v>
      </c>
      <c r="U263" s="8" t="s">
        <v>1901</v>
      </c>
      <c r="V263" s="10">
        <v>0</v>
      </c>
      <c r="W263" s="11" t="str">
        <f t="shared" si="4"/>
        <v>(1956,null,1,'2026-03-24 00:00:00','003308010070000-330801007','003308010070000-330801007','主动脉瓣上狭窄矫治术',null,null,5060,4550,3870,null,5600,5050,4300,'次',23,1,'normal','main',0),</v>
      </c>
    </row>
    <row r="264" ht="15.75" spans="1:23">
      <c r="A264">
        <v>1957</v>
      </c>
      <c r="B264" t="s">
        <v>1898</v>
      </c>
      <c r="C264">
        <v>1</v>
      </c>
      <c r="D264" s="9" t="s">
        <v>1899</v>
      </c>
      <c r="E264" t="s">
        <v>1369</v>
      </c>
      <c r="F264" t="s">
        <v>1369</v>
      </c>
      <c r="G264" t="s">
        <v>1370</v>
      </c>
      <c r="H264" t="s">
        <v>1898</v>
      </c>
      <c r="I264" t="s">
        <v>1898</v>
      </c>
      <c r="J264">
        <v>5400</v>
      </c>
      <c r="K264">
        <v>4860</v>
      </c>
      <c r="L264">
        <v>4130</v>
      </c>
      <c r="M264" t="s">
        <v>1898</v>
      </c>
      <c r="N264" s="6">
        <v>5600</v>
      </c>
      <c r="O264" s="6">
        <v>5050</v>
      </c>
      <c r="P264" s="6">
        <v>4300</v>
      </c>
      <c r="Q264" t="s">
        <v>54</v>
      </c>
      <c r="R264">
        <v>23</v>
      </c>
      <c r="S264">
        <v>1</v>
      </c>
      <c r="T264" s="8" t="s">
        <v>1902</v>
      </c>
      <c r="U264" s="8" t="s">
        <v>1901</v>
      </c>
      <c r="V264" s="10">
        <v>0</v>
      </c>
      <c r="W264" s="11" t="str">
        <f t="shared" si="4"/>
        <v>(1957,null,1,'2026-03-24 00:00:00','003308010080000-330801008','003308010080000-330801008','主动脉瓣直视成形术',null,null,5400,4860,4130,null,5600,5050,4300,'次',23,1,'normal','main',0),</v>
      </c>
    </row>
    <row r="265" ht="15.75" spans="1:23">
      <c r="A265">
        <v>1958</v>
      </c>
      <c r="B265" t="s">
        <v>1898</v>
      </c>
      <c r="C265">
        <v>1</v>
      </c>
      <c r="D265" s="9" t="s">
        <v>1899</v>
      </c>
      <c r="E265" t="s">
        <v>1371</v>
      </c>
      <c r="F265" t="s">
        <v>1371</v>
      </c>
      <c r="G265" t="s">
        <v>1372</v>
      </c>
      <c r="H265" t="s">
        <v>1898</v>
      </c>
      <c r="I265" t="s">
        <v>1898</v>
      </c>
      <c r="J265">
        <v>6025</v>
      </c>
      <c r="K265">
        <v>5460</v>
      </c>
      <c r="L265">
        <v>4640</v>
      </c>
      <c r="M265" t="s">
        <v>1898</v>
      </c>
      <c r="N265" s="6">
        <v>5600</v>
      </c>
      <c r="O265" s="6">
        <v>5050</v>
      </c>
      <c r="P265" s="6">
        <v>4300</v>
      </c>
      <c r="Q265" t="s">
        <v>54</v>
      </c>
      <c r="R265">
        <v>23</v>
      </c>
      <c r="S265">
        <v>1</v>
      </c>
      <c r="T265" s="8" t="s">
        <v>1902</v>
      </c>
      <c r="U265" s="8" t="s">
        <v>1901</v>
      </c>
      <c r="V265" s="10">
        <v>0</v>
      </c>
      <c r="W265" s="11" t="str">
        <f t="shared" si="4"/>
        <v>(1958,null,1,'2026-03-24 00:00:00','003308010080000-33080100802','003308010080000-33080100802','经胸腔镜主动脉瓣直视成形术',null,null,6025,5460,4640,null,5600,5050,4300,'次',23,1,'normal','main',0),</v>
      </c>
    </row>
    <row r="266" ht="15.75" spans="1:23">
      <c r="A266">
        <v>1959</v>
      </c>
      <c r="B266" t="s">
        <v>1898</v>
      </c>
      <c r="C266">
        <v>1</v>
      </c>
      <c r="D266" s="9" t="s">
        <v>1899</v>
      </c>
      <c r="E266" t="s">
        <v>1375</v>
      </c>
      <c r="F266" t="s">
        <v>1375</v>
      </c>
      <c r="G266" t="s">
        <v>1376</v>
      </c>
      <c r="H266" t="s">
        <v>1898</v>
      </c>
      <c r="I266" t="s">
        <v>1898</v>
      </c>
      <c r="J266">
        <v>6580</v>
      </c>
      <c r="K266">
        <v>5915</v>
      </c>
      <c r="L266">
        <v>5030</v>
      </c>
      <c r="M266" t="s">
        <v>1898</v>
      </c>
      <c r="N266" s="6">
        <v>7280</v>
      </c>
      <c r="O266" s="6">
        <v>6565</v>
      </c>
      <c r="P266" s="6">
        <v>5590</v>
      </c>
      <c r="Q266" t="s">
        <v>54</v>
      </c>
      <c r="R266">
        <v>23</v>
      </c>
      <c r="S266">
        <v>1</v>
      </c>
      <c r="T266" s="8" t="s">
        <v>1902</v>
      </c>
      <c r="U266" s="8" t="s">
        <v>1901</v>
      </c>
      <c r="V266" s="10">
        <v>0</v>
      </c>
      <c r="W266" s="11" t="str">
        <f t="shared" si="4"/>
        <v>(1959,null,1,'2026-03-24 00:00:00','003308010070000-33080100701','003308010070000-33080100701','小儿主动脉瓣上狭窄矫治术',null,null,6580,5915,5030,null,7280,6565,5590,'次',23,1,'normal','main',0),</v>
      </c>
    </row>
    <row r="267" ht="15.75" spans="1:23">
      <c r="A267">
        <v>1960</v>
      </c>
      <c r="B267" t="s">
        <v>1898</v>
      </c>
      <c r="C267">
        <v>1</v>
      </c>
      <c r="D267" s="9" t="s">
        <v>1899</v>
      </c>
      <c r="E267" t="s">
        <v>1377</v>
      </c>
      <c r="F267" t="s">
        <v>1377</v>
      </c>
      <c r="G267" t="s">
        <v>1378</v>
      </c>
      <c r="H267" t="s">
        <v>1898</v>
      </c>
      <c r="I267" t="s">
        <v>1898</v>
      </c>
      <c r="J267">
        <v>7020</v>
      </c>
      <c r="K267">
        <v>6320</v>
      </c>
      <c r="L267">
        <v>5370</v>
      </c>
      <c r="M267" t="s">
        <v>1898</v>
      </c>
      <c r="N267" s="6">
        <v>7280</v>
      </c>
      <c r="O267" s="6">
        <v>6565</v>
      </c>
      <c r="P267" s="6">
        <v>5590</v>
      </c>
      <c r="Q267" t="s">
        <v>54</v>
      </c>
      <c r="R267">
        <v>23</v>
      </c>
      <c r="S267">
        <v>1</v>
      </c>
      <c r="T267" s="8" t="s">
        <v>1902</v>
      </c>
      <c r="U267" s="8" t="s">
        <v>1901</v>
      </c>
      <c r="V267" s="10">
        <v>0</v>
      </c>
      <c r="W267" s="11" t="str">
        <f t="shared" si="4"/>
        <v>(1960,null,1,'2026-03-24 00:00:00','003308010080000-33080100801','003308010080000-33080100801','小儿主动脉瓣直视成形术',null,null,7020,6320,5370,null,7280,6565,5590,'次',23,1,'normal','main',0),</v>
      </c>
    </row>
    <row r="268" ht="15.75" spans="1:23">
      <c r="A268">
        <v>1961</v>
      </c>
      <c r="B268" t="s">
        <v>1898</v>
      </c>
      <c r="C268">
        <v>1</v>
      </c>
      <c r="D268" s="9" t="s">
        <v>1899</v>
      </c>
      <c r="E268" t="s">
        <v>1379</v>
      </c>
      <c r="F268" t="s">
        <v>1379</v>
      </c>
      <c r="G268" t="s">
        <v>1380</v>
      </c>
      <c r="H268" t="s">
        <v>1898</v>
      </c>
      <c r="I268" t="s">
        <v>1898</v>
      </c>
      <c r="J268">
        <v>7645</v>
      </c>
      <c r="K268">
        <v>6920</v>
      </c>
      <c r="L268">
        <v>5880</v>
      </c>
      <c r="M268" t="s">
        <v>1898</v>
      </c>
      <c r="N268" s="6">
        <v>7280</v>
      </c>
      <c r="O268" s="6">
        <v>6565</v>
      </c>
      <c r="P268" s="6">
        <v>5590</v>
      </c>
      <c r="Q268" t="s">
        <v>54</v>
      </c>
      <c r="R268">
        <v>23</v>
      </c>
      <c r="S268">
        <v>1</v>
      </c>
      <c r="T268" s="8" t="s">
        <v>1902</v>
      </c>
      <c r="U268" s="8" t="s">
        <v>1901</v>
      </c>
      <c r="V268" s="10">
        <v>0</v>
      </c>
      <c r="W268" s="11" t="str">
        <f t="shared" si="4"/>
        <v>(1961,null,1,'2026-03-24 00:00:00','003308010080000-33080100803','003308010080000-33080100803','小儿经胸腔镜主动脉瓣直视成形术',null,null,7645,6920,5880,null,7280,6565,5590,'次',23,1,'normal','main',0),</v>
      </c>
    </row>
    <row r="269" ht="15.75" spans="1:23">
      <c r="A269">
        <v>1962</v>
      </c>
      <c r="B269" t="s">
        <v>1898</v>
      </c>
      <c r="C269">
        <v>1</v>
      </c>
      <c r="D269" s="9" t="s">
        <v>1899</v>
      </c>
      <c r="E269" t="s">
        <v>1384</v>
      </c>
      <c r="F269" t="s">
        <v>1384</v>
      </c>
      <c r="G269" t="s">
        <v>1385</v>
      </c>
      <c r="H269" t="s">
        <v>1898</v>
      </c>
      <c r="I269" t="s">
        <v>1898</v>
      </c>
      <c r="J269">
        <v>2250</v>
      </c>
      <c r="K269">
        <v>2160</v>
      </c>
      <c r="L269">
        <v>1836</v>
      </c>
      <c r="M269" t="s">
        <v>1898</v>
      </c>
      <c r="N269" s="6">
        <v>5500</v>
      </c>
      <c r="O269" s="6">
        <v>4950</v>
      </c>
      <c r="P269" s="6">
        <v>4200</v>
      </c>
      <c r="Q269" t="s">
        <v>54</v>
      </c>
      <c r="R269">
        <v>23</v>
      </c>
      <c r="S269">
        <v>1</v>
      </c>
      <c r="T269" s="8" t="s">
        <v>1902</v>
      </c>
      <c r="U269" s="8" t="s">
        <v>1901</v>
      </c>
      <c r="V269" s="10">
        <v>0</v>
      </c>
      <c r="W269" s="11" t="str">
        <f t="shared" si="4"/>
        <v>(1962,null,1,'2026-03-24 00:00:00','003308010010000-330801001','003308010010000-330801001','二尖瓣闭式扩张术',null,null,2250,2160,1836,null,5500,4950,4200,'次',23,1,'normal','main',0),</v>
      </c>
    </row>
    <row r="270" ht="15.75" spans="1:23">
      <c r="A270">
        <v>1963</v>
      </c>
      <c r="B270" t="s">
        <v>1898</v>
      </c>
      <c r="C270">
        <v>1</v>
      </c>
      <c r="D270" s="9" t="s">
        <v>1899</v>
      </c>
      <c r="E270" t="s">
        <v>1387</v>
      </c>
      <c r="F270" t="s">
        <v>1387</v>
      </c>
      <c r="G270" t="s">
        <v>1388</v>
      </c>
      <c r="H270" t="s">
        <v>1898</v>
      </c>
      <c r="I270" t="s">
        <v>1898</v>
      </c>
      <c r="J270">
        <v>5500</v>
      </c>
      <c r="K270">
        <v>4950</v>
      </c>
      <c r="L270">
        <v>3960</v>
      </c>
      <c r="M270" t="s">
        <v>1898</v>
      </c>
      <c r="N270" s="6">
        <v>5500</v>
      </c>
      <c r="O270" s="6">
        <v>4950</v>
      </c>
      <c r="P270" s="6">
        <v>4200</v>
      </c>
      <c r="Q270" t="s">
        <v>54</v>
      </c>
      <c r="R270">
        <v>23</v>
      </c>
      <c r="S270">
        <v>1</v>
      </c>
      <c r="T270" s="8" t="s">
        <v>1902</v>
      </c>
      <c r="U270" s="8" t="s">
        <v>1901</v>
      </c>
      <c r="V270" s="10">
        <v>0</v>
      </c>
      <c r="W270" s="11" t="str">
        <f t="shared" si="4"/>
        <v>(1963,null,1,'2026-03-24 00:00:00','003308010020000-330801002','003308010020000-330801002','二尖瓣直视成形术',null,null,5500,4950,3960,null,5500,4950,4200,'次',23,1,'normal','main',0),</v>
      </c>
    </row>
    <row r="271" ht="15.75" spans="1:23">
      <c r="A271">
        <v>1964</v>
      </c>
      <c r="B271" t="s">
        <v>1898</v>
      </c>
      <c r="C271">
        <v>1</v>
      </c>
      <c r="D271" s="9" t="s">
        <v>1899</v>
      </c>
      <c r="E271" t="s">
        <v>1391</v>
      </c>
      <c r="F271" t="s">
        <v>1391</v>
      </c>
      <c r="G271" t="s">
        <v>1392</v>
      </c>
      <c r="H271" t="s">
        <v>1898</v>
      </c>
      <c r="I271" t="s">
        <v>1898</v>
      </c>
      <c r="J271">
        <v>9120</v>
      </c>
      <c r="K271">
        <v>8665</v>
      </c>
      <c r="L271">
        <v>7365</v>
      </c>
      <c r="M271" t="s">
        <v>1898</v>
      </c>
      <c r="N271" s="6">
        <v>5500</v>
      </c>
      <c r="O271" s="6">
        <v>4950</v>
      </c>
      <c r="P271" s="6">
        <v>4200</v>
      </c>
      <c r="Q271" t="s">
        <v>54</v>
      </c>
      <c r="R271">
        <v>23</v>
      </c>
      <c r="S271">
        <v>1</v>
      </c>
      <c r="T271" s="8" t="s">
        <v>1902</v>
      </c>
      <c r="U271" s="8" t="s">
        <v>1901</v>
      </c>
      <c r="V271" s="10">
        <v>0</v>
      </c>
      <c r="W271" s="11" t="str">
        <f t="shared" si="4"/>
        <v>(1964,null,1,'2026-03-24 00:00:00','003308030140000-330803014','003308030140000-330803014','左室减容术（Batista手术）',null,null,9120,8665,7365,null,5500,4950,4200,'次',23,1,'normal','main',0),</v>
      </c>
    </row>
    <row r="272" ht="15.75" spans="1:23">
      <c r="A272">
        <v>1965</v>
      </c>
      <c r="B272" t="s">
        <v>1898</v>
      </c>
      <c r="C272">
        <v>1</v>
      </c>
      <c r="D272" s="9" t="s">
        <v>1899</v>
      </c>
      <c r="E272" t="s">
        <v>1397</v>
      </c>
      <c r="F272" t="s">
        <v>1397</v>
      </c>
      <c r="G272" t="s">
        <v>1398</v>
      </c>
      <c r="H272" t="s">
        <v>1898</v>
      </c>
      <c r="I272" t="s">
        <v>1898</v>
      </c>
      <c r="J272">
        <v>2925</v>
      </c>
      <c r="K272">
        <v>2810</v>
      </c>
      <c r="L272">
        <v>2390</v>
      </c>
      <c r="M272" t="s">
        <v>1898</v>
      </c>
      <c r="N272" s="6">
        <v>7150</v>
      </c>
      <c r="O272" s="6">
        <v>6435</v>
      </c>
      <c r="P272" s="6">
        <v>5460</v>
      </c>
      <c r="Q272" t="s">
        <v>54</v>
      </c>
      <c r="R272">
        <v>23</v>
      </c>
      <c r="S272">
        <v>1</v>
      </c>
      <c r="T272" s="8" t="s">
        <v>1902</v>
      </c>
      <c r="U272" s="8" t="s">
        <v>1901</v>
      </c>
      <c r="V272" s="10">
        <v>0</v>
      </c>
      <c r="W272" s="11" t="str">
        <f t="shared" si="4"/>
        <v>(1965,null,1,'2026-03-24 00:00:00','003308010010000-33080100101','003308010010000-33080100101','小儿二尖瓣闭式扩张术',null,null,2925,2810,2390,null,7150,6435,5460,'次',23,1,'normal','main',0),</v>
      </c>
    </row>
    <row r="273" ht="15.75" spans="1:23">
      <c r="A273">
        <v>1966</v>
      </c>
      <c r="B273" t="s">
        <v>1898</v>
      </c>
      <c r="C273">
        <v>1</v>
      </c>
      <c r="D273" s="9" t="s">
        <v>1899</v>
      </c>
      <c r="E273" t="s">
        <v>1399</v>
      </c>
      <c r="F273" t="s">
        <v>1399</v>
      </c>
      <c r="G273" t="s">
        <v>1400</v>
      </c>
      <c r="H273" t="s">
        <v>1898</v>
      </c>
      <c r="I273" t="s">
        <v>1898</v>
      </c>
      <c r="J273">
        <v>7150</v>
      </c>
      <c r="K273">
        <v>6435</v>
      </c>
      <c r="L273">
        <v>5150</v>
      </c>
      <c r="M273" t="s">
        <v>1898</v>
      </c>
      <c r="N273" s="6">
        <v>7150</v>
      </c>
      <c r="O273" s="6">
        <v>6435</v>
      </c>
      <c r="P273" s="6">
        <v>5460</v>
      </c>
      <c r="Q273" t="s">
        <v>54</v>
      </c>
      <c r="R273">
        <v>23</v>
      </c>
      <c r="S273">
        <v>1</v>
      </c>
      <c r="T273" s="8" t="s">
        <v>1902</v>
      </c>
      <c r="U273" s="8" t="s">
        <v>1901</v>
      </c>
      <c r="V273" s="10">
        <v>0</v>
      </c>
      <c r="W273" s="11" t="str">
        <f t="shared" si="4"/>
        <v>(1966,null,1,'2026-03-24 00:00:00','003308010020000-33080100201','003308010020000-33080100201','小儿二尖瓣直视成形术',null,null,7150,6435,5150,null,7150,6435,5460,'次',23,1,'normal','main',0),</v>
      </c>
    </row>
    <row r="274" ht="15.75" spans="1:23">
      <c r="A274">
        <v>1967</v>
      </c>
      <c r="B274" t="s">
        <v>1898</v>
      </c>
      <c r="C274">
        <v>1</v>
      </c>
      <c r="D274" s="9" t="s">
        <v>1899</v>
      </c>
      <c r="E274" t="s">
        <v>1401</v>
      </c>
      <c r="F274" t="s">
        <v>1401</v>
      </c>
      <c r="G274" t="s">
        <v>1402</v>
      </c>
      <c r="H274" t="s">
        <v>1898</v>
      </c>
      <c r="I274" t="s">
        <v>1898</v>
      </c>
      <c r="J274">
        <v>11855</v>
      </c>
      <c r="K274">
        <v>11265</v>
      </c>
      <c r="L274">
        <v>9575</v>
      </c>
      <c r="M274" t="s">
        <v>1898</v>
      </c>
      <c r="N274" s="6">
        <v>7150</v>
      </c>
      <c r="O274" s="6">
        <v>6435</v>
      </c>
      <c r="P274" s="6">
        <v>5460</v>
      </c>
      <c r="Q274" t="s">
        <v>54</v>
      </c>
      <c r="R274">
        <v>23</v>
      </c>
      <c r="S274">
        <v>1</v>
      </c>
      <c r="T274" s="8" t="s">
        <v>1902</v>
      </c>
      <c r="U274" s="8" t="s">
        <v>1901</v>
      </c>
      <c r="V274" s="10">
        <v>0</v>
      </c>
      <c r="W274" s="11" t="str">
        <f t="shared" si="4"/>
        <v>(1967,null,1,'2026-03-24 00:00:00','003308030140000-33080301401','003308030140000-33080301401','小儿左室减容术（Batista手术）',null,null,11855,11265,9575,null,7150,6435,5460,'次',23,1,'normal','main',0),</v>
      </c>
    </row>
    <row r="275" ht="15.75" spans="1:23">
      <c r="A275">
        <v>1968</v>
      </c>
      <c r="B275" t="s">
        <v>1898</v>
      </c>
      <c r="C275">
        <v>1</v>
      </c>
      <c r="D275" s="9" t="s">
        <v>1899</v>
      </c>
      <c r="E275" t="s">
        <v>1408</v>
      </c>
      <c r="F275" t="s">
        <v>1408</v>
      </c>
      <c r="G275" t="s">
        <v>1409</v>
      </c>
      <c r="H275" t="s">
        <v>1898</v>
      </c>
      <c r="I275" t="s">
        <v>1898</v>
      </c>
      <c r="J275">
        <v>4750</v>
      </c>
      <c r="K275">
        <v>4275</v>
      </c>
      <c r="L275">
        <v>3420</v>
      </c>
      <c r="M275" t="s">
        <v>1898</v>
      </c>
      <c r="N275">
        <v>4750</v>
      </c>
      <c r="O275">
        <v>4275</v>
      </c>
      <c r="P275">
        <v>3650</v>
      </c>
      <c r="Q275" t="s">
        <v>54</v>
      </c>
      <c r="R275">
        <v>23</v>
      </c>
      <c r="S275">
        <v>1</v>
      </c>
      <c r="T275" s="8" t="s">
        <v>1902</v>
      </c>
      <c r="U275" s="8" t="s">
        <v>1901</v>
      </c>
      <c r="V275" s="10">
        <v>0</v>
      </c>
      <c r="W275" s="11" t="str">
        <f t="shared" si="4"/>
        <v>(1968,null,1,'2026-03-24 00:00:00','003308010040000-330801004','003308010040000-330801004','三尖瓣直视成形术',null,null,4750,4275,3420,null,4750,4275,3650,'次',23,1,'normal','main',0),</v>
      </c>
    </row>
    <row r="276" ht="15.75" spans="1:23">
      <c r="A276">
        <v>1969</v>
      </c>
      <c r="B276" t="s">
        <v>1898</v>
      </c>
      <c r="C276">
        <v>1</v>
      </c>
      <c r="D276" s="9" t="s">
        <v>1899</v>
      </c>
      <c r="E276" t="s">
        <v>1413</v>
      </c>
      <c r="F276" t="s">
        <v>1413</v>
      </c>
      <c r="G276" t="s">
        <v>1414</v>
      </c>
      <c r="H276" t="s">
        <v>1898</v>
      </c>
      <c r="I276" t="s">
        <v>1898</v>
      </c>
      <c r="J276">
        <v>6175</v>
      </c>
      <c r="K276">
        <v>5555</v>
      </c>
      <c r="L276">
        <v>4445</v>
      </c>
      <c r="M276" t="s">
        <v>1898</v>
      </c>
      <c r="N276">
        <v>6175</v>
      </c>
      <c r="O276">
        <v>5560</v>
      </c>
      <c r="P276">
        <v>4745</v>
      </c>
      <c r="Q276" t="s">
        <v>54</v>
      </c>
      <c r="R276">
        <v>23</v>
      </c>
      <c r="S276">
        <v>1</v>
      </c>
      <c r="T276" s="8" t="s">
        <v>1902</v>
      </c>
      <c r="U276" s="8" t="s">
        <v>1901</v>
      </c>
      <c r="V276" s="10">
        <v>0</v>
      </c>
      <c r="W276" s="11" t="str">
        <f t="shared" si="4"/>
        <v>(1969,null,1,'2026-03-24 00:00:00','003308010040000-33080100401','003308010040000-33080100401','小儿三尖瓣直视成形术',null,null,6175,5555,4445,null,6175,5560,4745,'次',23,1,'normal','main',0),</v>
      </c>
    </row>
    <row r="277" ht="15.75" spans="1:23">
      <c r="A277">
        <v>1970</v>
      </c>
      <c r="B277" t="s">
        <v>1898</v>
      </c>
      <c r="C277">
        <v>1</v>
      </c>
      <c r="D277" s="9" t="s">
        <v>1899</v>
      </c>
      <c r="E277" t="s">
        <v>1417</v>
      </c>
      <c r="F277" t="s">
        <v>1417</v>
      </c>
      <c r="G277" t="s">
        <v>1418</v>
      </c>
      <c r="H277" t="s">
        <v>1898</v>
      </c>
      <c r="I277" t="s">
        <v>1898</v>
      </c>
      <c r="J277">
        <v>5375</v>
      </c>
      <c r="K277">
        <v>4875</v>
      </c>
      <c r="L277">
        <v>3930</v>
      </c>
      <c r="M277" t="s">
        <v>1898</v>
      </c>
      <c r="N277" s="6">
        <v>720</v>
      </c>
      <c r="O277" s="6">
        <v>650</v>
      </c>
      <c r="P277" s="6">
        <v>550</v>
      </c>
      <c r="Q277" t="s">
        <v>54</v>
      </c>
      <c r="R277">
        <v>23</v>
      </c>
      <c r="S277">
        <v>1</v>
      </c>
      <c r="T277" s="8" t="s">
        <v>1902</v>
      </c>
      <c r="U277" s="8" t="s">
        <v>1901</v>
      </c>
      <c r="V277" s="10">
        <v>0</v>
      </c>
      <c r="W277" s="11" t="str">
        <f t="shared" si="4"/>
        <v>(1970,null,1,'2026-03-24 00:00:00','003308010040000-33080100402','003308010040000-33080100402','经胸腔镜三尖瓣直视成形术',null,null,5375,4875,3930,null,720,650,550,'次',23,1,'normal','main',0),</v>
      </c>
    </row>
    <row r="278" ht="15.75" spans="1:23">
      <c r="A278">
        <v>1971</v>
      </c>
      <c r="B278" t="s">
        <v>1898</v>
      </c>
      <c r="C278">
        <v>1</v>
      </c>
      <c r="D278" s="9" t="s">
        <v>1899</v>
      </c>
      <c r="E278" t="s">
        <v>1419</v>
      </c>
      <c r="F278" t="s">
        <v>1419</v>
      </c>
      <c r="G278" t="s">
        <v>1420</v>
      </c>
      <c r="H278" t="s">
        <v>1898</v>
      </c>
      <c r="I278" t="s">
        <v>1898</v>
      </c>
      <c r="J278">
        <v>6800</v>
      </c>
      <c r="K278">
        <v>6155</v>
      </c>
      <c r="L278">
        <v>4955</v>
      </c>
      <c r="M278" t="s">
        <v>1898</v>
      </c>
      <c r="N278" s="6">
        <v>720</v>
      </c>
      <c r="O278" s="6">
        <v>650</v>
      </c>
      <c r="P278" s="6">
        <v>550</v>
      </c>
      <c r="Q278" t="s">
        <v>54</v>
      </c>
      <c r="R278">
        <v>23</v>
      </c>
      <c r="S278">
        <v>1</v>
      </c>
      <c r="T278" s="8" t="s">
        <v>1902</v>
      </c>
      <c r="U278" s="8" t="s">
        <v>1901</v>
      </c>
      <c r="V278" s="10">
        <v>0</v>
      </c>
      <c r="W278" s="11" t="str">
        <f t="shared" si="4"/>
        <v>(1971,null,1,'2026-03-24 00:00:00','003308010040000-33080100403','003308010040000-33080100403','小儿经胸腔镜三尖瓣直视成形术',null,null,6800,6155,4955,null,720,650,550,'次',23,1,'normal','main',0),</v>
      </c>
    </row>
    <row r="279" ht="15.75" spans="1:23">
      <c r="A279">
        <v>1972</v>
      </c>
      <c r="B279" t="s">
        <v>1898</v>
      </c>
      <c r="C279">
        <v>1</v>
      </c>
      <c r="D279" s="9" t="s">
        <v>1899</v>
      </c>
      <c r="E279" t="s">
        <v>1425</v>
      </c>
      <c r="F279" t="s">
        <v>1425</v>
      </c>
      <c r="G279" t="s">
        <v>1426</v>
      </c>
      <c r="H279" t="s">
        <v>1898</v>
      </c>
      <c r="I279" t="s">
        <v>1898</v>
      </c>
      <c r="J279">
        <v>2875</v>
      </c>
      <c r="K279">
        <v>2760</v>
      </c>
      <c r="L279">
        <v>2346</v>
      </c>
      <c r="M279" t="s">
        <v>1898</v>
      </c>
      <c r="N279">
        <v>2950</v>
      </c>
      <c r="O279">
        <v>2760</v>
      </c>
      <c r="P279">
        <v>2346</v>
      </c>
      <c r="Q279" t="s">
        <v>54</v>
      </c>
      <c r="R279">
        <v>23</v>
      </c>
      <c r="S279">
        <v>1</v>
      </c>
      <c r="T279" s="8" t="s">
        <v>1902</v>
      </c>
      <c r="U279" s="8" t="s">
        <v>1901</v>
      </c>
      <c r="V279" s="10">
        <v>0</v>
      </c>
      <c r="W279" s="11" t="str">
        <f t="shared" si="4"/>
        <v>(1972,null,1,'2026-03-24 00:00:00','003308010120000-330801012','003308010120000-330801012','肺动脉瓣狭窄矫治术',null,null,2875,2760,2346,null,2950,2760,2346,'次',23,1,'normal','main',0),</v>
      </c>
    </row>
    <row r="280" ht="15.75" spans="1:23">
      <c r="A280">
        <v>1973</v>
      </c>
      <c r="B280" t="s">
        <v>1898</v>
      </c>
      <c r="C280">
        <v>1</v>
      </c>
      <c r="D280" s="9" t="s">
        <v>1899</v>
      </c>
      <c r="E280" t="s">
        <v>1430</v>
      </c>
      <c r="F280" t="s">
        <v>1430</v>
      </c>
      <c r="G280" t="s">
        <v>1431</v>
      </c>
      <c r="H280" t="s">
        <v>1898</v>
      </c>
      <c r="I280" t="s">
        <v>1898</v>
      </c>
      <c r="J280">
        <v>3740</v>
      </c>
      <c r="K280">
        <v>3590</v>
      </c>
      <c r="L280">
        <v>3050</v>
      </c>
      <c r="M280" t="s">
        <v>1898</v>
      </c>
      <c r="N280">
        <v>3835</v>
      </c>
      <c r="O280">
        <v>3590</v>
      </c>
      <c r="P280">
        <v>3051</v>
      </c>
      <c r="Q280" t="s">
        <v>54</v>
      </c>
      <c r="R280">
        <v>23</v>
      </c>
      <c r="S280">
        <v>1</v>
      </c>
      <c r="T280" s="8" t="s">
        <v>1902</v>
      </c>
      <c r="U280" s="8" t="s">
        <v>1901</v>
      </c>
      <c r="V280" s="10">
        <v>0</v>
      </c>
      <c r="W280" s="11" t="str">
        <f t="shared" si="4"/>
        <v>(1973,null,1,'2026-03-24 00:00:00','003308010120000-33080101201','003308010120000-33080101201','小儿肺动脉瓣狭窄矫治术',null,null,3740,3590,3050,null,3835,3590,3051,'次',23,1,'normal','main',0),</v>
      </c>
    </row>
    <row r="281" ht="15.75" spans="1:23">
      <c r="A281">
        <v>1974</v>
      </c>
      <c r="B281" t="s">
        <v>1898</v>
      </c>
      <c r="C281">
        <v>1</v>
      </c>
      <c r="D281" s="9" t="s">
        <v>1899</v>
      </c>
      <c r="E281" t="s">
        <v>1437</v>
      </c>
      <c r="F281" t="s">
        <v>1437</v>
      </c>
      <c r="G281" t="s">
        <v>1438</v>
      </c>
      <c r="H281" t="s">
        <v>1898</v>
      </c>
      <c r="I281" t="s">
        <v>1898</v>
      </c>
      <c r="J281">
        <v>5500</v>
      </c>
      <c r="K281">
        <v>4950</v>
      </c>
      <c r="L281">
        <v>3960</v>
      </c>
      <c r="M281" t="s">
        <v>1898</v>
      </c>
      <c r="N281">
        <v>5500</v>
      </c>
      <c r="O281">
        <v>4950</v>
      </c>
      <c r="P281">
        <v>4200</v>
      </c>
      <c r="Q281" t="s">
        <v>54</v>
      </c>
      <c r="R281">
        <v>23</v>
      </c>
      <c r="S281">
        <v>1</v>
      </c>
      <c r="T281" s="8" t="s">
        <v>1902</v>
      </c>
      <c r="U281" s="8" t="s">
        <v>1901</v>
      </c>
      <c r="V281" s="10">
        <v>0</v>
      </c>
      <c r="W281" s="11" t="str">
        <f t="shared" si="4"/>
        <v>(1974,null,1,'2026-03-24 00:00:00','003308010090000-330801009','003308010090000-330801009','主动脉瓣置换术',null,null,5500,4950,3960,null,5500,4950,4200,'次',23,1,'normal','main',0),</v>
      </c>
    </row>
    <row r="282" ht="15.75" spans="1:23">
      <c r="A282">
        <v>1975</v>
      </c>
      <c r="B282" t="s">
        <v>1898</v>
      </c>
      <c r="C282">
        <v>1</v>
      </c>
      <c r="D282" s="9" t="s">
        <v>1899</v>
      </c>
      <c r="E282" t="s">
        <v>1442</v>
      </c>
      <c r="F282" t="s">
        <v>1442</v>
      </c>
      <c r="G282" t="s">
        <v>1443</v>
      </c>
      <c r="H282" t="s">
        <v>1898</v>
      </c>
      <c r="I282" t="s">
        <v>1898</v>
      </c>
      <c r="J282">
        <v>10400</v>
      </c>
      <c r="K282">
        <v>9280</v>
      </c>
      <c r="L282">
        <v>7890</v>
      </c>
      <c r="M282" t="s">
        <v>1898</v>
      </c>
      <c r="N282" s="6">
        <v>11000</v>
      </c>
      <c r="O282" s="6">
        <v>9900</v>
      </c>
      <c r="P282" s="6">
        <v>8400</v>
      </c>
      <c r="Q282" t="s">
        <v>54</v>
      </c>
      <c r="R282">
        <v>23</v>
      </c>
      <c r="S282">
        <v>1</v>
      </c>
      <c r="T282" s="8" t="s">
        <v>1902</v>
      </c>
      <c r="U282" s="8" t="s">
        <v>1901</v>
      </c>
      <c r="V282" s="10">
        <v>0</v>
      </c>
      <c r="W282" s="11" t="str">
        <f t="shared" si="4"/>
        <v>(1975,null,1,'2026-03-24 00:00:00','003308010140000-330801014','003308010140000-330801014','双瓣置换术',null,null,10400,9280,7890,null,11000,9900,8400,'次',23,1,'normal','main',0),</v>
      </c>
    </row>
    <row r="283" ht="15.75" spans="1:23">
      <c r="A283">
        <v>1976</v>
      </c>
      <c r="B283" t="s">
        <v>1898</v>
      </c>
      <c r="C283">
        <v>1</v>
      </c>
      <c r="D283" s="9" t="s">
        <v>1899</v>
      </c>
      <c r="E283" t="s">
        <v>1445</v>
      </c>
      <c r="F283" t="s">
        <v>1445</v>
      </c>
      <c r="G283" t="s">
        <v>1446</v>
      </c>
      <c r="H283" t="s">
        <v>1898</v>
      </c>
      <c r="I283" t="s">
        <v>1898</v>
      </c>
      <c r="J283">
        <v>11700</v>
      </c>
      <c r="K283">
        <v>10530</v>
      </c>
      <c r="L283">
        <v>8950</v>
      </c>
      <c r="M283" t="s">
        <v>1898</v>
      </c>
      <c r="N283" s="6">
        <v>11000</v>
      </c>
      <c r="O283" s="6">
        <v>9900</v>
      </c>
      <c r="P283" s="6">
        <v>8400</v>
      </c>
      <c r="Q283" t="s">
        <v>54</v>
      </c>
      <c r="R283">
        <v>23</v>
      </c>
      <c r="S283">
        <v>1</v>
      </c>
      <c r="T283" s="8" t="s">
        <v>1902</v>
      </c>
      <c r="U283" s="8" t="s">
        <v>1901</v>
      </c>
      <c r="V283" s="10">
        <v>0</v>
      </c>
      <c r="W283" s="11" t="str">
        <f t="shared" si="4"/>
        <v>(1976,null,1,'2026-03-24 00:00:00','003308010140001-33080101401','003308010140001-33080101401','双瓣置换术（多瓣置换）',null,null,11700,10530,8950,null,11000,9900,8400,'次',23,1,'normal','main',0),</v>
      </c>
    </row>
    <row r="284" ht="15.75" spans="1:23">
      <c r="A284">
        <v>1977</v>
      </c>
      <c r="B284" t="s">
        <v>1898</v>
      </c>
      <c r="C284">
        <v>1</v>
      </c>
      <c r="D284" s="9" t="s">
        <v>1899</v>
      </c>
      <c r="E284" t="s">
        <v>1448</v>
      </c>
      <c r="F284" t="s">
        <v>1448</v>
      </c>
      <c r="G284" t="s">
        <v>1449</v>
      </c>
      <c r="H284" t="s">
        <v>1898</v>
      </c>
      <c r="I284" t="s">
        <v>1898</v>
      </c>
      <c r="J284">
        <v>13405</v>
      </c>
      <c r="K284">
        <v>12065</v>
      </c>
      <c r="L284">
        <v>10255</v>
      </c>
      <c r="M284" t="s">
        <v>1898</v>
      </c>
      <c r="N284" s="6">
        <v>11000</v>
      </c>
      <c r="O284" s="6">
        <v>9900</v>
      </c>
      <c r="P284" s="6">
        <v>8400</v>
      </c>
      <c r="Q284" t="s">
        <v>54</v>
      </c>
      <c r="R284">
        <v>23</v>
      </c>
      <c r="S284">
        <v>1</v>
      </c>
      <c r="T284" s="8" t="s">
        <v>1902</v>
      </c>
      <c r="U284" s="8" t="s">
        <v>1901</v>
      </c>
      <c r="V284" s="10">
        <v>0</v>
      </c>
      <c r="W284" s="11" t="str">
        <f t="shared" si="4"/>
        <v>(1977,null,1,'2026-03-24 00:00:00','003308010140000-33080101402','003308010140000-33080101402','小儿双瓣置换术',null,null,13405,12065,10255,null,11000,9900,8400,'次',23,1,'normal','main',0),</v>
      </c>
    </row>
    <row r="285" ht="15.75" spans="1:23">
      <c r="A285">
        <v>1978</v>
      </c>
      <c r="B285" t="s">
        <v>1898</v>
      </c>
      <c r="C285">
        <v>1</v>
      </c>
      <c r="D285" s="9" t="s">
        <v>1899</v>
      </c>
      <c r="E285" t="s">
        <v>1450</v>
      </c>
      <c r="F285" t="s">
        <v>1450</v>
      </c>
      <c r="G285" t="s">
        <v>1451</v>
      </c>
      <c r="H285" t="s">
        <v>1898</v>
      </c>
      <c r="I285" t="s">
        <v>1898</v>
      </c>
      <c r="J285">
        <v>15210</v>
      </c>
      <c r="K285">
        <v>13690</v>
      </c>
      <c r="L285">
        <v>11635</v>
      </c>
      <c r="M285" t="s">
        <v>1898</v>
      </c>
      <c r="N285" s="6">
        <v>11000</v>
      </c>
      <c r="O285" s="6">
        <v>9900</v>
      </c>
      <c r="P285" s="6">
        <v>8400</v>
      </c>
      <c r="Q285" t="s">
        <v>54</v>
      </c>
      <c r="R285">
        <v>23</v>
      </c>
      <c r="S285">
        <v>1</v>
      </c>
      <c r="T285" s="8" t="s">
        <v>1902</v>
      </c>
      <c r="U285" s="8" t="s">
        <v>1901</v>
      </c>
      <c r="V285" s="10">
        <v>0</v>
      </c>
      <c r="W285" s="11" t="str">
        <f t="shared" si="4"/>
        <v>(1978,null,1,'2026-03-24 00:00:00','003308010140001-33080101403','003308010140001-33080101403','小儿双瓣置换术（多瓣置换）',null,null,15210,13690,11635,null,11000,9900,8400,'次',23,1,'normal','main',0),</v>
      </c>
    </row>
    <row r="286" ht="15.75" spans="1:23">
      <c r="A286">
        <v>1979</v>
      </c>
      <c r="B286" t="s">
        <v>1898</v>
      </c>
      <c r="C286">
        <v>1</v>
      </c>
      <c r="D286" s="9" t="s">
        <v>1899</v>
      </c>
      <c r="E286" t="s">
        <v>1454</v>
      </c>
      <c r="F286" t="s">
        <v>1454</v>
      </c>
      <c r="G286" t="s">
        <v>1455</v>
      </c>
      <c r="H286" t="s">
        <v>1898</v>
      </c>
      <c r="I286" t="s">
        <v>1898</v>
      </c>
      <c r="J286">
        <v>7150</v>
      </c>
      <c r="K286">
        <v>6435</v>
      </c>
      <c r="L286">
        <v>5150</v>
      </c>
      <c r="M286" t="s">
        <v>1898</v>
      </c>
      <c r="N286">
        <v>7150</v>
      </c>
      <c r="O286">
        <v>6435</v>
      </c>
      <c r="P286">
        <v>5460</v>
      </c>
      <c r="Q286" t="s">
        <v>54</v>
      </c>
      <c r="R286">
        <v>23</v>
      </c>
      <c r="S286">
        <v>1</v>
      </c>
      <c r="T286" s="8" t="s">
        <v>1902</v>
      </c>
      <c r="U286" s="8" t="s">
        <v>1901</v>
      </c>
      <c r="V286" s="10">
        <v>0</v>
      </c>
      <c r="W286" s="11" t="str">
        <f t="shared" si="4"/>
        <v>(1979,null,1,'2026-03-24 00:00:00','003308010090000-33080100901','003308010090000-33080100901','小儿主动脉瓣置换术',null,null,7150,6435,5150,null,7150,6435,5460,'次',23,1,'normal','main',0),</v>
      </c>
    </row>
    <row r="287" ht="15.75" spans="1:23">
      <c r="A287">
        <v>1980</v>
      </c>
      <c r="B287" t="s">
        <v>1898</v>
      </c>
      <c r="C287">
        <v>1</v>
      </c>
      <c r="D287" s="9" t="s">
        <v>1899</v>
      </c>
      <c r="E287" t="s">
        <v>1458</v>
      </c>
      <c r="F287" t="s">
        <v>1458</v>
      </c>
      <c r="G287" t="s">
        <v>1459</v>
      </c>
      <c r="H287" t="s">
        <v>1898</v>
      </c>
      <c r="I287" t="s">
        <v>1898</v>
      </c>
      <c r="J287">
        <v>6125</v>
      </c>
      <c r="K287">
        <v>5550</v>
      </c>
      <c r="L287">
        <v>4470</v>
      </c>
      <c r="M287" t="s">
        <v>1898</v>
      </c>
      <c r="N287" s="6">
        <v>6220</v>
      </c>
      <c r="O287" s="6">
        <v>5600</v>
      </c>
      <c r="P287" s="6">
        <v>4750</v>
      </c>
      <c r="Q287" t="s">
        <v>54</v>
      </c>
      <c r="R287">
        <v>23</v>
      </c>
      <c r="S287">
        <v>1</v>
      </c>
      <c r="T287" s="8" t="s">
        <v>1902</v>
      </c>
      <c r="U287" s="8" t="s">
        <v>1901</v>
      </c>
      <c r="V287" s="10">
        <v>0</v>
      </c>
      <c r="W287" s="11" t="str">
        <f t="shared" si="4"/>
        <v>(1980,null,1,'2026-03-24 00:00:00','003308010090000-33080100902','003308010090000-33080100902','经胸腔镜主动脉瓣置换术',null,null,6125,5550,4470,null,6220,5600,4750,'次',23,1,'normal','main',0),</v>
      </c>
    </row>
    <row r="288" ht="15.75" spans="1:23">
      <c r="A288">
        <v>1981</v>
      </c>
      <c r="B288" t="s">
        <v>1898</v>
      </c>
      <c r="C288">
        <v>1</v>
      </c>
      <c r="D288" s="9" t="s">
        <v>1899</v>
      </c>
      <c r="E288" t="s">
        <v>1460</v>
      </c>
      <c r="F288" t="s">
        <v>1460</v>
      </c>
      <c r="G288" t="s">
        <v>1461</v>
      </c>
      <c r="H288" t="s">
        <v>1898</v>
      </c>
      <c r="I288" t="s">
        <v>1898</v>
      </c>
      <c r="J288">
        <v>7775</v>
      </c>
      <c r="K288">
        <v>7035</v>
      </c>
      <c r="L288">
        <v>5660</v>
      </c>
      <c r="M288" t="s">
        <v>1898</v>
      </c>
      <c r="N288" s="6">
        <v>6220</v>
      </c>
      <c r="O288" s="6">
        <v>5600</v>
      </c>
      <c r="P288" s="6">
        <v>4750</v>
      </c>
      <c r="Q288" t="s">
        <v>54</v>
      </c>
      <c r="R288">
        <v>23</v>
      </c>
      <c r="S288">
        <v>1</v>
      </c>
      <c r="T288" s="8" t="s">
        <v>1902</v>
      </c>
      <c r="U288" s="8" t="s">
        <v>1901</v>
      </c>
      <c r="V288" s="10">
        <v>0</v>
      </c>
      <c r="W288" s="11" t="str">
        <f t="shared" si="4"/>
        <v>(1981,null,1,'2026-03-24 00:00:00','003308010090000-33080100903','003308010090000-33080100903','小儿经胸腔镜主动脉瓣置换术',null,null,7775,7035,5660,null,6220,5600,4750,'次',23,1,'normal','main',0),</v>
      </c>
    </row>
    <row r="289" ht="15.75" spans="1:23">
      <c r="A289">
        <v>1982</v>
      </c>
      <c r="B289" t="s">
        <v>1898</v>
      </c>
      <c r="C289">
        <v>1</v>
      </c>
      <c r="D289" s="9" t="s">
        <v>1899</v>
      </c>
      <c r="E289" t="s">
        <v>1462</v>
      </c>
      <c r="F289" t="s">
        <v>1462</v>
      </c>
      <c r="G289" t="s">
        <v>1463</v>
      </c>
      <c r="H289" t="s">
        <v>1898</v>
      </c>
      <c r="I289" t="s">
        <v>1898</v>
      </c>
      <c r="J289">
        <v>5570</v>
      </c>
      <c r="K289">
        <v>5010</v>
      </c>
      <c r="L289">
        <v>4260</v>
      </c>
      <c r="M289" t="s">
        <v>1898</v>
      </c>
      <c r="N289" s="6">
        <v>6220</v>
      </c>
      <c r="O289" s="6">
        <v>5600</v>
      </c>
      <c r="P289" s="6">
        <v>4750</v>
      </c>
      <c r="Q289" t="s">
        <v>54</v>
      </c>
      <c r="R289">
        <v>23</v>
      </c>
      <c r="S289">
        <v>1</v>
      </c>
      <c r="T289" s="8" t="s">
        <v>1902</v>
      </c>
      <c r="U289" s="8" t="s">
        <v>1901</v>
      </c>
      <c r="V289" s="10">
        <v>0</v>
      </c>
      <c r="W289" s="11" t="str">
        <f t="shared" si="4"/>
        <v>(1982,null,1,'2026-03-24 00:00:00','003308010130000-330801013','003308010130000-330801013','小切口瓣膜置换术',null,null,5570,5010,4260,null,6220,5600,4750,'次',23,1,'normal','main',0),</v>
      </c>
    </row>
    <row r="290" ht="15.75" spans="1:23">
      <c r="A290">
        <v>1983</v>
      </c>
      <c r="B290" t="s">
        <v>1898</v>
      </c>
      <c r="C290">
        <v>1</v>
      </c>
      <c r="D290" s="9" t="s">
        <v>1899</v>
      </c>
      <c r="E290" t="s">
        <v>1464</v>
      </c>
      <c r="F290" t="s">
        <v>1464</v>
      </c>
      <c r="G290" t="s">
        <v>1465</v>
      </c>
      <c r="H290" t="s">
        <v>1898</v>
      </c>
      <c r="I290" t="s">
        <v>1898</v>
      </c>
      <c r="J290">
        <v>7240</v>
      </c>
      <c r="K290">
        <v>6515</v>
      </c>
      <c r="L290">
        <v>5540</v>
      </c>
      <c r="M290" t="s">
        <v>1898</v>
      </c>
      <c r="N290" s="6">
        <v>6220</v>
      </c>
      <c r="O290" s="6">
        <v>5600</v>
      </c>
      <c r="P290" s="6">
        <v>4750</v>
      </c>
      <c r="Q290" t="s">
        <v>54</v>
      </c>
      <c r="R290">
        <v>23</v>
      </c>
      <c r="S290">
        <v>1</v>
      </c>
      <c r="T290" s="8" t="s">
        <v>1902</v>
      </c>
      <c r="U290" s="8" t="s">
        <v>1901</v>
      </c>
      <c r="V290" s="10">
        <v>0</v>
      </c>
      <c r="W290" s="11" t="str">
        <f t="shared" si="4"/>
        <v>(1983,null,1,'2026-03-24 00:00:00','003308010130000-33080101301','003308010130000-33080101301','小儿小切口瓣膜置换术',null,null,7240,6515,5540,null,6220,5600,4750,'次',23,1,'normal','main',0),</v>
      </c>
    </row>
    <row r="291" ht="15.75" spans="1:23">
      <c r="A291">
        <v>1984</v>
      </c>
      <c r="B291" t="s">
        <v>1898</v>
      </c>
      <c r="C291">
        <v>1</v>
      </c>
      <c r="D291" s="9" t="s">
        <v>1899</v>
      </c>
      <c r="E291" t="s">
        <v>1469</v>
      </c>
      <c r="F291" t="s">
        <v>1469</v>
      </c>
      <c r="G291" t="s">
        <v>1470</v>
      </c>
      <c r="H291" t="s">
        <v>1898</v>
      </c>
      <c r="I291" t="s">
        <v>1898</v>
      </c>
      <c r="J291">
        <v>6190</v>
      </c>
      <c r="K291">
        <v>5570</v>
      </c>
      <c r="L291">
        <v>4730</v>
      </c>
      <c r="M291" t="s">
        <v>1898</v>
      </c>
      <c r="N291" s="6">
        <v>6975</v>
      </c>
      <c r="O291" s="6">
        <v>6278</v>
      </c>
      <c r="P291" s="6">
        <v>5327</v>
      </c>
      <c r="Q291" t="s">
        <v>54</v>
      </c>
      <c r="R291">
        <v>23</v>
      </c>
      <c r="S291">
        <v>1</v>
      </c>
      <c r="T291" s="8" t="s">
        <v>1902</v>
      </c>
      <c r="U291" s="8" t="s">
        <v>1901</v>
      </c>
      <c r="V291" s="10">
        <v>0</v>
      </c>
      <c r="W291" s="11" t="str">
        <f t="shared" si="4"/>
        <v>(1984,null,1,'2026-03-24 00:00:00','003308020270000-330802027','003308020270000-330802027','细小主动脉根部加宽补片成形术',null,null,6190,5570,4730,null,6975,6278,5327,'次',23,1,'normal','main',0),</v>
      </c>
    </row>
    <row r="292" ht="15.75" spans="1:23">
      <c r="A292">
        <v>1985</v>
      </c>
      <c r="B292" t="s">
        <v>1898</v>
      </c>
      <c r="C292">
        <v>1</v>
      </c>
      <c r="D292" s="9" t="s">
        <v>1899</v>
      </c>
      <c r="E292" t="s">
        <v>1472</v>
      </c>
      <c r="F292" t="s">
        <v>1472</v>
      </c>
      <c r="G292" t="s">
        <v>1473</v>
      </c>
      <c r="H292" t="s">
        <v>1898</v>
      </c>
      <c r="I292" t="s">
        <v>1898</v>
      </c>
      <c r="J292">
        <v>8045</v>
      </c>
      <c r="K292">
        <v>7240</v>
      </c>
      <c r="L292">
        <v>6155</v>
      </c>
      <c r="M292" t="s">
        <v>1898</v>
      </c>
      <c r="N292" s="6">
        <v>6975</v>
      </c>
      <c r="O292" s="6">
        <v>6278</v>
      </c>
      <c r="P292" s="6">
        <v>5327</v>
      </c>
      <c r="Q292" t="s">
        <v>54</v>
      </c>
      <c r="R292">
        <v>23</v>
      </c>
      <c r="S292">
        <v>1</v>
      </c>
      <c r="T292" s="8" t="s">
        <v>1902</v>
      </c>
      <c r="U292" s="8" t="s">
        <v>1901</v>
      </c>
      <c r="V292" s="10">
        <v>0</v>
      </c>
      <c r="W292" s="11" t="str">
        <f t="shared" si="4"/>
        <v>(1985,null,1,'2026-03-24 00:00:00','003308020270000-33080202701','003308020270000-33080202701','小儿细小主动脉根部加宽补片成形术',null,null,8045,7240,6155,null,6975,6278,5327,'次',23,1,'normal','main',0),</v>
      </c>
    </row>
    <row r="293" ht="15.75" spans="1:23">
      <c r="A293">
        <v>1986</v>
      </c>
      <c r="B293" t="s">
        <v>1898</v>
      </c>
      <c r="C293">
        <v>1</v>
      </c>
      <c r="D293" s="9" t="s">
        <v>1899</v>
      </c>
      <c r="E293" t="s">
        <v>1479</v>
      </c>
      <c r="F293" t="s">
        <v>1479</v>
      </c>
      <c r="G293" t="s">
        <v>1480</v>
      </c>
      <c r="H293" t="s">
        <v>1898</v>
      </c>
      <c r="I293" t="s">
        <v>1898</v>
      </c>
      <c r="J293">
        <v>11100</v>
      </c>
      <c r="K293">
        <v>9990</v>
      </c>
      <c r="L293">
        <v>8490</v>
      </c>
      <c r="M293" t="s">
        <v>1898</v>
      </c>
      <c r="N293" s="6">
        <v>7200</v>
      </c>
      <c r="O293" s="6">
        <v>6500</v>
      </c>
      <c r="P293" s="6">
        <v>5500</v>
      </c>
      <c r="Q293" t="s">
        <v>54</v>
      </c>
      <c r="R293">
        <v>23</v>
      </c>
      <c r="S293">
        <v>1</v>
      </c>
      <c r="T293" s="8" t="s">
        <v>1902</v>
      </c>
      <c r="U293" s="8" t="s">
        <v>1901</v>
      </c>
      <c r="V293" s="10">
        <v>0</v>
      </c>
      <c r="W293" s="11" t="str">
        <f t="shared" si="4"/>
        <v>(1986,null,1,'2026-03-24 00:00:00','003308020440000-330802044','003308020440000-330802044','科诺（Konno）手术',null,null,11100,9990,8490,null,7200,6500,5500,'次',23,1,'normal','main',0),</v>
      </c>
    </row>
    <row r="294" ht="15.75" spans="1:23">
      <c r="A294">
        <v>1987</v>
      </c>
      <c r="B294" t="s">
        <v>1898</v>
      </c>
      <c r="C294">
        <v>1</v>
      </c>
      <c r="D294" s="9" t="s">
        <v>1899</v>
      </c>
      <c r="E294" t="s">
        <v>1327</v>
      </c>
      <c r="F294" t="s">
        <v>1327</v>
      </c>
      <c r="G294" t="s">
        <v>1328</v>
      </c>
      <c r="H294" t="s">
        <v>1898</v>
      </c>
      <c r="I294" t="s">
        <v>1898</v>
      </c>
      <c r="J294">
        <v>10400</v>
      </c>
      <c r="K294">
        <v>9360</v>
      </c>
      <c r="L294">
        <v>7960</v>
      </c>
      <c r="M294" t="s">
        <v>1898</v>
      </c>
      <c r="N294" s="6">
        <v>7200</v>
      </c>
      <c r="O294" s="6">
        <v>6500</v>
      </c>
      <c r="P294" s="6">
        <v>5500</v>
      </c>
      <c r="Q294" t="s">
        <v>54</v>
      </c>
      <c r="R294">
        <v>23</v>
      </c>
      <c r="S294">
        <v>1</v>
      </c>
      <c r="T294" s="8" t="s">
        <v>1902</v>
      </c>
      <c r="U294" s="8" t="s">
        <v>1901</v>
      </c>
      <c r="V294" s="10">
        <v>0</v>
      </c>
      <c r="W294" s="11" t="str">
        <f t="shared" si="4"/>
        <v>(1987,null,1,'2026-03-24 00:00:00','003308020180000-330802018','003308020180000-330802018','右室双出口矫治术',null,null,10400,9360,7960,null,7200,6500,5500,'次',23,1,'normal','main',0),</v>
      </c>
    </row>
    <row r="295" ht="15.75" spans="1:23">
      <c r="A295">
        <v>1988</v>
      </c>
      <c r="B295" t="s">
        <v>1898</v>
      </c>
      <c r="C295">
        <v>1</v>
      </c>
      <c r="D295" s="9" t="s">
        <v>1899</v>
      </c>
      <c r="E295" t="s">
        <v>1112</v>
      </c>
      <c r="F295" t="s">
        <v>1112</v>
      </c>
      <c r="G295" t="s">
        <v>1113</v>
      </c>
      <c r="H295" t="s">
        <v>1898</v>
      </c>
      <c r="I295" t="s">
        <v>1898</v>
      </c>
      <c r="J295">
        <v>6600</v>
      </c>
      <c r="K295">
        <v>5940</v>
      </c>
      <c r="L295">
        <v>5050</v>
      </c>
      <c r="M295" t="s">
        <v>1898</v>
      </c>
      <c r="N295" s="6">
        <v>7200</v>
      </c>
      <c r="O295" s="6">
        <v>6500</v>
      </c>
      <c r="P295" s="6">
        <v>5500</v>
      </c>
      <c r="Q295" t="s">
        <v>54</v>
      </c>
      <c r="R295">
        <v>23</v>
      </c>
      <c r="S295">
        <v>1</v>
      </c>
      <c r="T295" s="8" t="s">
        <v>1902</v>
      </c>
      <c r="U295" s="8" t="s">
        <v>1901</v>
      </c>
      <c r="V295" s="10">
        <v>0</v>
      </c>
      <c r="W295" s="11" t="str">
        <f t="shared" si="4"/>
        <v>(1988,null,1,'2026-03-24 00:00:00','003308020240000-330802024','003308020240000-330802024','左室流出道狭窄疏通术',null,null,6600,5940,5050,null,7200,6500,5500,'次',23,1,'normal','main',0),</v>
      </c>
    </row>
    <row r="296" ht="15.75" spans="1:23">
      <c r="A296">
        <v>1989</v>
      </c>
      <c r="B296" t="s">
        <v>1898</v>
      </c>
      <c r="C296">
        <v>1</v>
      </c>
      <c r="D296" s="9" t="s">
        <v>1899</v>
      </c>
      <c r="E296" t="s">
        <v>1484</v>
      </c>
      <c r="F296" t="s">
        <v>1484</v>
      </c>
      <c r="G296" t="s">
        <v>1485</v>
      </c>
      <c r="H296" t="s">
        <v>1898</v>
      </c>
      <c r="I296" t="s">
        <v>1898</v>
      </c>
      <c r="J296">
        <v>14430</v>
      </c>
      <c r="K296">
        <v>12985</v>
      </c>
      <c r="L296">
        <v>11035</v>
      </c>
      <c r="M296" t="s">
        <v>1898</v>
      </c>
      <c r="N296" s="6">
        <v>9360</v>
      </c>
      <c r="O296" s="6">
        <v>8450</v>
      </c>
      <c r="P296" s="6">
        <v>7150</v>
      </c>
      <c r="Q296" t="s">
        <v>54</v>
      </c>
      <c r="R296">
        <v>23</v>
      </c>
      <c r="S296">
        <v>1</v>
      </c>
      <c r="T296" s="8" t="s">
        <v>1902</v>
      </c>
      <c r="U296" s="8" t="s">
        <v>1901</v>
      </c>
      <c r="V296" s="10">
        <v>0</v>
      </c>
      <c r="W296" s="11" t="str">
        <f t="shared" si="4"/>
        <v>(1989,null,1,'2026-03-24 00:00:00','003308020440000-33080204401','003308020440000-33080204401','小儿科诺（Konno）手术',null,null,14430,12985,11035,null,9360,8450,7150,'次',23,1,'normal','main',0),</v>
      </c>
    </row>
    <row r="297" ht="15.75" spans="1:23">
      <c r="A297">
        <v>1990</v>
      </c>
      <c r="B297" t="s">
        <v>1898</v>
      </c>
      <c r="C297">
        <v>1</v>
      </c>
      <c r="D297" s="9" t="s">
        <v>1899</v>
      </c>
      <c r="E297" t="s">
        <v>1335</v>
      </c>
      <c r="F297" t="s">
        <v>1335</v>
      </c>
      <c r="G297" t="s">
        <v>1336</v>
      </c>
      <c r="H297" t="s">
        <v>1898</v>
      </c>
      <c r="I297" t="s">
        <v>1898</v>
      </c>
      <c r="J297">
        <v>13520</v>
      </c>
      <c r="K297">
        <v>12170</v>
      </c>
      <c r="L297">
        <v>10345</v>
      </c>
      <c r="M297" t="s">
        <v>1898</v>
      </c>
      <c r="N297" s="6">
        <v>9360</v>
      </c>
      <c r="O297" s="6">
        <v>8450</v>
      </c>
      <c r="P297" s="6">
        <v>7150</v>
      </c>
      <c r="Q297" t="s">
        <v>54</v>
      </c>
      <c r="R297">
        <v>23</v>
      </c>
      <c r="S297">
        <v>1</v>
      </c>
      <c r="T297" s="8" t="s">
        <v>1902</v>
      </c>
      <c r="U297" s="8" t="s">
        <v>1901</v>
      </c>
      <c r="V297" s="10">
        <v>0</v>
      </c>
      <c r="W297" s="11" t="str">
        <f t="shared" si="4"/>
        <v>(1990,null,1,'2026-03-24 00:00:00','003308020180000-33080201801','003308020180000-33080201801','小儿右室双出口矫治术',null,null,13520,12170,10345,null,9360,8450,7150,'次',23,1,'normal','main',0),</v>
      </c>
    </row>
    <row r="298" ht="15.75" spans="1:23">
      <c r="A298">
        <v>1991</v>
      </c>
      <c r="B298" t="s">
        <v>1898</v>
      </c>
      <c r="C298">
        <v>1</v>
      </c>
      <c r="D298" s="9" t="s">
        <v>1899</v>
      </c>
      <c r="E298" t="s">
        <v>1117</v>
      </c>
      <c r="F298" t="s">
        <v>1117</v>
      </c>
      <c r="G298" t="s">
        <v>1118</v>
      </c>
      <c r="H298" t="s">
        <v>1898</v>
      </c>
      <c r="I298" t="s">
        <v>1898</v>
      </c>
      <c r="J298">
        <v>8580</v>
      </c>
      <c r="K298">
        <v>7720</v>
      </c>
      <c r="L298">
        <v>6560</v>
      </c>
      <c r="M298" t="s">
        <v>1898</v>
      </c>
      <c r="N298" s="6">
        <v>9360</v>
      </c>
      <c r="O298" s="6">
        <v>8450</v>
      </c>
      <c r="P298" s="6">
        <v>7150</v>
      </c>
      <c r="Q298" t="s">
        <v>54</v>
      </c>
      <c r="R298">
        <v>23</v>
      </c>
      <c r="S298">
        <v>1</v>
      </c>
      <c r="T298" s="8" t="s">
        <v>1902</v>
      </c>
      <c r="U298" s="8" t="s">
        <v>1901</v>
      </c>
      <c r="V298" s="10">
        <v>0</v>
      </c>
      <c r="W298" s="11" t="str">
        <f t="shared" si="4"/>
        <v>(1991,null,1,'2026-03-24 00:00:00','003308020240000-33080202401','003308020240000-33080202401','小儿左室流出道狭窄疏通术',null,null,8580,7720,6560,null,9360,8450,7150,'次',23,1,'normal','main',0),</v>
      </c>
    </row>
    <row r="299" ht="15.75" spans="1:23">
      <c r="A299">
        <v>1992</v>
      </c>
      <c r="B299" t="s">
        <v>1898</v>
      </c>
      <c r="C299">
        <v>1</v>
      </c>
      <c r="D299" s="9" t="s">
        <v>1899</v>
      </c>
      <c r="E299" t="s">
        <v>1489</v>
      </c>
      <c r="F299" t="s">
        <v>1489</v>
      </c>
      <c r="G299" t="s">
        <v>1490</v>
      </c>
      <c r="H299" t="s">
        <v>1898</v>
      </c>
      <c r="I299" t="s">
        <v>1898</v>
      </c>
      <c r="J299">
        <v>5300</v>
      </c>
      <c r="K299">
        <v>4770</v>
      </c>
      <c r="L299">
        <v>3815</v>
      </c>
      <c r="M299" t="s">
        <v>1898</v>
      </c>
      <c r="N299">
        <v>5300</v>
      </c>
      <c r="O299">
        <v>4770</v>
      </c>
      <c r="P299">
        <v>4050</v>
      </c>
      <c r="Q299" t="s">
        <v>54</v>
      </c>
      <c r="R299">
        <v>23</v>
      </c>
      <c r="S299">
        <v>1</v>
      </c>
      <c r="T299" s="8" t="s">
        <v>1902</v>
      </c>
      <c r="U299" s="8" t="s">
        <v>1901</v>
      </c>
      <c r="V299" s="10">
        <v>0</v>
      </c>
      <c r="W299" s="11" t="str">
        <f t="shared" si="4"/>
        <v>(1992,null,1,'2026-03-24 00:00:00','003308010030000-330801003','003308010030000-330801003','二尖瓣替换术',null,null,5300,4770,3815,null,5300,4770,4050,'次',23,1,'normal','main',0),</v>
      </c>
    </row>
    <row r="300" ht="15.75" spans="1:23">
      <c r="A300">
        <v>1993</v>
      </c>
      <c r="B300" t="s">
        <v>1898</v>
      </c>
      <c r="C300">
        <v>1</v>
      </c>
      <c r="D300" s="9" t="s">
        <v>1899</v>
      </c>
      <c r="E300" t="s">
        <v>1495</v>
      </c>
      <c r="F300" t="s">
        <v>1495</v>
      </c>
      <c r="G300" t="s">
        <v>1496</v>
      </c>
      <c r="H300" t="s">
        <v>1898</v>
      </c>
      <c r="I300" t="s">
        <v>1898</v>
      </c>
      <c r="J300">
        <v>6890</v>
      </c>
      <c r="K300">
        <v>6200</v>
      </c>
      <c r="L300">
        <v>4960</v>
      </c>
      <c r="M300" t="s">
        <v>1898</v>
      </c>
      <c r="N300">
        <v>6890</v>
      </c>
      <c r="O300">
        <v>6200</v>
      </c>
      <c r="P300">
        <v>5265</v>
      </c>
      <c r="Q300" t="s">
        <v>54</v>
      </c>
      <c r="R300">
        <v>23</v>
      </c>
      <c r="S300">
        <v>1</v>
      </c>
      <c r="T300" s="8" t="s">
        <v>1902</v>
      </c>
      <c r="U300" s="8" t="s">
        <v>1901</v>
      </c>
      <c r="V300" s="10">
        <v>0</v>
      </c>
      <c r="W300" s="11" t="str">
        <f t="shared" si="4"/>
        <v>(1993,null,1,'2026-03-24 00:00:00','003308010030000-33080100301','003308010030000-33080100301','小儿二尖瓣替换术',null,null,6890,6200,4960,null,6890,6200,5265,'次',23,1,'normal','main',0),</v>
      </c>
    </row>
    <row r="301" ht="15.75" spans="1:23">
      <c r="A301">
        <v>1994</v>
      </c>
      <c r="B301" t="s">
        <v>1898</v>
      </c>
      <c r="C301">
        <v>1</v>
      </c>
      <c r="D301" s="9" t="s">
        <v>1899</v>
      </c>
      <c r="E301" t="s">
        <v>1499</v>
      </c>
      <c r="F301" t="s">
        <v>1499</v>
      </c>
      <c r="G301" t="s">
        <v>1500</v>
      </c>
      <c r="H301" t="s">
        <v>1898</v>
      </c>
      <c r="I301" t="s">
        <v>1898</v>
      </c>
      <c r="J301">
        <v>5925</v>
      </c>
      <c r="K301">
        <v>5370</v>
      </c>
      <c r="L301">
        <v>4325</v>
      </c>
      <c r="M301" t="s">
        <v>1898</v>
      </c>
      <c r="N301" s="6">
        <v>6020</v>
      </c>
      <c r="O301" s="6">
        <v>5420</v>
      </c>
      <c r="P301" s="6">
        <v>4600</v>
      </c>
      <c r="Q301" t="s">
        <v>54</v>
      </c>
      <c r="R301">
        <v>23</v>
      </c>
      <c r="S301">
        <v>1</v>
      </c>
      <c r="T301" s="8" t="s">
        <v>1902</v>
      </c>
      <c r="U301" s="8" t="s">
        <v>1901</v>
      </c>
      <c r="V301" s="10">
        <v>0</v>
      </c>
      <c r="W301" s="11" t="str">
        <f t="shared" si="4"/>
        <v>(1994,null,1,'2026-03-24 00:00:00','003308010030000-33080100302','003308010030000-33080100302','经胸腔镜二尖瓣替换术',null,null,5925,5370,4325,null,6020,5420,4600,'次',23,1,'normal','main',0),</v>
      </c>
    </row>
    <row r="302" ht="15.75" spans="1:23">
      <c r="A302">
        <v>1995</v>
      </c>
      <c r="B302" t="s">
        <v>1898</v>
      </c>
      <c r="C302">
        <v>1</v>
      </c>
      <c r="D302" s="9" t="s">
        <v>1899</v>
      </c>
      <c r="E302" t="s">
        <v>1501</v>
      </c>
      <c r="F302" t="s">
        <v>1501</v>
      </c>
      <c r="G302" t="s">
        <v>1502</v>
      </c>
      <c r="H302" t="s">
        <v>1898</v>
      </c>
      <c r="I302" t="s">
        <v>1898</v>
      </c>
      <c r="J302">
        <v>7515</v>
      </c>
      <c r="K302">
        <v>6800</v>
      </c>
      <c r="L302">
        <v>5470</v>
      </c>
      <c r="M302" t="s">
        <v>1898</v>
      </c>
      <c r="N302" s="6">
        <v>6020</v>
      </c>
      <c r="O302" s="6">
        <v>5420</v>
      </c>
      <c r="P302" s="6">
        <v>4600</v>
      </c>
      <c r="Q302" t="s">
        <v>54</v>
      </c>
      <c r="R302">
        <v>23</v>
      </c>
      <c r="S302">
        <v>1</v>
      </c>
      <c r="T302" s="8" t="s">
        <v>1902</v>
      </c>
      <c r="U302" s="8" t="s">
        <v>1901</v>
      </c>
      <c r="V302" s="10">
        <v>0</v>
      </c>
      <c r="W302" s="11" t="str">
        <f t="shared" si="4"/>
        <v>(1995,null,1,'2026-03-24 00:00:00','003308010030000-33080100303','003308010030000-33080100303','小儿经胸腔镜二尖瓣替换术',null,null,7515,6800,5470,null,6020,5420,4600,'次',23,1,'normal','main',0),</v>
      </c>
    </row>
    <row r="303" ht="15.75" spans="1:23">
      <c r="A303">
        <v>1996</v>
      </c>
      <c r="B303" t="s">
        <v>1898</v>
      </c>
      <c r="C303">
        <v>1</v>
      </c>
      <c r="D303" s="9" t="s">
        <v>1899</v>
      </c>
      <c r="E303" t="s">
        <v>1112</v>
      </c>
      <c r="F303" t="s">
        <v>1112</v>
      </c>
      <c r="G303" t="s">
        <v>1113</v>
      </c>
      <c r="H303" t="s">
        <v>1898</v>
      </c>
      <c r="I303" t="s">
        <v>1898</v>
      </c>
      <c r="J303">
        <v>6600</v>
      </c>
      <c r="K303">
        <v>5940</v>
      </c>
      <c r="L303">
        <v>5050</v>
      </c>
      <c r="M303" t="s">
        <v>1898</v>
      </c>
      <c r="N303" s="6">
        <v>2005</v>
      </c>
      <c r="O303" s="6">
        <v>1805</v>
      </c>
      <c r="P303" s="6">
        <v>1535</v>
      </c>
      <c r="Q303" t="s">
        <v>54</v>
      </c>
      <c r="R303">
        <v>23</v>
      </c>
      <c r="S303">
        <v>1</v>
      </c>
      <c r="T303" s="8" t="s">
        <v>1902</v>
      </c>
      <c r="U303" s="8" t="s">
        <v>1901</v>
      </c>
      <c r="V303" s="10">
        <v>0</v>
      </c>
      <c r="W303" s="11" t="str">
        <f t="shared" si="4"/>
        <v>(1996,null,1,'2026-03-24 00:00:00','003308020240000-330802024','003308020240000-330802024','左室流出道狭窄疏通术',null,null,6600,5940,5050,null,2005,1805,1535,'次',23,1,'normal','main',0),</v>
      </c>
    </row>
    <row r="304" ht="15.75" spans="1:23">
      <c r="A304">
        <v>1997</v>
      </c>
      <c r="B304" t="s">
        <v>1898</v>
      </c>
      <c r="C304">
        <v>1</v>
      </c>
      <c r="D304" s="9" t="s">
        <v>1899</v>
      </c>
      <c r="E304" t="s">
        <v>1117</v>
      </c>
      <c r="F304" t="s">
        <v>1117</v>
      </c>
      <c r="G304" t="s">
        <v>1118</v>
      </c>
      <c r="H304" t="s">
        <v>1898</v>
      </c>
      <c r="I304" t="s">
        <v>1898</v>
      </c>
      <c r="J304">
        <v>8580</v>
      </c>
      <c r="K304">
        <v>7720</v>
      </c>
      <c r="L304">
        <v>6560</v>
      </c>
      <c r="M304" t="s">
        <v>1898</v>
      </c>
      <c r="N304" s="6">
        <v>2005</v>
      </c>
      <c r="O304" s="6">
        <v>1805</v>
      </c>
      <c r="P304" s="6">
        <v>1535</v>
      </c>
      <c r="Q304" t="s">
        <v>54</v>
      </c>
      <c r="R304">
        <v>23</v>
      </c>
      <c r="S304">
        <v>1</v>
      </c>
      <c r="T304" s="8" t="s">
        <v>1902</v>
      </c>
      <c r="U304" s="8" t="s">
        <v>1901</v>
      </c>
      <c r="V304" s="10">
        <v>0</v>
      </c>
      <c r="W304" s="11" t="str">
        <f t="shared" si="4"/>
        <v>(1997,null,1,'2026-03-24 00:00:00','003308020240000-33080202401','003308020240000-33080202401','小儿左室流出道狭窄疏通术',null,null,8580,7720,6560,null,2005,1805,1535,'次',23,1,'normal','main',0),</v>
      </c>
    </row>
    <row r="305" ht="15.75" spans="1:23">
      <c r="A305">
        <v>1998</v>
      </c>
      <c r="B305" t="s">
        <v>1898</v>
      </c>
      <c r="C305">
        <v>1</v>
      </c>
      <c r="D305" s="9" t="s">
        <v>1899</v>
      </c>
      <c r="E305" t="s">
        <v>1509</v>
      </c>
      <c r="F305" t="s">
        <v>1509</v>
      </c>
      <c r="G305" t="s">
        <v>1510</v>
      </c>
      <c r="H305" t="s">
        <v>1898</v>
      </c>
      <c r="I305" t="s">
        <v>1898</v>
      </c>
      <c r="J305">
        <v>5060</v>
      </c>
      <c r="K305">
        <v>4550</v>
      </c>
      <c r="L305">
        <v>3870</v>
      </c>
      <c r="M305" t="s">
        <v>1898</v>
      </c>
      <c r="N305" s="6">
        <v>5800</v>
      </c>
      <c r="O305" s="6">
        <v>5200</v>
      </c>
      <c r="P305" s="6">
        <v>4400</v>
      </c>
      <c r="Q305" t="s">
        <v>54</v>
      </c>
      <c r="R305">
        <v>23</v>
      </c>
      <c r="S305">
        <v>1</v>
      </c>
      <c r="T305" s="8" t="s">
        <v>1902</v>
      </c>
      <c r="U305" s="8" t="s">
        <v>1901</v>
      </c>
      <c r="V305" s="10">
        <v>0</v>
      </c>
      <c r="W305" s="11" t="str">
        <f t="shared" si="4"/>
        <v>(1998,null,1,'2026-03-24 00:00:00','003308010050000-330801005','003308010050000-330801005','三尖瓣置换术',null,null,5060,4550,3870,null,5800,5200,4400,'次',23,1,'normal','main',0),</v>
      </c>
    </row>
    <row r="306" ht="15.75" spans="1:23">
      <c r="A306">
        <v>1999</v>
      </c>
      <c r="B306" t="s">
        <v>1898</v>
      </c>
      <c r="C306">
        <v>1</v>
      </c>
      <c r="D306" s="9" t="s">
        <v>1899</v>
      </c>
      <c r="E306" t="s">
        <v>1512</v>
      </c>
      <c r="F306" t="s">
        <v>1512</v>
      </c>
      <c r="G306" t="s">
        <v>1513</v>
      </c>
      <c r="H306" t="s">
        <v>1898</v>
      </c>
      <c r="I306" t="s">
        <v>1898</v>
      </c>
      <c r="J306">
        <v>5685</v>
      </c>
      <c r="K306">
        <v>5150</v>
      </c>
      <c r="L306">
        <v>4380</v>
      </c>
      <c r="M306" t="s">
        <v>1898</v>
      </c>
      <c r="N306" s="6">
        <v>5800</v>
      </c>
      <c r="O306" s="6">
        <v>5200</v>
      </c>
      <c r="P306" s="6">
        <v>4400</v>
      </c>
      <c r="Q306" t="s">
        <v>54</v>
      </c>
      <c r="R306">
        <v>23</v>
      </c>
      <c r="S306">
        <v>1</v>
      </c>
      <c r="T306" s="8" t="s">
        <v>1902</v>
      </c>
      <c r="U306" s="8" t="s">
        <v>1901</v>
      </c>
      <c r="V306" s="10">
        <v>0</v>
      </c>
      <c r="W306" s="11" t="str">
        <f t="shared" si="4"/>
        <v>(1999,null,1,'2026-03-24 00:00:00','003308010050000-33080100502','003308010050000-33080100502','经胸腔镜三尖瓣置换术',null,null,5685,5150,4380,null,5800,5200,4400,'次',23,1,'normal','main',0),</v>
      </c>
    </row>
    <row r="307" ht="15.75" spans="1:23">
      <c r="A307">
        <v>2000</v>
      </c>
      <c r="B307" t="s">
        <v>1898</v>
      </c>
      <c r="C307">
        <v>1</v>
      </c>
      <c r="D307" s="9" t="s">
        <v>1899</v>
      </c>
      <c r="E307" t="s">
        <v>1516</v>
      </c>
      <c r="F307" t="s">
        <v>1516</v>
      </c>
      <c r="G307" t="s">
        <v>1517</v>
      </c>
      <c r="H307" t="s">
        <v>1898</v>
      </c>
      <c r="I307" t="s">
        <v>1898</v>
      </c>
      <c r="J307">
        <v>6580</v>
      </c>
      <c r="K307">
        <v>5915</v>
      </c>
      <c r="L307">
        <v>5030</v>
      </c>
      <c r="M307" t="s">
        <v>1898</v>
      </c>
      <c r="N307" s="6">
        <v>7540</v>
      </c>
      <c r="O307" s="6">
        <v>6760</v>
      </c>
      <c r="P307" s="6">
        <v>5720</v>
      </c>
      <c r="Q307" t="s">
        <v>54</v>
      </c>
      <c r="R307">
        <v>23</v>
      </c>
      <c r="S307">
        <v>1</v>
      </c>
      <c r="T307" s="8" t="s">
        <v>1902</v>
      </c>
      <c r="U307" s="8" t="s">
        <v>1901</v>
      </c>
      <c r="V307" s="10">
        <v>0</v>
      </c>
      <c r="W307" s="11" t="str">
        <f t="shared" si="4"/>
        <v>(2000,null,1,'2026-03-24 00:00:00','003308010050000-33080100501','003308010050000-33080100501','小儿三尖瓣置换术',null,null,6580,5915,5030,null,7540,6760,5720,'次',23,1,'normal','main',0),</v>
      </c>
    </row>
    <row r="308" ht="15.75" spans="1:23">
      <c r="A308">
        <v>2001</v>
      </c>
      <c r="B308" t="s">
        <v>1898</v>
      </c>
      <c r="C308">
        <v>1</v>
      </c>
      <c r="D308" s="9" t="s">
        <v>1899</v>
      </c>
      <c r="E308" t="s">
        <v>1518</v>
      </c>
      <c r="F308" t="s">
        <v>1518</v>
      </c>
      <c r="G308" t="s">
        <v>1519</v>
      </c>
      <c r="H308" t="s">
        <v>1898</v>
      </c>
      <c r="I308" t="s">
        <v>1898</v>
      </c>
      <c r="J308">
        <v>7205</v>
      </c>
      <c r="K308">
        <v>6515</v>
      </c>
      <c r="L308">
        <v>5540</v>
      </c>
      <c r="M308" t="s">
        <v>1898</v>
      </c>
      <c r="N308" s="6">
        <v>7540</v>
      </c>
      <c r="O308" s="6">
        <v>6760</v>
      </c>
      <c r="P308" s="6">
        <v>5720</v>
      </c>
      <c r="Q308" t="s">
        <v>54</v>
      </c>
      <c r="R308">
        <v>23</v>
      </c>
      <c r="S308">
        <v>1</v>
      </c>
      <c r="T308" s="8" t="s">
        <v>1902</v>
      </c>
      <c r="U308" s="8" t="s">
        <v>1901</v>
      </c>
      <c r="V308" s="10">
        <v>0</v>
      </c>
      <c r="W308" s="11" t="str">
        <f t="shared" si="4"/>
        <v>(2001,null,1,'2026-03-24 00:00:00','003308010050000-33080100503','003308010050000-33080100503','小儿经胸腔镜三尖瓣置换术',null,null,7205,6515,5540,null,7540,6760,5720,'次',23,1,'normal','main',0),</v>
      </c>
    </row>
    <row r="309" ht="15.75" spans="1:23">
      <c r="A309">
        <v>2002</v>
      </c>
      <c r="B309" t="s">
        <v>1898</v>
      </c>
      <c r="C309">
        <v>1</v>
      </c>
      <c r="D309" s="9" t="s">
        <v>1899</v>
      </c>
      <c r="E309" t="s">
        <v>1524</v>
      </c>
      <c r="F309" t="s">
        <v>1524</v>
      </c>
      <c r="G309" t="s">
        <v>1525</v>
      </c>
      <c r="H309" t="s">
        <v>1898</v>
      </c>
      <c r="I309" t="s">
        <v>1898</v>
      </c>
      <c r="J309">
        <v>4220</v>
      </c>
      <c r="K309">
        <v>3800</v>
      </c>
      <c r="L309">
        <v>3230</v>
      </c>
      <c r="M309" t="s">
        <v>1898</v>
      </c>
      <c r="N309">
        <v>4400</v>
      </c>
      <c r="O309">
        <v>3950</v>
      </c>
      <c r="P309">
        <v>3350</v>
      </c>
      <c r="Q309" t="s">
        <v>54</v>
      </c>
      <c r="R309">
        <v>23</v>
      </c>
      <c r="S309">
        <v>1</v>
      </c>
      <c r="T309" s="8" t="s">
        <v>1902</v>
      </c>
      <c r="U309" s="8" t="s">
        <v>1901</v>
      </c>
      <c r="V309" s="10">
        <v>0</v>
      </c>
      <c r="W309" s="11" t="str">
        <f t="shared" si="4"/>
        <v>(2002,null,1,'2026-03-24 00:00:00','003308010110000-330801011','003308010110000-330801011','肺动脉瓣置换术',null,null,4220,3800,3230,null,4400,3950,3350,'次',23,1,'normal','main',0),</v>
      </c>
    </row>
    <row r="310" ht="15.75" spans="1:23">
      <c r="A310">
        <v>2003</v>
      </c>
      <c r="B310" t="s">
        <v>1898</v>
      </c>
      <c r="C310">
        <v>1</v>
      </c>
      <c r="D310" s="9" t="s">
        <v>1899</v>
      </c>
      <c r="E310" t="s">
        <v>1529</v>
      </c>
      <c r="F310" t="s">
        <v>1529</v>
      </c>
      <c r="G310" t="s">
        <v>1530</v>
      </c>
      <c r="H310" t="s">
        <v>1898</v>
      </c>
      <c r="I310" t="s">
        <v>1898</v>
      </c>
      <c r="J310">
        <v>5485</v>
      </c>
      <c r="K310">
        <v>4940</v>
      </c>
      <c r="L310">
        <v>4200</v>
      </c>
      <c r="M310" t="s">
        <v>1898</v>
      </c>
      <c r="N310">
        <v>5720</v>
      </c>
      <c r="O310">
        <v>5135</v>
      </c>
      <c r="P310">
        <v>4355</v>
      </c>
      <c r="Q310" t="s">
        <v>54</v>
      </c>
      <c r="R310">
        <v>23</v>
      </c>
      <c r="S310">
        <v>1</v>
      </c>
      <c r="T310" s="8" t="s">
        <v>1902</v>
      </c>
      <c r="U310" s="8" t="s">
        <v>1901</v>
      </c>
      <c r="V310" s="10">
        <v>0</v>
      </c>
      <c r="W310" s="11" t="str">
        <f t="shared" si="4"/>
        <v>(2003,null,1,'2026-03-24 00:00:00','003308010110000-33080101101','003308010110000-33080101101','小儿肺动脉瓣置换术',null,null,5485,4940,4200,null,5720,5135,4355,'次',23,1,'normal','main',0),</v>
      </c>
    </row>
    <row r="311" ht="15.75" spans="1:23">
      <c r="A311">
        <v>2004</v>
      </c>
      <c r="B311" t="s">
        <v>1898</v>
      </c>
      <c r="C311">
        <v>1</v>
      </c>
      <c r="D311" s="9" t="s">
        <v>1899</v>
      </c>
      <c r="E311" t="s">
        <v>1536</v>
      </c>
      <c r="F311" t="s">
        <v>1536</v>
      </c>
      <c r="G311" t="s">
        <v>1537</v>
      </c>
      <c r="H311" t="s">
        <v>1898</v>
      </c>
      <c r="I311" t="s">
        <v>1898</v>
      </c>
      <c r="J311">
        <v>5160</v>
      </c>
      <c r="K311">
        <v>4640</v>
      </c>
      <c r="L311">
        <v>3940</v>
      </c>
      <c r="M311" t="s">
        <v>1898</v>
      </c>
      <c r="N311">
        <v>5400</v>
      </c>
      <c r="O311">
        <v>4850</v>
      </c>
      <c r="P311">
        <v>4100</v>
      </c>
      <c r="Q311" t="s">
        <v>54</v>
      </c>
      <c r="R311">
        <v>23</v>
      </c>
      <c r="S311">
        <v>1</v>
      </c>
      <c r="T311" s="8" t="s">
        <v>1902</v>
      </c>
      <c r="U311" s="8" t="s">
        <v>1901</v>
      </c>
      <c r="V311" s="10">
        <v>0</v>
      </c>
      <c r="W311" s="11" t="str">
        <f t="shared" si="4"/>
        <v>(2004,null,1,'2026-03-24 00:00:00','003308020010000-330802001','003308020010000-330802001','冠状动静脉瘘修补术',null,null,5160,4640,3940,null,5400,4850,4100,'次',23,1,'normal','main',0),</v>
      </c>
    </row>
    <row r="312" ht="15.75" spans="1:23">
      <c r="A312">
        <v>2005</v>
      </c>
      <c r="B312" t="s">
        <v>1898</v>
      </c>
      <c r="C312">
        <v>1</v>
      </c>
      <c r="D312" s="9" t="s">
        <v>1899</v>
      </c>
      <c r="E312" t="s">
        <v>1541</v>
      </c>
      <c r="F312" t="s">
        <v>1541</v>
      </c>
      <c r="G312" t="s">
        <v>1542</v>
      </c>
      <c r="H312" t="s">
        <v>1898</v>
      </c>
      <c r="I312" t="s">
        <v>1898</v>
      </c>
      <c r="J312">
        <v>6710</v>
      </c>
      <c r="K312">
        <v>6030</v>
      </c>
      <c r="L312">
        <v>5125</v>
      </c>
      <c r="M312" t="s">
        <v>1898</v>
      </c>
      <c r="N312">
        <v>7020</v>
      </c>
      <c r="O312">
        <v>6305</v>
      </c>
      <c r="P312">
        <v>5330</v>
      </c>
      <c r="Q312" t="s">
        <v>54</v>
      </c>
      <c r="R312">
        <v>23</v>
      </c>
      <c r="S312">
        <v>1</v>
      </c>
      <c r="T312" s="8" t="s">
        <v>1902</v>
      </c>
      <c r="U312" s="8" t="s">
        <v>1901</v>
      </c>
      <c r="V312" s="10">
        <v>0</v>
      </c>
      <c r="W312" s="11" t="str">
        <f t="shared" si="4"/>
        <v>(2005,null,1,'2026-03-24 00:00:00','003308020010000-33080200101','003308020010000-33080200101','小儿冠状动静脉瘘修补术',null,null,6710,6030,5125,null,7020,6305,5330,'次',23,1,'normal','main',0),</v>
      </c>
    </row>
    <row r="313" ht="15.75" spans="1:23">
      <c r="A313">
        <v>2006</v>
      </c>
      <c r="B313" t="s">
        <v>1898</v>
      </c>
      <c r="C313">
        <v>1</v>
      </c>
      <c r="D313" s="9" t="s">
        <v>1899</v>
      </c>
      <c r="E313" t="s">
        <v>1547</v>
      </c>
      <c r="F313" t="s">
        <v>1547</v>
      </c>
      <c r="G313" s="12" t="s">
        <v>1548</v>
      </c>
      <c r="H313" t="s">
        <v>1898</v>
      </c>
      <c r="I313" t="s">
        <v>1898</v>
      </c>
      <c r="J313">
        <v>5780</v>
      </c>
      <c r="K313">
        <v>5200</v>
      </c>
      <c r="L313">
        <v>4420</v>
      </c>
      <c r="M313" t="s">
        <v>1898</v>
      </c>
      <c r="N313">
        <v>6000</v>
      </c>
      <c r="O313">
        <v>5400</v>
      </c>
      <c r="P313">
        <v>4600</v>
      </c>
      <c r="Q313" t="s">
        <v>54</v>
      </c>
      <c r="R313">
        <v>23</v>
      </c>
      <c r="S313">
        <v>1</v>
      </c>
      <c r="T313" s="8" t="s">
        <v>1902</v>
      </c>
      <c r="U313" s="8" t="s">
        <v>1901</v>
      </c>
      <c r="V313" s="10">
        <v>0</v>
      </c>
      <c r="W313" s="11" t="str">
        <f t="shared" si="4"/>
        <v>(2006,null,1,'2026-03-24 00:00:00','003308020020000-330802002','003308020020000-330802002','冠状动脉起源异常矫治术',null,null,5780,5200,4420,null,6000,5400,4600,'次',23,1,'normal','main',0),</v>
      </c>
    </row>
    <row r="314" ht="15.75" spans="1:23">
      <c r="A314">
        <v>2007</v>
      </c>
      <c r="B314" t="s">
        <v>1898</v>
      </c>
      <c r="C314">
        <v>1</v>
      </c>
      <c r="D314" s="9" t="s">
        <v>1899</v>
      </c>
      <c r="E314" t="s">
        <v>1551</v>
      </c>
      <c r="F314" t="s">
        <v>1551</v>
      </c>
      <c r="G314" t="s">
        <v>1552</v>
      </c>
      <c r="H314" t="s">
        <v>1898</v>
      </c>
      <c r="I314" t="s">
        <v>1898</v>
      </c>
      <c r="J314">
        <v>7515</v>
      </c>
      <c r="K314">
        <v>6760</v>
      </c>
      <c r="L314">
        <v>5745</v>
      </c>
      <c r="M314" t="s">
        <v>1898</v>
      </c>
      <c r="N314">
        <v>7800</v>
      </c>
      <c r="O314">
        <v>7020</v>
      </c>
      <c r="P314">
        <v>5980</v>
      </c>
      <c r="Q314" t="s">
        <v>54</v>
      </c>
      <c r="R314">
        <v>23</v>
      </c>
      <c r="S314">
        <v>1</v>
      </c>
      <c r="T314" s="8" t="s">
        <v>1902</v>
      </c>
      <c r="U314" s="8" t="s">
        <v>1901</v>
      </c>
      <c r="V314" s="10">
        <v>0</v>
      </c>
      <c r="W314" s="11" t="str">
        <f t="shared" si="4"/>
        <v>(2007,null,1,'2026-03-24 00:00:00','003308020020000-33080200201','003308020020000-33080200201','小儿冠状动脉起源异常矫治术',null,null,7515,6760,5745,null,7800,7020,5980,'次',23,1,'normal','main',0),</v>
      </c>
    </row>
    <row r="315" ht="15.75" spans="1:23">
      <c r="A315">
        <v>2008</v>
      </c>
      <c r="B315" t="s">
        <v>1898</v>
      </c>
      <c r="C315">
        <v>1</v>
      </c>
      <c r="D315" s="9" t="s">
        <v>1899</v>
      </c>
      <c r="E315" t="s">
        <v>1557</v>
      </c>
      <c r="F315" t="s">
        <v>1557</v>
      </c>
      <c r="G315" t="s">
        <v>1558</v>
      </c>
      <c r="H315" t="s">
        <v>1898</v>
      </c>
      <c r="I315" t="s">
        <v>1898</v>
      </c>
      <c r="J315">
        <v>6840</v>
      </c>
      <c r="K315">
        <v>6155</v>
      </c>
      <c r="L315">
        <v>4920</v>
      </c>
      <c r="M315" t="s">
        <v>1898</v>
      </c>
      <c r="N315">
        <v>6840</v>
      </c>
      <c r="O315">
        <v>6155</v>
      </c>
      <c r="P315">
        <v>5230</v>
      </c>
      <c r="Q315" t="s">
        <v>54</v>
      </c>
      <c r="R315">
        <v>23</v>
      </c>
      <c r="S315">
        <v>1</v>
      </c>
      <c r="T315" s="8" t="s">
        <v>1902</v>
      </c>
      <c r="U315" s="8" t="s">
        <v>1901</v>
      </c>
      <c r="V315" s="10">
        <v>0</v>
      </c>
      <c r="W315" s="11" t="str">
        <f t="shared" si="4"/>
        <v>(2008,null,1,'2026-03-24 00:00:00','003308020230000-330802023','003308020230000-330802023','主动脉缩窄矫治术',null,null,6840,6155,4920,null,6840,6155,5230,'次',23,1,'normal','main',0),</v>
      </c>
    </row>
    <row r="316" ht="15.75" spans="1:23">
      <c r="A316">
        <v>2009</v>
      </c>
      <c r="B316" t="s">
        <v>1898</v>
      </c>
      <c r="C316">
        <v>1</v>
      </c>
      <c r="D316" s="9" t="s">
        <v>1899</v>
      </c>
      <c r="E316" t="s">
        <v>1562</v>
      </c>
      <c r="F316" t="s">
        <v>1562</v>
      </c>
      <c r="G316" t="s">
        <v>1563</v>
      </c>
      <c r="H316" t="s">
        <v>1898</v>
      </c>
      <c r="I316" t="s">
        <v>1898</v>
      </c>
      <c r="J316">
        <v>8890</v>
      </c>
      <c r="K316">
        <v>8000</v>
      </c>
      <c r="L316">
        <v>6395</v>
      </c>
      <c r="M316" t="s">
        <v>1898</v>
      </c>
      <c r="N316">
        <v>8890</v>
      </c>
      <c r="O316">
        <v>8000</v>
      </c>
      <c r="P316">
        <v>6800</v>
      </c>
      <c r="Q316" t="s">
        <v>54</v>
      </c>
      <c r="R316">
        <v>23</v>
      </c>
      <c r="S316">
        <v>1</v>
      </c>
      <c r="T316" s="8" t="s">
        <v>1902</v>
      </c>
      <c r="U316" s="8" t="s">
        <v>1901</v>
      </c>
      <c r="V316" s="10">
        <v>0</v>
      </c>
      <c r="W316" s="11" t="str">
        <f t="shared" si="4"/>
        <v>(2009,null,1,'2026-03-24 00:00:00','003308020230000-33080202301','003308020230000-33080202301','小儿主动脉缩窄矫治术',null,null,8890,8000,6395,null,8890,8000,6800,'次',23,1,'normal','main',0),</v>
      </c>
    </row>
    <row r="317" ht="15.75" spans="1:23">
      <c r="A317">
        <v>2010</v>
      </c>
      <c r="B317" t="s">
        <v>1898</v>
      </c>
      <c r="C317">
        <v>1</v>
      </c>
      <c r="D317" s="9" t="s">
        <v>1899</v>
      </c>
      <c r="E317" t="s">
        <v>1567</v>
      </c>
      <c r="F317" t="s">
        <v>1567</v>
      </c>
      <c r="G317" t="s">
        <v>1568</v>
      </c>
      <c r="H317" t="s">
        <v>1898</v>
      </c>
      <c r="I317" t="s">
        <v>1898</v>
      </c>
      <c r="J317">
        <v>9690</v>
      </c>
      <c r="K317">
        <v>8720</v>
      </c>
      <c r="L317">
        <v>7410</v>
      </c>
      <c r="M317" t="s">
        <v>1898</v>
      </c>
      <c r="N317" s="6">
        <v>3860</v>
      </c>
      <c r="O317" s="6">
        <v>3475</v>
      </c>
      <c r="P317" s="6">
        <v>2950</v>
      </c>
      <c r="Q317" t="s">
        <v>54</v>
      </c>
      <c r="R317">
        <v>23</v>
      </c>
      <c r="S317">
        <v>1</v>
      </c>
      <c r="T317" s="8" t="s">
        <v>1902</v>
      </c>
      <c r="U317" s="8" t="s">
        <v>1901</v>
      </c>
      <c r="V317" s="10">
        <v>0</v>
      </c>
      <c r="W317" s="11" t="str">
        <f t="shared" si="4"/>
        <v>(2010,null,1,'2026-03-24 00:00:00','003308020310000-330802031','003308020310000-330802031','主动脉弓中断矫治术',null,null,9690,8720,7410,null,3860,3475,2950,'次',23,1,'normal','main',0),</v>
      </c>
    </row>
    <row r="318" ht="15.75" spans="1:23">
      <c r="A318">
        <v>2011</v>
      </c>
      <c r="B318" t="s">
        <v>1898</v>
      </c>
      <c r="C318">
        <v>1</v>
      </c>
      <c r="D318" s="9" t="s">
        <v>1899</v>
      </c>
      <c r="E318" t="s">
        <v>1570</v>
      </c>
      <c r="F318" t="s">
        <v>1570</v>
      </c>
      <c r="G318" t="s">
        <v>1571</v>
      </c>
      <c r="H318" t="s">
        <v>1898</v>
      </c>
      <c r="I318" t="s">
        <v>1898</v>
      </c>
      <c r="J318">
        <v>12595</v>
      </c>
      <c r="K318">
        <v>11335</v>
      </c>
      <c r="L318">
        <v>9635</v>
      </c>
      <c r="M318" t="s">
        <v>1898</v>
      </c>
      <c r="N318" s="6">
        <v>3860</v>
      </c>
      <c r="O318" s="6">
        <v>3475</v>
      </c>
      <c r="P318" s="6">
        <v>2950</v>
      </c>
      <c r="Q318" t="s">
        <v>54</v>
      </c>
      <c r="R318">
        <v>23</v>
      </c>
      <c r="S318">
        <v>1</v>
      </c>
      <c r="T318" s="8" t="s">
        <v>1902</v>
      </c>
      <c r="U318" s="8" t="s">
        <v>1901</v>
      </c>
      <c r="V318" s="10">
        <v>0</v>
      </c>
      <c r="W318" s="11" t="str">
        <f t="shared" si="4"/>
        <v>(2011,null,1,'2026-03-24 00:00:00','003308020310000-33080203101','003308020310000-33080203101','小儿主动脉弓中断矫治术',null,null,12595,11335,9635,null,3860,3475,2950,'次',23,1,'normal','main',0),</v>
      </c>
    </row>
    <row r="319" ht="15.75" spans="1:23">
      <c r="A319">
        <v>2012</v>
      </c>
      <c r="B319" t="s">
        <v>1898</v>
      </c>
      <c r="C319">
        <v>1</v>
      </c>
      <c r="D319" s="9" t="s">
        <v>1899</v>
      </c>
      <c r="E319" t="s">
        <v>1576</v>
      </c>
      <c r="F319" t="s">
        <v>1576</v>
      </c>
      <c r="G319" t="s">
        <v>1577</v>
      </c>
      <c r="H319" t="s">
        <v>1898</v>
      </c>
      <c r="I319" t="s">
        <v>1898</v>
      </c>
      <c r="J319">
        <v>8660</v>
      </c>
      <c r="K319">
        <v>7790</v>
      </c>
      <c r="L319">
        <v>6620</v>
      </c>
      <c r="M319" t="s">
        <v>1898</v>
      </c>
      <c r="N319">
        <v>9100</v>
      </c>
      <c r="O319">
        <v>8200</v>
      </c>
      <c r="P319">
        <v>7000</v>
      </c>
      <c r="Q319" t="s">
        <v>54</v>
      </c>
      <c r="R319">
        <v>23</v>
      </c>
      <c r="S319">
        <v>1</v>
      </c>
      <c r="T319" s="8" t="s">
        <v>1902</v>
      </c>
      <c r="U319" s="8" t="s">
        <v>1901</v>
      </c>
      <c r="V319" s="10">
        <v>0</v>
      </c>
      <c r="W319" s="11" t="str">
        <f t="shared" si="4"/>
        <v>(2012,null,1,'2026-03-24 00:00:00','003308020350000-330802035','003308020350000-330802035','主动脉弓降部瘤切除人工血管置换术',null,null,8660,7790,6620,null,9100,8200,7000,'次',23,1,'normal','main',0),</v>
      </c>
    </row>
    <row r="320" ht="15.75" spans="1:23">
      <c r="A320">
        <v>2013</v>
      </c>
      <c r="B320" t="s">
        <v>1898</v>
      </c>
      <c r="C320">
        <v>1</v>
      </c>
      <c r="D320" s="9" t="s">
        <v>1899</v>
      </c>
      <c r="E320" t="s">
        <v>1581</v>
      </c>
      <c r="F320" t="s">
        <v>1581</v>
      </c>
      <c r="G320" t="s">
        <v>1582</v>
      </c>
      <c r="H320" t="s">
        <v>1898</v>
      </c>
      <c r="I320" t="s">
        <v>1898</v>
      </c>
      <c r="J320">
        <v>11260</v>
      </c>
      <c r="K320">
        <v>10125</v>
      </c>
      <c r="L320">
        <v>8605</v>
      </c>
      <c r="M320" t="s">
        <v>1898</v>
      </c>
      <c r="N320">
        <v>11830</v>
      </c>
      <c r="O320">
        <v>10660</v>
      </c>
      <c r="P320">
        <v>9100</v>
      </c>
      <c r="Q320" t="s">
        <v>54</v>
      </c>
      <c r="R320">
        <v>23</v>
      </c>
      <c r="S320">
        <v>1</v>
      </c>
      <c r="T320" s="8" t="s">
        <v>1902</v>
      </c>
      <c r="U320" s="8" t="s">
        <v>1901</v>
      </c>
      <c r="V320" s="10">
        <v>0</v>
      </c>
      <c r="W320" s="11" t="str">
        <f t="shared" si="4"/>
        <v>(2013,null,1,'2026-03-24 00:00:00','003308020350000-33080203501','003308020350000-33080203501','小儿主动脉弓降部瘤切除人工血管置换术',null,null,11260,10125,8605,null,11830,10660,9100,'次',23,1,'normal','main',0),</v>
      </c>
    </row>
    <row r="321" ht="15.75" spans="1:23">
      <c r="A321">
        <v>2014</v>
      </c>
      <c r="B321" t="s">
        <v>1898</v>
      </c>
      <c r="C321">
        <v>1</v>
      </c>
      <c r="D321" s="9" t="s">
        <v>1899</v>
      </c>
      <c r="E321" t="s">
        <v>1587</v>
      </c>
      <c r="F321" t="s">
        <v>1587</v>
      </c>
      <c r="G321" t="s">
        <v>1588</v>
      </c>
      <c r="H321" t="s">
        <v>1898</v>
      </c>
      <c r="I321" t="s">
        <v>1898</v>
      </c>
      <c r="J321">
        <v>9600</v>
      </c>
      <c r="K321">
        <v>8640</v>
      </c>
      <c r="L321">
        <v>6900</v>
      </c>
      <c r="M321" t="s">
        <v>1898</v>
      </c>
      <c r="N321" s="6">
        <v>9400</v>
      </c>
      <c r="O321" s="6">
        <v>8450</v>
      </c>
      <c r="P321" s="6">
        <v>7180</v>
      </c>
      <c r="Q321" t="s">
        <v>54</v>
      </c>
      <c r="R321">
        <v>23</v>
      </c>
      <c r="S321">
        <v>1</v>
      </c>
      <c r="T321" s="8" t="s">
        <v>1902</v>
      </c>
      <c r="U321" s="8" t="s">
        <v>1901</v>
      </c>
      <c r="V321" s="10">
        <v>0</v>
      </c>
      <c r="W321" s="11" t="str">
        <f t="shared" si="4"/>
        <v>(2014,null,1,'2026-03-24 00:00:00','003308020330000-330802033','003308020330000-330802033','主动脉弓置换术',null,null,9600,8640,6900,null,9400,8450,7180,'次',23,1,'normal','main',0),</v>
      </c>
    </row>
    <row r="322" ht="15.75" spans="1:23">
      <c r="A322">
        <v>2015</v>
      </c>
      <c r="B322" t="s">
        <v>1898</v>
      </c>
      <c r="C322">
        <v>1</v>
      </c>
      <c r="D322" s="9" t="s">
        <v>1899</v>
      </c>
      <c r="E322" t="s">
        <v>1590</v>
      </c>
      <c r="F322" t="s">
        <v>1590</v>
      </c>
      <c r="G322" t="s">
        <v>1591</v>
      </c>
      <c r="H322" t="s">
        <v>1898</v>
      </c>
      <c r="I322" t="s">
        <v>1898</v>
      </c>
      <c r="J322">
        <v>8660</v>
      </c>
      <c r="K322">
        <v>7790</v>
      </c>
      <c r="L322">
        <v>6620</v>
      </c>
      <c r="M322" t="s">
        <v>1898</v>
      </c>
      <c r="N322" s="6">
        <v>9400</v>
      </c>
      <c r="O322" s="6">
        <v>8450</v>
      </c>
      <c r="P322" s="6">
        <v>7180</v>
      </c>
      <c r="Q322" t="s">
        <v>54</v>
      </c>
      <c r="R322">
        <v>23</v>
      </c>
      <c r="S322">
        <v>1</v>
      </c>
      <c r="T322" s="8" t="s">
        <v>1902</v>
      </c>
      <c r="U322" s="8" t="s">
        <v>1901</v>
      </c>
      <c r="V322" s="10">
        <v>0</v>
      </c>
      <c r="W322" s="11" t="str">
        <f t="shared" si="4"/>
        <v>(2015,null,1,'2026-03-24 00:00:00','003308020340000-330802034','003308020340000-330802034','“象鼻子”技术',null,null,8660,7790,6620,null,9400,8450,7180,'次',23,1,'normal','main',0),</v>
      </c>
    </row>
    <row r="323" ht="15.75" spans="1:23">
      <c r="A323">
        <v>2016</v>
      </c>
      <c r="B323" t="s">
        <v>1898</v>
      </c>
      <c r="C323">
        <v>1</v>
      </c>
      <c r="D323" s="9" t="s">
        <v>1899</v>
      </c>
      <c r="E323" t="s">
        <v>1595</v>
      </c>
      <c r="F323" t="s">
        <v>1595</v>
      </c>
      <c r="G323" t="s">
        <v>1596</v>
      </c>
      <c r="H323" t="s">
        <v>1898</v>
      </c>
      <c r="I323" t="s">
        <v>1898</v>
      </c>
      <c r="J323">
        <v>12480</v>
      </c>
      <c r="K323">
        <v>11230</v>
      </c>
      <c r="L323">
        <v>8970</v>
      </c>
      <c r="M323" t="s">
        <v>1898</v>
      </c>
      <c r="N323" s="13">
        <v>12220</v>
      </c>
      <c r="O323" s="13">
        <v>10985</v>
      </c>
      <c r="P323" s="13">
        <v>9335</v>
      </c>
      <c r="Q323" t="s">
        <v>54</v>
      </c>
      <c r="R323">
        <v>23</v>
      </c>
      <c r="S323">
        <v>1</v>
      </c>
      <c r="T323" s="8" t="s">
        <v>1902</v>
      </c>
      <c r="U323" s="8" t="s">
        <v>1901</v>
      </c>
      <c r="V323" s="10">
        <v>0</v>
      </c>
      <c r="W323" s="11" t="str">
        <f t="shared" ref="W323:W372" si="5">"("&amp;A323&amp;","&amp;B323&amp;","&amp;C323&amp;",'"&amp;D323&amp;"','"&amp;E323&amp;"','"&amp;F323&amp;"','"&amp;G323&amp;"',"&amp;H323&amp;","&amp;I323&amp;","&amp;J323&amp;","&amp;K323&amp;","&amp;L323&amp;","&amp;M323&amp;","&amp;N323&amp;","&amp;O323&amp;","&amp;P323&amp;",'"&amp;Q323&amp;"',"&amp;R323&amp;","&amp;S323&amp;",'"&amp;T323&amp;"','"&amp;U323&amp;"',"&amp;V323&amp;"),"</f>
        <v>(2016,null,1,'2026-03-24 00:00:00','003308020330000-33080203301','003308020330000-33080203301','小儿主动脉弓置换术',null,null,12480,11230,8970,null,12220,10985,9335,'次',23,1,'normal','main',0),</v>
      </c>
    </row>
    <row r="324" ht="15.75" spans="1:23">
      <c r="A324">
        <v>2017</v>
      </c>
      <c r="B324" t="s">
        <v>1898</v>
      </c>
      <c r="C324">
        <v>1</v>
      </c>
      <c r="D324" s="9" t="s">
        <v>1899</v>
      </c>
      <c r="E324" t="s">
        <v>1597</v>
      </c>
      <c r="F324" t="s">
        <v>1597</v>
      </c>
      <c r="G324" t="s">
        <v>1598</v>
      </c>
      <c r="H324" t="s">
        <v>1898</v>
      </c>
      <c r="I324" t="s">
        <v>1898</v>
      </c>
      <c r="J324">
        <v>11260</v>
      </c>
      <c r="K324">
        <v>10125</v>
      </c>
      <c r="L324">
        <v>8605</v>
      </c>
      <c r="M324" t="s">
        <v>1898</v>
      </c>
      <c r="N324" s="13">
        <v>12220</v>
      </c>
      <c r="O324" s="13">
        <v>10985</v>
      </c>
      <c r="P324" s="13">
        <v>9335</v>
      </c>
      <c r="Q324" t="s">
        <v>54</v>
      </c>
      <c r="R324">
        <v>23</v>
      </c>
      <c r="S324">
        <v>1</v>
      </c>
      <c r="T324" s="8" t="s">
        <v>1902</v>
      </c>
      <c r="U324" s="8" t="s">
        <v>1901</v>
      </c>
      <c r="V324" s="10">
        <v>0</v>
      </c>
      <c r="W324" s="11" t="str">
        <f t="shared" si="5"/>
        <v>(2017,null,1,'2026-03-24 00:00:00','003308020340000-33080203401','003308020340000-33080203401','小儿“象鼻子”技术',null,null,11260,10125,8605,null,12220,10985,9335,'次',23,1,'normal','main',0),</v>
      </c>
    </row>
    <row r="325" ht="15.75" spans="1:23">
      <c r="A325">
        <v>2018</v>
      </c>
      <c r="B325" t="s">
        <v>1898</v>
      </c>
      <c r="C325">
        <v>1</v>
      </c>
      <c r="D325" s="9" t="s">
        <v>1899</v>
      </c>
      <c r="E325" t="s">
        <v>1605</v>
      </c>
      <c r="F325" t="s">
        <v>1605</v>
      </c>
      <c r="G325" t="s">
        <v>1606</v>
      </c>
      <c r="H325" t="s">
        <v>1898</v>
      </c>
      <c r="I325" t="s">
        <v>1898</v>
      </c>
      <c r="J325">
        <v>4220</v>
      </c>
      <c r="K325">
        <v>3800</v>
      </c>
      <c r="L325">
        <v>3230</v>
      </c>
      <c r="M325" t="s">
        <v>1898</v>
      </c>
      <c r="N325">
        <v>4350</v>
      </c>
      <c r="O325">
        <v>3900</v>
      </c>
      <c r="P325">
        <v>3310</v>
      </c>
      <c r="Q325" t="s">
        <v>54</v>
      </c>
      <c r="R325">
        <v>23</v>
      </c>
      <c r="S325">
        <v>1</v>
      </c>
      <c r="T325" s="8" t="s">
        <v>1902</v>
      </c>
      <c r="U325" s="8" t="s">
        <v>1901</v>
      </c>
      <c r="V325" s="10">
        <v>0</v>
      </c>
      <c r="W325" s="11" t="str">
        <f t="shared" si="5"/>
        <v>(2018,null,1,'2026-03-24 00:00:00','003308020320000-330802032','003308020320000-330802032','先天性心脏病主动脉弓部血管环切断术',null,null,4220,3800,3230,null,4350,3900,3310,'次',23,1,'normal','main',0),</v>
      </c>
    </row>
    <row r="326" ht="15.75" spans="1:23">
      <c r="A326">
        <v>2019</v>
      </c>
      <c r="B326" t="s">
        <v>1898</v>
      </c>
      <c r="C326">
        <v>1</v>
      </c>
      <c r="D326" s="9" t="s">
        <v>1899</v>
      </c>
      <c r="E326" t="s">
        <v>1610</v>
      </c>
      <c r="F326" t="s">
        <v>1610</v>
      </c>
      <c r="G326" t="s">
        <v>1611</v>
      </c>
      <c r="H326" t="s">
        <v>1898</v>
      </c>
      <c r="I326" t="s">
        <v>1898</v>
      </c>
      <c r="J326">
        <v>5485</v>
      </c>
      <c r="K326">
        <v>4940</v>
      </c>
      <c r="L326">
        <v>4200</v>
      </c>
      <c r="M326" t="s">
        <v>1898</v>
      </c>
      <c r="N326">
        <v>5655</v>
      </c>
      <c r="O326">
        <v>5070</v>
      </c>
      <c r="P326">
        <v>4305</v>
      </c>
      <c r="Q326" t="s">
        <v>54</v>
      </c>
      <c r="R326">
        <v>23</v>
      </c>
      <c r="S326">
        <v>1</v>
      </c>
      <c r="T326" s="8" t="s">
        <v>1902</v>
      </c>
      <c r="U326" s="8" t="s">
        <v>1901</v>
      </c>
      <c r="V326" s="10">
        <v>0</v>
      </c>
      <c r="W326" s="11" t="str">
        <f t="shared" si="5"/>
        <v>(2019,null,1,'2026-03-24 00:00:00','003308020320000-33080203201','003308020320000-33080203201','小儿先天性心脏病主动脉弓部血管环切断术',null,null,5485,4940,4200,null,5655,5070,4305,'次',23,1,'normal','main',0),</v>
      </c>
    </row>
    <row r="327" ht="15.75" spans="1:23">
      <c r="A327">
        <v>2020</v>
      </c>
      <c r="B327" t="s">
        <v>1898</v>
      </c>
      <c r="C327">
        <v>1</v>
      </c>
      <c r="D327" s="9" t="s">
        <v>1899</v>
      </c>
      <c r="E327" t="s">
        <v>1616</v>
      </c>
      <c r="F327" t="s">
        <v>1616</v>
      </c>
      <c r="G327" t="s">
        <v>1617</v>
      </c>
      <c r="H327" t="s">
        <v>1898</v>
      </c>
      <c r="I327" t="s">
        <v>1898</v>
      </c>
      <c r="J327">
        <v>9900</v>
      </c>
      <c r="K327">
        <v>8910</v>
      </c>
      <c r="L327">
        <v>7570</v>
      </c>
      <c r="M327" t="s">
        <v>1898</v>
      </c>
      <c r="N327" s="6">
        <v>10500</v>
      </c>
      <c r="O327" s="6">
        <v>9500</v>
      </c>
      <c r="P327" s="6">
        <v>8100</v>
      </c>
      <c r="Q327" t="s">
        <v>54</v>
      </c>
      <c r="R327">
        <v>23</v>
      </c>
      <c r="S327">
        <v>1</v>
      </c>
      <c r="T327" s="8" t="s">
        <v>1902</v>
      </c>
      <c r="U327" s="8" t="s">
        <v>1901</v>
      </c>
      <c r="V327" s="10">
        <v>0</v>
      </c>
      <c r="W327" s="11" t="str">
        <f t="shared" si="5"/>
        <v>(2020,null,1,'2026-03-24 00:00:00','003308020250000-330802025','003308020250000-330802025','主动脉根部替换术',null,null,9900,8910,7570,null,10500,9500,8100,'次',23,1,'normal','main',0),</v>
      </c>
    </row>
    <row r="328" ht="15.75" spans="1:23">
      <c r="A328">
        <v>2021</v>
      </c>
      <c r="B328" t="s">
        <v>1898</v>
      </c>
      <c r="C328">
        <v>1</v>
      </c>
      <c r="D328" s="9" t="s">
        <v>1899</v>
      </c>
      <c r="E328" t="s">
        <v>1619</v>
      </c>
      <c r="F328" t="s">
        <v>1619</v>
      </c>
      <c r="G328" t="s">
        <v>1620</v>
      </c>
      <c r="H328" t="s">
        <v>1898</v>
      </c>
      <c r="I328" t="s">
        <v>1898</v>
      </c>
      <c r="J328">
        <v>6410</v>
      </c>
      <c r="K328">
        <v>5770</v>
      </c>
      <c r="L328">
        <v>4900</v>
      </c>
      <c r="M328" t="s">
        <v>1898</v>
      </c>
      <c r="N328" s="6">
        <v>10500</v>
      </c>
      <c r="O328" s="6">
        <v>9500</v>
      </c>
      <c r="P328" s="6">
        <v>8100</v>
      </c>
      <c r="Q328" t="s">
        <v>54</v>
      </c>
      <c r="R328">
        <v>23</v>
      </c>
      <c r="S328">
        <v>1</v>
      </c>
      <c r="T328" s="8" t="s">
        <v>1902</v>
      </c>
      <c r="U328" s="8" t="s">
        <v>1901</v>
      </c>
      <c r="V328" s="10">
        <v>0</v>
      </c>
      <c r="W328" s="11" t="str">
        <f t="shared" si="5"/>
        <v>(2021,null,1,'2026-03-24 00:00:00','003308020260000-330802026','003308020260000-330802026','保留瓣膜的主动脉根部替换术',null,null,6410,5770,4900,null,10500,9500,8100,'次',23,1,'normal','main',0),</v>
      </c>
    </row>
    <row r="329" ht="15.75" spans="1:23">
      <c r="A329">
        <v>2022</v>
      </c>
      <c r="B329" t="s">
        <v>1898</v>
      </c>
      <c r="C329">
        <v>1</v>
      </c>
      <c r="D329" s="9" t="s">
        <v>1899</v>
      </c>
      <c r="E329" t="s">
        <v>1624</v>
      </c>
      <c r="F329" t="s">
        <v>1624</v>
      </c>
      <c r="G329" t="s">
        <v>1625</v>
      </c>
      <c r="H329" t="s">
        <v>1898</v>
      </c>
      <c r="I329" t="s">
        <v>1898</v>
      </c>
      <c r="J329">
        <v>12870</v>
      </c>
      <c r="K329">
        <v>11585</v>
      </c>
      <c r="L329">
        <v>9845</v>
      </c>
      <c r="M329" t="s">
        <v>1898</v>
      </c>
      <c r="N329" s="13">
        <v>13650</v>
      </c>
      <c r="O329" s="13">
        <v>12350</v>
      </c>
      <c r="P329" s="13">
        <v>10530</v>
      </c>
      <c r="Q329" t="s">
        <v>54</v>
      </c>
      <c r="R329">
        <v>23</v>
      </c>
      <c r="S329">
        <v>1</v>
      </c>
      <c r="T329" s="8" t="s">
        <v>1902</v>
      </c>
      <c r="U329" s="8" t="s">
        <v>1901</v>
      </c>
      <c r="V329" s="10">
        <v>0</v>
      </c>
      <c r="W329" s="11" t="str">
        <f t="shared" si="5"/>
        <v>(2022,null,1,'2026-03-24 00:00:00','003308020250000-33080202501','003308020250000-33080202501','小儿主动脉根部替换术',null,null,12870,11585,9845,null,13650,12350,10530,'次',23,1,'normal','main',0),</v>
      </c>
    </row>
    <row r="330" ht="15.75" spans="1:23">
      <c r="A330">
        <v>2023</v>
      </c>
      <c r="B330" t="s">
        <v>1898</v>
      </c>
      <c r="C330">
        <v>1</v>
      </c>
      <c r="D330" s="9" t="s">
        <v>1899</v>
      </c>
      <c r="E330" t="s">
        <v>1626</v>
      </c>
      <c r="F330" t="s">
        <v>1626</v>
      </c>
      <c r="G330" t="s">
        <v>1627</v>
      </c>
      <c r="H330" t="s">
        <v>1898</v>
      </c>
      <c r="I330" t="s">
        <v>1898</v>
      </c>
      <c r="J330">
        <v>8335</v>
      </c>
      <c r="K330">
        <v>7500</v>
      </c>
      <c r="L330">
        <v>6375</v>
      </c>
      <c r="M330" t="s">
        <v>1898</v>
      </c>
      <c r="N330" s="13">
        <v>13650</v>
      </c>
      <c r="O330" s="13">
        <v>12350</v>
      </c>
      <c r="P330" s="13">
        <v>10530</v>
      </c>
      <c r="Q330" t="s">
        <v>54</v>
      </c>
      <c r="R330">
        <v>23</v>
      </c>
      <c r="S330">
        <v>1</v>
      </c>
      <c r="T330" s="8" t="s">
        <v>1902</v>
      </c>
      <c r="U330" s="8" t="s">
        <v>1901</v>
      </c>
      <c r="V330" s="10">
        <v>0</v>
      </c>
      <c r="W330" s="11" t="str">
        <f t="shared" si="5"/>
        <v>(2023,null,1,'2026-03-24 00:00:00','003308020260000-33080202601','003308020260000-33080202601','小儿保留瓣膜的主动脉根部替换术',null,null,8335,7500,6375,null,13650,12350,10530,'次',23,1,'normal','main',0),</v>
      </c>
    </row>
    <row r="331" ht="15.75" spans="1:23">
      <c r="A331">
        <v>2024</v>
      </c>
      <c r="B331" t="s">
        <v>1898</v>
      </c>
      <c r="C331">
        <v>1</v>
      </c>
      <c r="D331" s="9" t="s">
        <v>1899</v>
      </c>
      <c r="E331" t="s">
        <v>1634</v>
      </c>
      <c r="F331" t="s">
        <v>1634</v>
      </c>
      <c r="G331" t="s">
        <v>1635</v>
      </c>
      <c r="H331" t="s">
        <v>1898</v>
      </c>
      <c r="I331" t="s">
        <v>1898</v>
      </c>
      <c r="J331">
        <v>8665</v>
      </c>
      <c r="K331">
        <v>7800</v>
      </c>
      <c r="L331">
        <v>6240</v>
      </c>
      <c r="M331" t="s">
        <v>1898</v>
      </c>
      <c r="N331">
        <v>8665</v>
      </c>
      <c r="O331">
        <v>7800</v>
      </c>
      <c r="P331">
        <v>6630</v>
      </c>
      <c r="Q331" t="s">
        <v>54</v>
      </c>
      <c r="R331">
        <v>23</v>
      </c>
      <c r="S331">
        <v>1</v>
      </c>
      <c r="T331" s="8" t="s">
        <v>1902</v>
      </c>
      <c r="U331" s="8" t="s">
        <v>1901</v>
      </c>
      <c r="V331" s="10">
        <v>0</v>
      </c>
      <c r="W331" s="11" t="str">
        <f t="shared" si="5"/>
        <v>(2024,null,1,'2026-03-24 00:00:00','003308020290000-330802029','003308020290000-330802029','升主动脉替换术',null,null,8665,7800,6240,null,8665,7800,6630,'次',23,1,'normal','main',0),</v>
      </c>
    </row>
    <row r="332" ht="15.75" spans="1:23">
      <c r="A332">
        <v>2025</v>
      </c>
      <c r="B332" t="s">
        <v>1898</v>
      </c>
      <c r="C332">
        <v>1</v>
      </c>
      <c r="D332" s="9" t="s">
        <v>1899</v>
      </c>
      <c r="E332" t="s">
        <v>1638</v>
      </c>
      <c r="F332" t="s">
        <v>1638</v>
      </c>
      <c r="G332" t="s">
        <v>1639</v>
      </c>
      <c r="H332" t="s">
        <v>1898</v>
      </c>
      <c r="I332" t="s">
        <v>1898</v>
      </c>
      <c r="J332">
        <v>11265</v>
      </c>
      <c r="K332">
        <v>10140</v>
      </c>
      <c r="L332">
        <v>8110</v>
      </c>
      <c r="M332" t="s">
        <v>1898</v>
      </c>
      <c r="N332">
        <v>11265</v>
      </c>
      <c r="O332">
        <v>10140</v>
      </c>
      <c r="P332">
        <v>8620</v>
      </c>
      <c r="Q332" t="s">
        <v>54</v>
      </c>
      <c r="R332">
        <v>23</v>
      </c>
      <c r="S332">
        <v>1</v>
      </c>
      <c r="T332" s="8" t="s">
        <v>1902</v>
      </c>
      <c r="U332" s="8" t="s">
        <v>1901</v>
      </c>
      <c r="V332" s="10">
        <v>0</v>
      </c>
      <c r="W332" s="11" t="str">
        <f t="shared" si="5"/>
        <v>(2025,null,1,'2026-03-24 00:00:00','003308020290000-33080202901','003308020290000-33080202901','小儿升主动脉替换术',null,null,11265,10140,8110,null,11265,10140,8620,'次',23,1,'normal','main',0),</v>
      </c>
    </row>
    <row r="333" ht="15.75" spans="1:23">
      <c r="A333">
        <v>2026</v>
      </c>
      <c r="B333" t="s">
        <v>1898</v>
      </c>
      <c r="C333">
        <v>1</v>
      </c>
      <c r="D333" s="9" t="s">
        <v>1899</v>
      </c>
      <c r="E333" t="s">
        <v>1647</v>
      </c>
      <c r="F333" t="s">
        <v>1647</v>
      </c>
      <c r="G333" t="s">
        <v>1648</v>
      </c>
      <c r="H333" t="s">
        <v>1898</v>
      </c>
      <c r="I333" t="s">
        <v>1898</v>
      </c>
      <c r="J333">
        <v>8870</v>
      </c>
      <c r="K333">
        <v>7980</v>
      </c>
      <c r="L333">
        <v>6780</v>
      </c>
      <c r="M333" t="s">
        <v>1898</v>
      </c>
      <c r="N333">
        <v>9300</v>
      </c>
      <c r="O333">
        <v>8400</v>
      </c>
      <c r="P333">
        <v>7150</v>
      </c>
      <c r="Q333" t="s">
        <v>54</v>
      </c>
      <c r="R333">
        <v>23</v>
      </c>
      <c r="S333">
        <v>1</v>
      </c>
      <c r="T333" s="8" t="s">
        <v>1902</v>
      </c>
      <c r="U333" s="8" t="s">
        <v>1901</v>
      </c>
      <c r="V333" s="10">
        <v>0</v>
      </c>
      <c r="W333" s="11" t="str">
        <f t="shared" si="5"/>
        <v>(2026,null,1,'2026-03-24 00:00:00','003308020430000-330802043','003308020430000-330802043','复合性人工血管置换术',null,null,8870,7980,6780,null,9300,8400,7150,'次',23,1,'normal','main',0),</v>
      </c>
    </row>
    <row r="334" ht="15.75" spans="1:23">
      <c r="A334">
        <v>2027</v>
      </c>
      <c r="B334" t="s">
        <v>1898</v>
      </c>
      <c r="C334">
        <v>1</v>
      </c>
      <c r="D334" s="9" t="s">
        <v>1899</v>
      </c>
      <c r="E334" t="s">
        <v>1652</v>
      </c>
      <c r="F334" t="s">
        <v>1652</v>
      </c>
      <c r="G334" t="s">
        <v>1653</v>
      </c>
      <c r="H334" t="s">
        <v>1898</v>
      </c>
      <c r="I334" t="s">
        <v>1898</v>
      </c>
      <c r="J334">
        <v>11530</v>
      </c>
      <c r="K334">
        <v>10375</v>
      </c>
      <c r="L334">
        <v>8820</v>
      </c>
      <c r="M334" t="s">
        <v>1898</v>
      </c>
      <c r="N334">
        <v>12090</v>
      </c>
      <c r="O334">
        <v>10920</v>
      </c>
      <c r="P334">
        <v>9295</v>
      </c>
      <c r="Q334" t="s">
        <v>54</v>
      </c>
      <c r="R334">
        <v>23</v>
      </c>
      <c r="S334">
        <v>1</v>
      </c>
      <c r="T334" s="8" t="s">
        <v>1902</v>
      </c>
      <c r="U334" s="8" t="s">
        <v>1901</v>
      </c>
      <c r="V334" s="10">
        <v>0</v>
      </c>
      <c r="W334" s="11" t="str">
        <f t="shared" si="5"/>
        <v>(2027,null,1,'2026-03-24 00:00:00','003308020430000-33080204301','003308020430000-33080204301','小儿复合性人工血管置换术',null,null,11530,10375,8820,null,12090,10920,9295,'次',23,1,'normal','main',0),</v>
      </c>
    </row>
    <row r="335" ht="15.75" spans="1:23">
      <c r="A335">
        <v>2028</v>
      </c>
      <c r="B335" t="s">
        <v>1898</v>
      </c>
      <c r="C335">
        <v>1</v>
      </c>
      <c r="D335" s="9" t="s">
        <v>1899</v>
      </c>
      <c r="E335" t="s">
        <v>1659</v>
      </c>
      <c r="F335" t="s">
        <v>1659</v>
      </c>
      <c r="G335" t="s">
        <v>1660</v>
      </c>
      <c r="H335" t="s">
        <v>1898</v>
      </c>
      <c r="I335" t="s">
        <v>1898</v>
      </c>
      <c r="J335">
        <v>5570</v>
      </c>
      <c r="K335">
        <v>5010</v>
      </c>
      <c r="L335">
        <v>4260</v>
      </c>
      <c r="M335" t="s">
        <v>1898</v>
      </c>
      <c r="N335">
        <v>5700</v>
      </c>
      <c r="O335">
        <v>5150</v>
      </c>
      <c r="P335">
        <v>4400</v>
      </c>
      <c r="Q335" t="s">
        <v>54</v>
      </c>
      <c r="R335">
        <v>23</v>
      </c>
      <c r="S335">
        <v>1</v>
      </c>
      <c r="T335" s="8" t="s">
        <v>1902</v>
      </c>
      <c r="U335" s="8" t="s">
        <v>1901</v>
      </c>
      <c r="V335" s="10">
        <v>0</v>
      </c>
      <c r="W335" s="11" t="str">
        <f t="shared" si="5"/>
        <v>(2028,null,1,'2026-03-24 00:00:00','003308020280000-330802028','003308020280000-330802028','主动脉窦瘤破裂修补术',null,null,5570,5010,4260,null,5700,5150,4400,'次',23,1,'normal','main',0),</v>
      </c>
    </row>
    <row r="336" ht="15.75" spans="1:23">
      <c r="A336">
        <v>2029</v>
      </c>
      <c r="B336" t="s">
        <v>1898</v>
      </c>
      <c r="C336">
        <v>1</v>
      </c>
      <c r="D336" s="9" t="s">
        <v>1899</v>
      </c>
      <c r="E336" t="s">
        <v>1664</v>
      </c>
      <c r="F336" t="s">
        <v>1664</v>
      </c>
      <c r="G336" t="s">
        <v>1665</v>
      </c>
      <c r="H336" t="s">
        <v>1898</v>
      </c>
      <c r="I336" t="s">
        <v>1898</v>
      </c>
      <c r="J336">
        <v>7240</v>
      </c>
      <c r="K336">
        <v>6515</v>
      </c>
      <c r="L336">
        <v>5540</v>
      </c>
      <c r="M336" t="s">
        <v>1898</v>
      </c>
      <c r="N336">
        <v>7410</v>
      </c>
      <c r="O336">
        <v>6695</v>
      </c>
      <c r="P336">
        <v>5720</v>
      </c>
      <c r="Q336" t="s">
        <v>54</v>
      </c>
      <c r="R336">
        <v>23</v>
      </c>
      <c r="S336">
        <v>1</v>
      </c>
      <c r="T336" s="8" t="s">
        <v>1902</v>
      </c>
      <c r="U336" s="8" t="s">
        <v>1901</v>
      </c>
      <c r="V336" s="10">
        <v>0</v>
      </c>
      <c r="W336" s="11" t="str">
        <f t="shared" si="5"/>
        <v>(2029,null,1,'2026-03-24 00:00:00','003308020280000-33080202801','003308020280000-33080202801','小儿主动脉窦瘤破裂修补术',null,null,7240,6515,5540,null,7410,6695,5720,'次',23,1,'normal','main',0),</v>
      </c>
    </row>
    <row r="337" ht="15.75" spans="1:23">
      <c r="A337">
        <v>2030</v>
      </c>
      <c r="B337" t="s">
        <v>1898</v>
      </c>
      <c r="C337">
        <v>1</v>
      </c>
      <c r="D337" s="9" t="s">
        <v>1899</v>
      </c>
      <c r="E337" t="s">
        <v>1669</v>
      </c>
      <c r="F337" t="s">
        <v>1669</v>
      </c>
      <c r="G337" t="s">
        <v>1670</v>
      </c>
      <c r="H337" t="s">
        <v>1898</v>
      </c>
      <c r="I337" t="s">
        <v>1898</v>
      </c>
      <c r="J337">
        <v>4560</v>
      </c>
      <c r="K337">
        <v>4100</v>
      </c>
      <c r="L337">
        <v>3490</v>
      </c>
      <c r="M337" t="s">
        <v>1898</v>
      </c>
      <c r="N337">
        <v>4700</v>
      </c>
      <c r="O337">
        <v>4250</v>
      </c>
      <c r="P337">
        <v>3650</v>
      </c>
      <c r="Q337" t="s">
        <v>54</v>
      </c>
      <c r="R337">
        <v>23</v>
      </c>
      <c r="S337">
        <v>1</v>
      </c>
      <c r="T337" s="8" t="s">
        <v>1902</v>
      </c>
      <c r="U337" s="8" t="s">
        <v>1901</v>
      </c>
      <c r="V337" s="10">
        <v>0</v>
      </c>
      <c r="W337" s="11" t="str">
        <f t="shared" si="5"/>
        <v>(2030,null,1,'2026-03-24 00:00:00','003308020150000-330802015','003308020150000-330802015','主肺动脉窗修补术',null,null,4560,4100,3490,null,4700,4250,3650,'次',23,1,'normal','main',0),</v>
      </c>
    </row>
    <row r="338" ht="15.75" spans="1:23">
      <c r="A338">
        <v>2031</v>
      </c>
      <c r="B338" t="s">
        <v>1898</v>
      </c>
      <c r="C338">
        <v>1</v>
      </c>
      <c r="D338" s="9" t="s">
        <v>1899</v>
      </c>
      <c r="E338" t="s">
        <v>1673</v>
      </c>
      <c r="F338" t="s">
        <v>1673</v>
      </c>
      <c r="G338" t="s">
        <v>1674</v>
      </c>
      <c r="H338" t="s">
        <v>1898</v>
      </c>
      <c r="I338" t="s">
        <v>1898</v>
      </c>
      <c r="J338">
        <v>5930</v>
      </c>
      <c r="K338">
        <v>5330</v>
      </c>
      <c r="L338">
        <v>4530</v>
      </c>
      <c r="M338" t="s">
        <v>1898</v>
      </c>
      <c r="N338">
        <v>6110</v>
      </c>
      <c r="O338">
        <v>5525</v>
      </c>
      <c r="P338">
        <v>4745</v>
      </c>
      <c r="Q338" t="s">
        <v>54</v>
      </c>
      <c r="R338">
        <v>23</v>
      </c>
      <c r="S338">
        <v>1</v>
      </c>
      <c r="T338" s="8" t="s">
        <v>1902</v>
      </c>
      <c r="U338" s="8" t="s">
        <v>1901</v>
      </c>
      <c r="V338" s="10">
        <v>0</v>
      </c>
      <c r="W338" s="11" t="str">
        <f t="shared" si="5"/>
        <v>(2031,null,1,'2026-03-24 00:00:00','003308020150000-33080201501','003308020150000-33080201501','小儿主肺动脉窗修补术',null,null,5930,5330,4530,null,6110,5525,4745,'次',23,1,'normal','main',0),</v>
      </c>
    </row>
    <row r="339" ht="15.75" spans="1:23">
      <c r="A339">
        <v>2032</v>
      </c>
      <c r="B339" t="s">
        <v>1898</v>
      </c>
      <c r="C339">
        <v>1</v>
      </c>
      <c r="D339" s="9" t="s">
        <v>1899</v>
      </c>
      <c r="E339" t="s">
        <v>1680</v>
      </c>
      <c r="F339" t="s">
        <v>1680</v>
      </c>
      <c r="G339" t="s">
        <v>1681</v>
      </c>
      <c r="H339" t="s">
        <v>1898</v>
      </c>
      <c r="I339" t="s">
        <v>1898</v>
      </c>
      <c r="J339">
        <v>9020</v>
      </c>
      <c r="K339">
        <v>8120</v>
      </c>
      <c r="L339">
        <v>6900</v>
      </c>
      <c r="M339" t="s">
        <v>1898</v>
      </c>
      <c r="N339">
        <v>10500</v>
      </c>
      <c r="O339">
        <v>9450</v>
      </c>
      <c r="P339">
        <v>8050</v>
      </c>
      <c r="Q339" t="s">
        <v>54</v>
      </c>
      <c r="R339">
        <v>23</v>
      </c>
      <c r="S339">
        <v>1</v>
      </c>
      <c r="T339" s="8" t="s">
        <v>1902</v>
      </c>
      <c r="U339" s="8" t="s">
        <v>1901</v>
      </c>
      <c r="V339" s="10">
        <v>0</v>
      </c>
      <c r="W339" s="11" t="str">
        <f t="shared" si="5"/>
        <v>(2032,null,1,'2026-03-24 00:00:00','003308010100000-330801010','003308010100000-330801010','自体肺动脉瓣替换主动脉瓣术-ROSS手术',null,null,9020,8120,6900,null,10500,9450,8050,'次',23,1,'normal','main',0),</v>
      </c>
    </row>
    <row r="340" ht="15.75" spans="1:23">
      <c r="A340">
        <v>2033</v>
      </c>
      <c r="B340" t="s">
        <v>1898</v>
      </c>
      <c r="C340">
        <v>1</v>
      </c>
      <c r="D340" s="9" t="s">
        <v>1899</v>
      </c>
      <c r="E340" t="s">
        <v>1686</v>
      </c>
      <c r="F340" t="s">
        <v>1686</v>
      </c>
      <c r="G340" t="s">
        <v>1687</v>
      </c>
      <c r="H340" t="s">
        <v>1898</v>
      </c>
      <c r="I340" t="s">
        <v>1898</v>
      </c>
      <c r="J340">
        <v>11725</v>
      </c>
      <c r="K340">
        <v>10555</v>
      </c>
      <c r="L340">
        <v>8970</v>
      </c>
      <c r="M340" t="s">
        <v>1898</v>
      </c>
      <c r="N340">
        <v>13650</v>
      </c>
      <c r="O340">
        <v>12285</v>
      </c>
      <c r="P340">
        <v>10465</v>
      </c>
      <c r="Q340" t="s">
        <v>54</v>
      </c>
      <c r="R340">
        <v>23</v>
      </c>
      <c r="S340">
        <v>1</v>
      </c>
      <c r="T340" s="8" t="s">
        <v>1902</v>
      </c>
      <c r="U340" s="8" t="s">
        <v>1901</v>
      </c>
      <c r="V340" s="10">
        <v>0</v>
      </c>
      <c r="W340" s="11" t="str">
        <f t="shared" si="5"/>
        <v>(2033,null,1,'2026-03-24 00:00:00','003308010100000-33080101001','003308010100000-33080101001','小儿自体肺动脉瓣替换主动脉瓣术-ROSS手术',null,null,11725,10555,8970,null,13650,12285,10465,'次',23,1,'normal','main',0),</v>
      </c>
    </row>
    <row r="341" ht="15.75" spans="1:23">
      <c r="A341">
        <v>2034</v>
      </c>
      <c r="B341" t="s">
        <v>1898</v>
      </c>
      <c r="C341">
        <v>1</v>
      </c>
      <c r="D341" s="9" t="s">
        <v>1899</v>
      </c>
      <c r="E341" t="s">
        <v>1693</v>
      </c>
      <c r="F341" t="s">
        <v>1693</v>
      </c>
      <c r="G341" t="s">
        <v>1694</v>
      </c>
      <c r="H341" t="s">
        <v>1898</v>
      </c>
      <c r="I341" t="s">
        <v>1898</v>
      </c>
      <c r="J341">
        <v>11330</v>
      </c>
      <c r="K341">
        <v>10200</v>
      </c>
      <c r="L341">
        <v>8670</v>
      </c>
      <c r="M341" t="s">
        <v>1898</v>
      </c>
      <c r="N341">
        <v>9300</v>
      </c>
      <c r="O341">
        <v>8400</v>
      </c>
      <c r="P341">
        <v>7150</v>
      </c>
      <c r="Q341" t="s">
        <v>54</v>
      </c>
      <c r="R341">
        <v>23</v>
      </c>
      <c r="S341">
        <v>1</v>
      </c>
      <c r="T341" s="8" t="s">
        <v>1902</v>
      </c>
      <c r="U341" s="8" t="s">
        <v>1901</v>
      </c>
      <c r="V341" s="10">
        <v>0</v>
      </c>
      <c r="W341" s="11" t="str">
        <f t="shared" si="5"/>
        <v>(2034,null,1,'2026-03-24 00:00:00','003308020380000-330802038','003308020380000-330802038','双调转手术（DoubleSwitch手术）',null,null,11330,10200,8670,null,9300,8400,7150,'次',23,1,'normal','main',0),</v>
      </c>
    </row>
    <row r="342" ht="15.75" spans="1:23">
      <c r="A342">
        <v>2035</v>
      </c>
      <c r="B342" t="s">
        <v>1898</v>
      </c>
      <c r="C342">
        <v>1</v>
      </c>
      <c r="D342" s="9" t="s">
        <v>1899</v>
      </c>
      <c r="E342" t="s">
        <v>1698</v>
      </c>
      <c r="F342" t="s">
        <v>1698</v>
      </c>
      <c r="G342" t="s">
        <v>1699</v>
      </c>
      <c r="H342" t="s">
        <v>1898</v>
      </c>
      <c r="I342" t="s">
        <v>1898</v>
      </c>
      <c r="J342">
        <v>14730</v>
      </c>
      <c r="K342">
        <v>13260</v>
      </c>
      <c r="L342">
        <v>11270</v>
      </c>
      <c r="M342" t="s">
        <v>1898</v>
      </c>
      <c r="N342">
        <v>12090</v>
      </c>
      <c r="O342">
        <v>10920</v>
      </c>
      <c r="P342">
        <v>9295</v>
      </c>
      <c r="Q342" t="s">
        <v>54</v>
      </c>
      <c r="R342">
        <v>23</v>
      </c>
      <c r="S342">
        <v>1</v>
      </c>
      <c r="T342" s="8" t="s">
        <v>1902</v>
      </c>
      <c r="U342" s="8" t="s">
        <v>1901</v>
      </c>
      <c r="V342" s="10">
        <v>0</v>
      </c>
      <c r="W342" s="11" t="str">
        <f t="shared" si="5"/>
        <v>(2035,null,1,'2026-03-24 00:00:00','003308020380000-33080203801','003308020380000-33080203801','小儿双调转手术（DoubleSwitch手术）',null,null,14730,13260,11270,null,12090,10920,9295,'次',23,1,'normal','main',0),</v>
      </c>
    </row>
    <row r="343" ht="15.75" spans="1:23">
      <c r="A343">
        <v>2036</v>
      </c>
      <c r="B343" t="s">
        <v>1898</v>
      </c>
      <c r="C343">
        <v>1</v>
      </c>
      <c r="D343" s="9" t="s">
        <v>1899</v>
      </c>
      <c r="E343" t="s">
        <v>1704</v>
      </c>
      <c r="F343" t="s">
        <v>1704</v>
      </c>
      <c r="G343" t="s">
        <v>1705</v>
      </c>
      <c r="H343" t="s">
        <v>1898</v>
      </c>
      <c r="I343" t="s">
        <v>1898</v>
      </c>
      <c r="J343">
        <v>8250</v>
      </c>
      <c r="K343">
        <v>7430</v>
      </c>
      <c r="L343">
        <v>6320</v>
      </c>
      <c r="M343" t="s">
        <v>1898</v>
      </c>
      <c r="N343">
        <v>8600</v>
      </c>
      <c r="O343">
        <v>7740</v>
      </c>
      <c r="P343">
        <v>6580</v>
      </c>
      <c r="Q343" t="s">
        <v>54</v>
      </c>
      <c r="R343">
        <v>23</v>
      </c>
      <c r="S343">
        <v>1</v>
      </c>
      <c r="T343" s="8" t="s">
        <v>1902</v>
      </c>
      <c r="U343" s="8" t="s">
        <v>1901</v>
      </c>
      <c r="V343" s="10">
        <v>0</v>
      </c>
      <c r="W343" s="11" t="str">
        <f t="shared" si="5"/>
        <v>(2036,null,1,'2026-03-24 00:00:00','003308020420000-330802042','003308020420000-330802042','永存动脉干修复术',null,null,8250,7430,6320,null,8600,7740,6580,'次',23,1,'normal','main',0),</v>
      </c>
    </row>
    <row r="344" ht="15.75" spans="1:23">
      <c r="A344">
        <v>2037</v>
      </c>
      <c r="B344" t="s">
        <v>1898</v>
      </c>
      <c r="C344">
        <v>1</v>
      </c>
      <c r="D344" s="9" t="s">
        <v>1899</v>
      </c>
      <c r="E344" t="s">
        <v>1708</v>
      </c>
      <c r="F344" t="s">
        <v>1708</v>
      </c>
      <c r="G344" t="s">
        <v>1709</v>
      </c>
      <c r="H344" t="s">
        <v>1898</v>
      </c>
      <c r="I344" t="s">
        <v>1898</v>
      </c>
      <c r="J344">
        <v>10725</v>
      </c>
      <c r="K344">
        <v>9660</v>
      </c>
      <c r="L344">
        <v>8210</v>
      </c>
      <c r="M344" t="s">
        <v>1898</v>
      </c>
      <c r="N344">
        <v>11180</v>
      </c>
      <c r="O344">
        <v>10060</v>
      </c>
      <c r="P344">
        <v>8555</v>
      </c>
      <c r="Q344" t="s">
        <v>54</v>
      </c>
      <c r="R344">
        <v>23</v>
      </c>
      <c r="S344">
        <v>1</v>
      </c>
      <c r="T344" s="8" t="s">
        <v>1902</v>
      </c>
      <c r="U344" s="8" t="s">
        <v>1901</v>
      </c>
      <c r="V344" s="10">
        <v>0</v>
      </c>
      <c r="W344" s="11" t="str">
        <f t="shared" si="5"/>
        <v>(2037,null,1,'2026-03-24 00:00:00','003308020420000-33080204201','003308020420000-33080204201','小儿永存动脉干修复术',null,null,10725,9660,8210,null,11180,10060,8555,'次',23,1,'normal','main',0),</v>
      </c>
    </row>
    <row r="345" ht="15.75" spans="1:23">
      <c r="A345">
        <v>2038</v>
      </c>
      <c r="B345" t="s">
        <v>1898</v>
      </c>
      <c r="C345">
        <v>1</v>
      </c>
      <c r="D345" s="9" t="s">
        <v>1899</v>
      </c>
      <c r="E345" t="s">
        <v>1425</v>
      </c>
      <c r="F345" t="s">
        <v>1425</v>
      </c>
      <c r="G345" t="s">
        <v>1426</v>
      </c>
      <c r="H345" t="s">
        <v>1898</v>
      </c>
      <c r="I345" t="s">
        <v>1898</v>
      </c>
      <c r="J345">
        <v>2875</v>
      </c>
      <c r="K345">
        <v>2760</v>
      </c>
      <c r="L345">
        <v>2346</v>
      </c>
      <c r="M345" t="s">
        <v>1898</v>
      </c>
      <c r="N345">
        <v>2875</v>
      </c>
      <c r="O345">
        <v>2760</v>
      </c>
      <c r="P345">
        <v>2346</v>
      </c>
      <c r="Q345" t="s">
        <v>54</v>
      </c>
      <c r="R345">
        <v>23</v>
      </c>
      <c r="S345">
        <v>1</v>
      </c>
      <c r="T345" s="8" t="s">
        <v>1902</v>
      </c>
      <c r="U345" s="8" t="s">
        <v>1901</v>
      </c>
      <c r="V345" s="10">
        <v>0</v>
      </c>
      <c r="W345" s="11" t="str">
        <f t="shared" si="5"/>
        <v>(2038,null,1,'2026-03-24 00:00:00','003308010120000-330801012','003308010120000-330801012','肺动脉瓣狭窄矫治术',null,null,2875,2760,2346,null,2875,2760,2346,'次',23,1,'normal','main',0),</v>
      </c>
    </row>
    <row r="346" ht="15.75" spans="1:23">
      <c r="A346">
        <v>2039</v>
      </c>
      <c r="B346" t="s">
        <v>1898</v>
      </c>
      <c r="C346">
        <v>1</v>
      </c>
      <c r="D346" s="9" t="s">
        <v>1899</v>
      </c>
      <c r="E346" t="s">
        <v>1430</v>
      </c>
      <c r="F346" t="s">
        <v>1430</v>
      </c>
      <c r="G346" t="s">
        <v>1431</v>
      </c>
      <c r="H346" t="s">
        <v>1898</v>
      </c>
      <c r="I346" t="s">
        <v>1898</v>
      </c>
      <c r="J346">
        <v>3740</v>
      </c>
      <c r="K346">
        <v>3590</v>
      </c>
      <c r="L346">
        <v>3050</v>
      </c>
      <c r="M346" t="s">
        <v>1898</v>
      </c>
      <c r="N346">
        <v>3835</v>
      </c>
      <c r="O346">
        <v>3590</v>
      </c>
      <c r="P346">
        <v>3051</v>
      </c>
      <c r="Q346" t="s">
        <v>54</v>
      </c>
      <c r="R346">
        <v>23</v>
      </c>
      <c r="S346">
        <v>1</v>
      </c>
      <c r="T346" s="8" t="s">
        <v>1902</v>
      </c>
      <c r="U346" s="8" t="s">
        <v>1901</v>
      </c>
      <c r="V346" s="10">
        <v>0</v>
      </c>
      <c r="W346" s="11" t="str">
        <f t="shared" si="5"/>
        <v>(2039,null,1,'2026-03-24 00:00:00','003308010120000-33080101201','003308010120000-33080101201','小儿肺动脉瓣狭窄矫治术',null,null,3740,3590,3050,null,3835,3590,3051,'次',23,1,'normal','main',0),</v>
      </c>
    </row>
    <row r="347" ht="15.75" spans="1:23">
      <c r="A347">
        <v>2040</v>
      </c>
      <c r="B347" t="s">
        <v>1898</v>
      </c>
      <c r="C347">
        <v>1</v>
      </c>
      <c r="D347" s="9" t="s">
        <v>1899</v>
      </c>
      <c r="E347" t="s">
        <v>1719</v>
      </c>
      <c r="F347" t="s">
        <v>1719</v>
      </c>
      <c r="G347" t="s">
        <v>1720</v>
      </c>
      <c r="H347" t="s">
        <v>1898</v>
      </c>
      <c r="I347" t="s">
        <v>1898</v>
      </c>
      <c r="J347">
        <v>2250</v>
      </c>
      <c r="K347">
        <v>2160</v>
      </c>
      <c r="L347">
        <v>1836</v>
      </c>
      <c r="M347" t="s">
        <v>1898</v>
      </c>
      <c r="N347">
        <v>2250</v>
      </c>
      <c r="O347">
        <v>2160</v>
      </c>
      <c r="P347">
        <v>1836</v>
      </c>
      <c r="Q347" t="s">
        <v>54</v>
      </c>
      <c r="R347">
        <v>23</v>
      </c>
      <c r="S347">
        <v>1</v>
      </c>
      <c r="T347" s="8" t="s">
        <v>1902</v>
      </c>
      <c r="U347" s="8" t="s">
        <v>1901</v>
      </c>
      <c r="V347" s="10">
        <v>0</v>
      </c>
      <c r="W347" s="11" t="str">
        <f t="shared" si="5"/>
        <v>(2040,null,1,'2026-03-24 00:00:00','003308020120000-330802012','003308020120000-330802012','肺动脉环缩术',null,null,2250,2160,1836,null,2250,2160,1836,'次',23,1,'normal','main',0),</v>
      </c>
    </row>
    <row r="348" ht="15.75" spans="1:23">
      <c r="A348">
        <v>2041</v>
      </c>
      <c r="B348" t="s">
        <v>1898</v>
      </c>
      <c r="C348">
        <v>1</v>
      </c>
      <c r="D348" s="9" t="s">
        <v>1899</v>
      </c>
      <c r="E348" t="s">
        <v>1723</v>
      </c>
      <c r="F348" t="s">
        <v>1723</v>
      </c>
      <c r="G348" t="s">
        <v>1724</v>
      </c>
      <c r="H348" t="s">
        <v>1898</v>
      </c>
      <c r="I348" t="s">
        <v>1898</v>
      </c>
      <c r="J348">
        <v>2925</v>
      </c>
      <c r="K348">
        <v>2810</v>
      </c>
      <c r="L348">
        <v>2390</v>
      </c>
      <c r="M348" t="s">
        <v>1898</v>
      </c>
      <c r="N348">
        <v>2925</v>
      </c>
      <c r="O348">
        <v>2810</v>
      </c>
      <c r="P348">
        <v>2386</v>
      </c>
      <c r="Q348" t="s">
        <v>54</v>
      </c>
      <c r="R348">
        <v>23</v>
      </c>
      <c r="S348">
        <v>1</v>
      </c>
      <c r="T348" s="8" t="s">
        <v>1902</v>
      </c>
      <c r="U348" s="8" t="s">
        <v>1901</v>
      </c>
      <c r="V348" s="10">
        <v>0</v>
      </c>
      <c r="W348" s="11" t="str">
        <f t="shared" si="5"/>
        <v>(2041,null,1,'2026-03-24 00:00:00','003308020120000-33080201201','003308020120000-33080201201','小儿肺动脉环缩术',null,null,2925,2810,2390,null,2925,2810,2386,'次',23,1,'normal','main',0),</v>
      </c>
    </row>
    <row r="349" ht="15.75" spans="1:23">
      <c r="A349">
        <v>2042</v>
      </c>
      <c r="B349" t="s">
        <v>1898</v>
      </c>
      <c r="C349">
        <v>1</v>
      </c>
      <c r="D349" s="9" t="s">
        <v>1899</v>
      </c>
      <c r="E349" t="s">
        <v>1729</v>
      </c>
      <c r="F349" t="s">
        <v>1729</v>
      </c>
      <c r="G349" t="s">
        <v>1730</v>
      </c>
      <c r="H349" t="s">
        <v>1898</v>
      </c>
      <c r="I349" t="s">
        <v>1898</v>
      </c>
      <c r="J349">
        <v>4390</v>
      </c>
      <c r="K349">
        <v>3950</v>
      </c>
      <c r="L349">
        <v>3360</v>
      </c>
      <c r="M349" t="s">
        <v>1898</v>
      </c>
      <c r="N349">
        <v>4500</v>
      </c>
      <c r="O349">
        <v>4050</v>
      </c>
      <c r="P349">
        <v>3450</v>
      </c>
      <c r="Q349" t="s">
        <v>54</v>
      </c>
      <c r="R349">
        <v>23</v>
      </c>
      <c r="S349">
        <v>1</v>
      </c>
      <c r="T349" s="8" t="s">
        <v>1902</v>
      </c>
      <c r="U349" s="8" t="s">
        <v>1901</v>
      </c>
      <c r="V349" s="10">
        <v>0</v>
      </c>
      <c r="W349" s="11" t="str">
        <f t="shared" si="5"/>
        <v>(2042,null,1,'2026-03-24 00:00:00','003308020160000-330802016','003308020160000-330802016','先天性心脏病体肺动脉分流术',null,null,4390,3950,3360,null,4500,4050,3450,'次',23,1,'normal','main',0),</v>
      </c>
    </row>
    <row r="350" ht="15.75" spans="1:23">
      <c r="A350">
        <v>2043</v>
      </c>
      <c r="B350" t="s">
        <v>1898</v>
      </c>
      <c r="C350">
        <v>1</v>
      </c>
      <c r="D350" s="9" t="s">
        <v>1899</v>
      </c>
      <c r="E350" t="s">
        <v>1734</v>
      </c>
      <c r="F350" t="s">
        <v>1734</v>
      </c>
      <c r="G350" t="s">
        <v>1735</v>
      </c>
      <c r="H350" t="s">
        <v>1898</v>
      </c>
      <c r="I350" t="s">
        <v>1898</v>
      </c>
      <c r="J350">
        <v>5705</v>
      </c>
      <c r="K350">
        <v>5135</v>
      </c>
      <c r="L350">
        <v>4365</v>
      </c>
      <c r="M350" t="s">
        <v>1898</v>
      </c>
      <c r="N350">
        <v>5850</v>
      </c>
      <c r="O350">
        <v>5265</v>
      </c>
      <c r="P350">
        <v>4485</v>
      </c>
      <c r="Q350" t="s">
        <v>54</v>
      </c>
      <c r="R350">
        <v>23</v>
      </c>
      <c r="S350">
        <v>1</v>
      </c>
      <c r="T350" s="8" t="s">
        <v>1902</v>
      </c>
      <c r="U350" s="8" t="s">
        <v>1901</v>
      </c>
      <c r="V350" s="10">
        <v>0</v>
      </c>
      <c r="W350" s="11" t="str">
        <f t="shared" si="5"/>
        <v>(2043,null,1,'2026-03-24 00:00:00','003308020160000-33080201601','003308020160000-33080201601','小儿先天性心脏病体肺动脉分流术',null,null,5705,5135,4365,null,5850,5265,4485,'次',23,1,'normal','main',0),</v>
      </c>
    </row>
    <row r="351" ht="15.75" spans="1:23">
      <c r="A351">
        <v>2044</v>
      </c>
      <c r="B351" t="s">
        <v>1898</v>
      </c>
      <c r="C351">
        <v>1</v>
      </c>
      <c r="D351" s="9" t="s">
        <v>1899</v>
      </c>
      <c r="E351" t="s">
        <v>1741</v>
      </c>
      <c r="F351" t="s">
        <v>1741</v>
      </c>
      <c r="G351" t="s">
        <v>1742</v>
      </c>
      <c r="H351" t="s">
        <v>1898</v>
      </c>
      <c r="I351" t="s">
        <v>1898</v>
      </c>
      <c r="J351">
        <v>8440</v>
      </c>
      <c r="K351">
        <v>7600</v>
      </c>
      <c r="L351">
        <v>6460</v>
      </c>
      <c r="M351" t="s">
        <v>1898</v>
      </c>
      <c r="N351">
        <v>8700</v>
      </c>
      <c r="O351">
        <v>7850</v>
      </c>
      <c r="P351">
        <v>6680</v>
      </c>
      <c r="Q351" t="s">
        <v>54</v>
      </c>
      <c r="R351">
        <v>23</v>
      </c>
      <c r="S351">
        <v>1</v>
      </c>
      <c r="T351" s="8" t="s">
        <v>1902</v>
      </c>
      <c r="U351" s="8" t="s">
        <v>1901</v>
      </c>
      <c r="V351" s="10">
        <v>0</v>
      </c>
      <c r="W351" s="11" t="str">
        <f t="shared" si="5"/>
        <v>(2044,null,1,'2026-03-24 00:00:00','003308020190000-330802019','003308020190000-330802019','肺动脉闭锁矫治术',null,null,8440,7600,6460,null,8700,7850,6680,'次',23,1,'normal','main',0),</v>
      </c>
    </row>
    <row r="352" ht="15.75" spans="1:23">
      <c r="A352">
        <v>2045</v>
      </c>
      <c r="B352" t="s">
        <v>1898</v>
      </c>
      <c r="C352">
        <v>1</v>
      </c>
      <c r="D352" s="9" t="s">
        <v>1899</v>
      </c>
      <c r="E352" t="s">
        <v>1746</v>
      </c>
      <c r="F352" t="s">
        <v>1746</v>
      </c>
      <c r="G352" t="s">
        <v>1747</v>
      </c>
      <c r="H352" t="s">
        <v>1898</v>
      </c>
      <c r="I352" t="s">
        <v>1898</v>
      </c>
      <c r="J352">
        <v>10970</v>
      </c>
      <c r="K352">
        <v>9880</v>
      </c>
      <c r="L352">
        <v>8400</v>
      </c>
      <c r="M352" t="s">
        <v>1898</v>
      </c>
      <c r="N352">
        <v>11310</v>
      </c>
      <c r="O352">
        <v>10205</v>
      </c>
      <c r="P352">
        <v>8684</v>
      </c>
      <c r="Q352" t="s">
        <v>54</v>
      </c>
      <c r="R352">
        <v>23</v>
      </c>
      <c r="S352">
        <v>1</v>
      </c>
      <c r="T352" s="8" t="s">
        <v>1902</v>
      </c>
      <c r="U352" s="8" t="s">
        <v>1901</v>
      </c>
      <c r="V352" s="10">
        <v>0</v>
      </c>
      <c r="W352" s="11" t="str">
        <f t="shared" si="5"/>
        <v>(2045,null,1,'2026-03-24 00:00:00','003308020190000-33080201901','003308020190000-33080201901','小儿肺动脉闭锁矫治术',null,null,10970,9880,8400,null,11310,10205,8684,'次',23,1,'normal','main',0),</v>
      </c>
    </row>
    <row r="353" ht="15.75" spans="1:23">
      <c r="A353">
        <v>2046</v>
      </c>
      <c r="B353" t="s">
        <v>1898</v>
      </c>
      <c r="C353">
        <v>1</v>
      </c>
      <c r="D353" s="9" t="s">
        <v>1899</v>
      </c>
      <c r="E353" t="s">
        <v>1758</v>
      </c>
      <c r="F353" t="s">
        <v>1758</v>
      </c>
      <c r="G353" t="s">
        <v>1759</v>
      </c>
      <c r="H353" t="s">
        <v>1898</v>
      </c>
      <c r="I353" t="s">
        <v>1898</v>
      </c>
      <c r="J353">
        <v>5060</v>
      </c>
      <c r="K353">
        <v>4550</v>
      </c>
      <c r="L353">
        <v>3870</v>
      </c>
      <c r="M353" t="s">
        <v>1898</v>
      </c>
      <c r="N353" s="6">
        <v>5200</v>
      </c>
      <c r="O353" s="6">
        <v>4700</v>
      </c>
      <c r="P353" s="6">
        <v>4000</v>
      </c>
      <c r="Q353" t="s">
        <v>1760</v>
      </c>
      <c r="R353">
        <v>23</v>
      </c>
      <c r="S353">
        <v>1</v>
      </c>
      <c r="T353" s="8" t="s">
        <v>1902</v>
      </c>
      <c r="U353" s="8" t="s">
        <v>1901</v>
      </c>
      <c r="V353" s="10">
        <v>0</v>
      </c>
      <c r="W353" s="11" t="str">
        <f t="shared" si="5"/>
        <v>(2046,null,1,'2026-03-24 00:00:00','003308020110000-330802011','003308020110000-330802011','上腔静脉肺动脉吻合术（双向Glenn）',null,null,5060,4550,3870,null,5200,4700,4000,'每侧',23,1,'normal','main',0),</v>
      </c>
    </row>
    <row r="354" ht="15.75" spans="1:23">
      <c r="A354">
        <v>2047</v>
      </c>
      <c r="B354" t="s">
        <v>1898</v>
      </c>
      <c r="C354">
        <v>1</v>
      </c>
      <c r="D354" s="9" t="s">
        <v>1899</v>
      </c>
      <c r="E354" t="s">
        <v>1762</v>
      </c>
      <c r="F354" t="s">
        <v>1762</v>
      </c>
      <c r="G354" t="s">
        <v>1763</v>
      </c>
      <c r="H354" t="s">
        <v>1898</v>
      </c>
      <c r="I354" t="s">
        <v>1898</v>
      </c>
      <c r="J354">
        <v>9280</v>
      </c>
      <c r="K354">
        <v>8350</v>
      </c>
      <c r="L354">
        <v>7100</v>
      </c>
      <c r="M354" t="s">
        <v>1898</v>
      </c>
      <c r="N354" s="6">
        <v>5200</v>
      </c>
      <c r="O354" s="6">
        <v>4700</v>
      </c>
      <c r="P354" s="6">
        <v>4000</v>
      </c>
      <c r="Q354" t="s">
        <v>54</v>
      </c>
      <c r="R354">
        <v>23</v>
      </c>
      <c r="S354">
        <v>1</v>
      </c>
      <c r="T354" s="8" t="s">
        <v>1902</v>
      </c>
      <c r="U354" s="8" t="s">
        <v>1901</v>
      </c>
      <c r="V354" s="10">
        <v>0</v>
      </c>
      <c r="W354" s="11" t="str">
        <f t="shared" si="5"/>
        <v>(2047,null,1,'2026-03-24 00:00:00','003308020400000-330802040','003308020400000-330802040','房坦型手术（FontanType手术）',null,null,9280,8350,7100,null,5200,4700,4000,'次',23,1,'normal','main',0),</v>
      </c>
    </row>
    <row r="355" ht="15.75" spans="1:23">
      <c r="A355">
        <v>2048</v>
      </c>
      <c r="B355" t="s">
        <v>1898</v>
      </c>
      <c r="C355">
        <v>1</v>
      </c>
      <c r="D355" s="9" t="s">
        <v>1899</v>
      </c>
      <c r="E355" t="s">
        <v>1767</v>
      </c>
      <c r="F355" t="s">
        <v>1767</v>
      </c>
      <c r="G355" t="s">
        <v>1768</v>
      </c>
      <c r="H355" t="s">
        <v>1898</v>
      </c>
      <c r="I355" t="s">
        <v>1898</v>
      </c>
      <c r="J355">
        <v>6580</v>
      </c>
      <c r="K355">
        <v>5915</v>
      </c>
      <c r="L355">
        <v>5030</v>
      </c>
      <c r="M355" t="s">
        <v>1898</v>
      </c>
      <c r="N355" s="13">
        <v>6760</v>
      </c>
      <c r="O355" s="13">
        <v>6110</v>
      </c>
      <c r="P355" s="13">
        <v>5200</v>
      </c>
      <c r="Q355" t="s">
        <v>1760</v>
      </c>
      <c r="R355">
        <v>23</v>
      </c>
      <c r="S355">
        <v>1</v>
      </c>
      <c r="T355" s="8" t="s">
        <v>1902</v>
      </c>
      <c r="U355" s="8" t="s">
        <v>1901</v>
      </c>
      <c r="V355" s="10">
        <v>0</v>
      </c>
      <c r="W355" s="11" t="str">
        <f t="shared" si="5"/>
        <v>(2048,null,1,'2026-03-24 00:00:00','003308020110000-33080201102','003308020110000-33080201102','小儿上腔静脉肺动脉吻合术（双向Glenn）',null,null,6580,5915,5030,null,6760,6110,5200,'每侧',23,1,'normal','main',0),</v>
      </c>
    </row>
    <row r="356" ht="15.75" spans="1:23">
      <c r="A356">
        <v>2049</v>
      </c>
      <c r="B356" t="s">
        <v>1898</v>
      </c>
      <c r="C356">
        <v>1</v>
      </c>
      <c r="D356" s="9" t="s">
        <v>1899</v>
      </c>
      <c r="E356" t="s">
        <v>1769</v>
      </c>
      <c r="F356" t="s">
        <v>1769</v>
      </c>
      <c r="G356" t="s">
        <v>1770</v>
      </c>
      <c r="H356" t="s">
        <v>1898</v>
      </c>
      <c r="I356" t="s">
        <v>1898</v>
      </c>
      <c r="J356">
        <v>12065</v>
      </c>
      <c r="K356">
        <v>10855</v>
      </c>
      <c r="L356">
        <v>9225</v>
      </c>
      <c r="M356" t="s">
        <v>1898</v>
      </c>
      <c r="N356" s="13">
        <v>6760</v>
      </c>
      <c r="O356" s="13">
        <v>6110</v>
      </c>
      <c r="P356" s="13">
        <v>5200</v>
      </c>
      <c r="Q356" t="s">
        <v>54</v>
      </c>
      <c r="R356">
        <v>23</v>
      </c>
      <c r="S356">
        <v>1</v>
      </c>
      <c r="T356" s="8" t="s">
        <v>1902</v>
      </c>
      <c r="U356" s="8" t="s">
        <v>1901</v>
      </c>
      <c r="V356" s="10">
        <v>0</v>
      </c>
      <c r="W356" s="11" t="str">
        <f t="shared" si="5"/>
        <v>(2049,null,1,'2026-03-24 00:00:00','003308020400000-33080204001','003308020400000-33080204001','小儿房坦型手术（FontanType手术）',null,null,12065,10855,9225,null,6760,6110,5200,'次',23,1,'normal','main',0),</v>
      </c>
    </row>
    <row r="357" ht="15.75" spans="1:23">
      <c r="A357">
        <v>2050</v>
      </c>
      <c r="B357" t="s">
        <v>1898</v>
      </c>
      <c r="C357">
        <v>1</v>
      </c>
      <c r="D357" s="9" t="s">
        <v>1899</v>
      </c>
      <c r="E357" t="s">
        <v>1774</v>
      </c>
      <c r="F357" t="s">
        <v>1774</v>
      </c>
      <c r="G357" t="s">
        <v>1775</v>
      </c>
      <c r="H357" t="s">
        <v>1898</v>
      </c>
      <c r="I357" t="s">
        <v>1898</v>
      </c>
      <c r="J357">
        <v>5780</v>
      </c>
      <c r="K357">
        <v>5200</v>
      </c>
      <c r="L357">
        <v>4425</v>
      </c>
      <c r="M357" t="s">
        <v>1898</v>
      </c>
      <c r="N357" s="6">
        <v>720</v>
      </c>
      <c r="O357" s="6">
        <v>650</v>
      </c>
      <c r="P357" s="6">
        <v>550</v>
      </c>
      <c r="Q357" t="s">
        <v>54</v>
      </c>
      <c r="R357">
        <v>23</v>
      </c>
      <c r="S357">
        <v>1</v>
      </c>
      <c r="T357" s="8" t="s">
        <v>1902</v>
      </c>
      <c r="U357" s="8" t="s">
        <v>1901</v>
      </c>
      <c r="V357" s="10">
        <v>0</v>
      </c>
      <c r="W357" s="11" t="str">
        <f t="shared" si="5"/>
        <v>(2050,null,1,'2026-03-24 00:00:00','003308020110000-33080201101','003308020110000-33080201101','上腔静脉肺动脉吻合术（双向Glenn、双侧）',null,null,5780,5200,4425,null,720,650,550,'次',23,1,'normal','main',0),</v>
      </c>
    </row>
    <row r="358" ht="15.75" spans="1:23">
      <c r="A358">
        <v>2051</v>
      </c>
      <c r="B358" t="s">
        <v>1898</v>
      </c>
      <c r="C358">
        <v>1</v>
      </c>
      <c r="D358" s="9" t="s">
        <v>1899</v>
      </c>
      <c r="E358" t="s">
        <v>1777</v>
      </c>
      <c r="F358" t="s">
        <v>1777</v>
      </c>
      <c r="G358" t="s">
        <v>1778</v>
      </c>
      <c r="H358" t="s">
        <v>1898</v>
      </c>
      <c r="I358" t="s">
        <v>1898</v>
      </c>
      <c r="J358">
        <v>7515</v>
      </c>
      <c r="K358">
        <v>6760</v>
      </c>
      <c r="L358">
        <v>5745</v>
      </c>
      <c r="M358" t="s">
        <v>1898</v>
      </c>
      <c r="N358" s="6">
        <v>720</v>
      </c>
      <c r="O358" s="6">
        <v>650</v>
      </c>
      <c r="P358" s="6">
        <v>550</v>
      </c>
      <c r="Q358" t="s">
        <v>54</v>
      </c>
      <c r="R358">
        <v>23</v>
      </c>
      <c r="S358">
        <v>1</v>
      </c>
      <c r="T358" s="8" t="s">
        <v>1902</v>
      </c>
      <c r="U358" s="8" t="s">
        <v>1901</v>
      </c>
      <c r="V358" s="10">
        <v>0</v>
      </c>
      <c r="W358" s="11" t="str">
        <f t="shared" si="5"/>
        <v>(2051,null,1,'2026-03-24 00:00:00','003308020110000-33080201103','003308020110000-33080201103','小儿上腔静脉肺动脉吻合术（双向Glenn、双侧）',null,null,7515,6760,5745,null,720,650,550,'次',23,1,'normal','main',0),</v>
      </c>
    </row>
    <row r="359" ht="15.75" spans="1:23">
      <c r="A359">
        <v>2052</v>
      </c>
      <c r="B359" t="s">
        <v>1898</v>
      </c>
      <c r="C359">
        <v>1</v>
      </c>
      <c r="D359" s="9" t="s">
        <v>1899</v>
      </c>
      <c r="E359" t="s">
        <v>1781</v>
      </c>
      <c r="F359" t="s">
        <v>1781</v>
      </c>
      <c r="G359" t="s">
        <v>1782</v>
      </c>
      <c r="H359" t="s">
        <v>1898</v>
      </c>
      <c r="I359" t="s">
        <v>1898</v>
      </c>
      <c r="J359">
        <v>9280</v>
      </c>
      <c r="K359">
        <v>8350</v>
      </c>
      <c r="L359">
        <v>7100</v>
      </c>
      <c r="M359" t="s">
        <v>1898</v>
      </c>
      <c r="N359" s="6">
        <v>4835</v>
      </c>
      <c r="O359" s="6">
        <v>4370</v>
      </c>
      <c r="P359" s="6">
        <v>3720</v>
      </c>
      <c r="Q359" t="s">
        <v>54</v>
      </c>
      <c r="R359">
        <v>23</v>
      </c>
      <c r="S359">
        <v>1</v>
      </c>
      <c r="T359" s="8" t="s">
        <v>1902</v>
      </c>
      <c r="U359" s="8" t="s">
        <v>1901</v>
      </c>
      <c r="V359" s="10">
        <v>0</v>
      </c>
      <c r="W359" s="11" t="str">
        <f t="shared" si="5"/>
        <v>(2052,null,1,'2026-03-24 00:00:00','003308020170000-330802017','003308020170000-330802017','全腔肺动脉吻合术',null,null,9280,8350,7100,null,4835,4370,3720,'次',23,1,'normal','main',0),</v>
      </c>
    </row>
    <row r="360" ht="15.75" spans="1:23">
      <c r="A360">
        <v>2053</v>
      </c>
      <c r="B360" t="s">
        <v>1898</v>
      </c>
      <c r="C360">
        <v>1</v>
      </c>
      <c r="D360" s="9" t="s">
        <v>1899</v>
      </c>
      <c r="E360" t="s">
        <v>1784</v>
      </c>
      <c r="F360" t="s">
        <v>1784</v>
      </c>
      <c r="G360" t="s">
        <v>1785</v>
      </c>
      <c r="H360" t="s">
        <v>1898</v>
      </c>
      <c r="I360" t="s">
        <v>1898</v>
      </c>
      <c r="J360">
        <v>12065</v>
      </c>
      <c r="K360">
        <v>10855</v>
      </c>
      <c r="L360">
        <v>9225</v>
      </c>
      <c r="M360" t="s">
        <v>1898</v>
      </c>
      <c r="N360" s="6">
        <v>4835</v>
      </c>
      <c r="O360" s="6">
        <v>4370</v>
      </c>
      <c r="P360" s="6">
        <v>3720</v>
      </c>
      <c r="Q360" t="s">
        <v>54</v>
      </c>
      <c r="R360">
        <v>23</v>
      </c>
      <c r="S360">
        <v>1</v>
      </c>
      <c r="T360" s="8" t="s">
        <v>1902</v>
      </c>
      <c r="U360" s="8" t="s">
        <v>1901</v>
      </c>
      <c r="V360" s="10">
        <v>0</v>
      </c>
      <c r="W360" s="11" t="str">
        <f t="shared" si="5"/>
        <v>(2053,null,1,'2026-03-24 00:00:00','003308020170000-33080201701','003308020170000-33080201701','小儿全腔肺动脉吻合术',null,null,12065,10855,9225,null,4835,4370,3720,'次',23,1,'normal','main',0),</v>
      </c>
    </row>
    <row r="361" ht="15.75" spans="1:23">
      <c r="A361">
        <v>2054</v>
      </c>
      <c r="B361" t="s">
        <v>1898</v>
      </c>
      <c r="C361">
        <v>1</v>
      </c>
      <c r="D361" s="9" t="s">
        <v>1899</v>
      </c>
      <c r="E361" t="s">
        <v>1798</v>
      </c>
      <c r="F361" t="s">
        <v>1798</v>
      </c>
      <c r="G361" t="s">
        <v>1799</v>
      </c>
      <c r="H361" t="s">
        <v>1898</v>
      </c>
      <c r="I361" t="s">
        <v>1898</v>
      </c>
      <c r="J361">
        <v>3880</v>
      </c>
      <c r="K361">
        <v>3490</v>
      </c>
      <c r="L361">
        <v>2970</v>
      </c>
      <c r="M361" t="s">
        <v>1898</v>
      </c>
      <c r="N361">
        <v>4500</v>
      </c>
      <c r="O361">
        <v>4050</v>
      </c>
      <c r="P361">
        <v>3450</v>
      </c>
      <c r="Q361" t="s">
        <v>54</v>
      </c>
      <c r="R361">
        <v>23</v>
      </c>
      <c r="S361">
        <v>1</v>
      </c>
      <c r="T361" s="8" t="s">
        <v>1902</v>
      </c>
      <c r="U361" s="8" t="s">
        <v>1901</v>
      </c>
      <c r="V361" s="10">
        <v>0</v>
      </c>
      <c r="W361" s="11" t="str">
        <f t="shared" si="5"/>
        <v>(2054,null,1,'2026-03-24 00:00:00','003308020200000-330802020','003308020200000-330802020','部分型肺静脉畸形引流矫治术',null,null,3880,3490,2970,null,4500,4050,3450,'次',23,1,'normal','main',0),</v>
      </c>
    </row>
    <row r="362" ht="15.75" spans="1:23">
      <c r="A362">
        <v>2055</v>
      </c>
      <c r="B362" t="s">
        <v>1898</v>
      </c>
      <c r="C362">
        <v>1</v>
      </c>
      <c r="D362" s="9" t="s">
        <v>1899</v>
      </c>
      <c r="E362" t="s">
        <v>1802</v>
      </c>
      <c r="F362" t="s">
        <v>1802</v>
      </c>
      <c r="G362" t="s">
        <v>1803</v>
      </c>
      <c r="H362" t="s">
        <v>1898</v>
      </c>
      <c r="I362" t="s">
        <v>1898</v>
      </c>
      <c r="J362">
        <v>5045</v>
      </c>
      <c r="K362">
        <v>4535</v>
      </c>
      <c r="L362">
        <v>3855</v>
      </c>
      <c r="M362" t="s">
        <v>1898</v>
      </c>
      <c r="N362">
        <v>5850</v>
      </c>
      <c r="O362">
        <v>5265</v>
      </c>
      <c r="P362">
        <v>4485</v>
      </c>
      <c r="Q362" t="s">
        <v>54</v>
      </c>
      <c r="R362">
        <v>23</v>
      </c>
      <c r="S362">
        <v>1</v>
      </c>
      <c r="T362" s="8" t="s">
        <v>1902</v>
      </c>
      <c r="U362" s="8" t="s">
        <v>1901</v>
      </c>
      <c r="V362" s="10">
        <v>0</v>
      </c>
      <c r="W362" s="11" t="str">
        <f t="shared" si="5"/>
        <v>(2055,null,1,'2026-03-24 00:00:00','003308020200000-33080202001','003308020200000-33080202001','小儿部分型肺静脉畸形引流矫治术',null,null,5045,4535,3855,null,5850,5265,4485,'次',23,1,'normal','main',0),</v>
      </c>
    </row>
    <row r="363" ht="15.75" spans="1:23">
      <c r="A363">
        <v>2056</v>
      </c>
      <c r="B363" t="s">
        <v>1898</v>
      </c>
      <c r="C363">
        <v>1</v>
      </c>
      <c r="D363" s="9" t="s">
        <v>1899</v>
      </c>
      <c r="E363" t="s">
        <v>1806</v>
      </c>
      <c r="F363" t="s">
        <v>1806</v>
      </c>
      <c r="G363" t="s">
        <v>1807</v>
      </c>
      <c r="H363" t="s">
        <v>1898</v>
      </c>
      <c r="I363" t="s">
        <v>1898</v>
      </c>
      <c r="J363">
        <v>5060</v>
      </c>
      <c r="K363">
        <v>4550</v>
      </c>
      <c r="L363">
        <v>3870</v>
      </c>
      <c r="M363" t="s">
        <v>1898</v>
      </c>
      <c r="N363" s="6">
        <v>735</v>
      </c>
      <c r="O363" s="6">
        <v>665</v>
      </c>
      <c r="P363" s="6">
        <v>565</v>
      </c>
      <c r="Q363" t="s">
        <v>54</v>
      </c>
      <c r="R363">
        <v>23</v>
      </c>
      <c r="S363">
        <v>1</v>
      </c>
      <c r="T363" s="8" t="s">
        <v>1902</v>
      </c>
      <c r="U363" s="8" t="s">
        <v>1901</v>
      </c>
      <c r="V363" s="10">
        <v>0</v>
      </c>
      <c r="W363" s="11" t="str">
        <f t="shared" si="5"/>
        <v>(2056,null,1,'2026-03-24 00:00:00','003308020220000-330802022','003308020220000-330802022','体静脉引流入肺静脉侧心房矫治术',null,null,5060,4550,3870,null,735,665,565,'次',23,1,'normal','main',0),</v>
      </c>
    </row>
    <row r="364" ht="15.75" spans="1:23">
      <c r="A364">
        <v>2057</v>
      </c>
      <c r="B364" t="s">
        <v>1898</v>
      </c>
      <c r="C364">
        <v>1</v>
      </c>
      <c r="D364" s="9" t="s">
        <v>1899</v>
      </c>
      <c r="E364" t="s">
        <v>1808</v>
      </c>
      <c r="F364" t="s">
        <v>1808</v>
      </c>
      <c r="G364" t="s">
        <v>1809</v>
      </c>
      <c r="H364" t="s">
        <v>1898</v>
      </c>
      <c r="I364" t="s">
        <v>1898</v>
      </c>
      <c r="J364">
        <v>6580</v>
      </c>
      <c r="K364">
        <v>5915</v>
      </c>
      <c r="L364">
        <v>5030</v>
      </c>
      <c r="M364" t="s">
        <v>1898</v>
      </c>
      <c r="N364" s="6">
        <v>735</v>
      </c>
      <c r="O364" s="6">
        <v>665</v>
      </c>
      <c r="P364" s="6">
        <v>565</v>
      </c>
      <c r="Q364" t="s">
        <v>54</v>
      </c>
      <c r="R364">
        <v>23</v>
      </c>
      <c r="S364">
        <v>1</v>
      </c>
      <c r="T364" s="8" t="s">
        <v>1902</v>
      </c>
      <c r="U364" s="8" t="s">
        <v>1901</v>
      </c>
      <c r="V364" s="10">
        <v>0</v>
      </c>
      <c r="W364" s="11" t="str">
        <f t="shared" si="5"/>
        <v>(2057,null,1,'2026-03-24 00:00:00','003308020220000-33080202201','003308020220000-33080202201','小儿体静脉引流入肺静脉侧心房矫治术',null,null,6580,5915,5030,null,735,665,565,'次',23,1,'normal','main',0),</v>
      </c>
    </row>
    <row r="365" ht="15.75" spans="1:23">
      <c r="A365">
        <v>2058</v>
      </c>
      <c r="B365" t="s">
        <v>1898</v>
      </c>
      <c r="C365">
        <v>1</v>
      </c>
      <c r="D365" s="9" t="s">
        <v>1899</v>
      </c>
      <c r="E365" t="s">
        <v>1814</v>
      </c>
      <c r="F365" t="s">
        <v>1814</v>
      </c>
      <c r="G365" t="s">
        <v>1815</v>
      </c>
      <c r="H365" t="s">
        <v>1898</v>
      </c>
      <c r="I365" t="s">
        <v>1898</v>
      </c>
      <c r="J365">
        <v>7220</v>
      </c>
      <c r="K365">
        <v>6500</v>
      </c>
      <c r="L365">
        <v>5530</v>
      </c>
      <c r="M365" t="s">
        <v>1898</v>
      </c>
      <c r="N365">
        <v>7500</v>
      </c>
      <c r="O365">
        <v>6750</v>
      </c>
      <c r="P365">
        <v>5750</v>
      </c>
      <c r="Q365" t="s">
        <v>54</v>
      </c>
      <c r="R365">
        <v>23</v>
      </c>
      <c r="S365">
        <v>1</v>
      </c>
      <c r="T365" s="8" t="s">
        <v>1902</v>
      </c>
      <c r="U365" s="8" t="s">
        <v>1901</v>
      </c>
      <c r="V365" s="10">
        <v>0</v>
      </c>
      <c r="W365" s="11" t="str">
        <f t="shared" si="5"/>
        <v>(2058,null,1,'2026-03-24 00:00:00','003308020210000-330802021','003308020210000-330802021','完全型肺静脉畸形引流矫治术',null,null,7220,6500,5530,null,7500,6750,5750,'次',23,1,'normal','main',0),</v>
      </c>
    </row>
    <row r="366" ht="15.75" spans="1:23">
      <c r="A366">
        <v>2059</v>
      </c>
      <c r="B366" t="s">
        <v>1898</v>
      </c>
      <c r="C366">
        <v>1</v>
      </c>
      <c r="D366" s="9" t="s">
        <v>1899</v>
      </c>
      <c r="E366" t="s">
        <v>1819</v>
      </c>
      <c r="F366" t="s">
        <v>1819</v>
      </c>
      <c r="G366" t="s">
        <v>1820</v>
      </c>
      <c r="H366" t="s">
        <v>1898</v>
      </c>
      <c r="I366" t="s">
        <v>1898</v>
      </c>
      <c r="J366">
        <v>9385</v>
      </c>
      <c r="K366">
        <v>8450</v>
      </c>
      <c r="L366">
        <v>7185</v>
      </c>
      <c r="M366" t="s">
        <v>1898</v>
      </c>
      <c r="N366">
        <v>9750</v>
      </c>
      <c r="O366">
        <v>8775</v>
      </c>
      <c r="P366">
        <v>7475</v>
      </c>
      <c r="Q366" t="s">
        <v>54</v>
      </c>
      <c r="R366">
        <v>23</v>
      </c>
      <c r="S366">
        <v>1</v>
      </c>
      <c r="T366" s="8" t="s">
        <v>1902</v>
      </c>
      <c r="U366" s="8" t="s">
        <v>1901</v>
      </c>
      <c r="V366" s="10">
        <v>0</v>
      </c>
      <c r="W366" s="11" t="str">
        <f t="shared" si="5"/>
        <v>(2059,null,1,'2026-03-24 00:00:00','003308020210000-33080202101','003308020210000-33080202101','小儿完全型肺静脉畸形引流矫治术',null,null,9385,8450,7185,null,9750,8775,7475,'次',23,1,'normal','main',0),</v>
      </c>
    </row>
    <row r="367" ht="15.75" spans="1:23">
      <c r="A367">
        <v>2060</v>
      </c>
      <c r="B367" t="s">
        <v>1898</v>
      </c>
      <c r="C367">
        <v>1</v>
      </c>
      <c r="D367" s="9" t="s">
        <v>1899</v>
      </c>
      <c r="E367" t="s">
        <v>1825</v>
      </c>
      <c r="F367" t="s">
        <v>1825</v>
      </c>
      <c r="G367" t="s">
        <v>1826</v>
      </c>
      <c r="H367" t="s">
        <v>1898</v>
      </c>
      <c r="I367" t="s">
        <v>1898</v>
      </c>
      <c r="J367">
        <v>2500</v>
      </c>
      <c r="K367">
        <v>2400</v>
      </c>
      <c r="L367">
        <v>2040</v>
      </c>
      <c r="M367" t="s">
        <v>1898</v>
      </c>
      <c r="N367">
        <v>2500</v>
      </c>
      <c r="O367">
        <v>2400</v>
      </c>
      <c r="P367">
        <v>2040</v>
      </c>
      <c r="Q367" t="s">
        <v>54</v>
      </c>
      <c r="R367">
        <v>23</v>
      </c>
      <c r="S367">
        <v>1</v>
      </c>
      <c r="T367" s="8" t="s">
        <v>1902</v>
      </c>
      <c r="U367" s="8" t="s">
        <v>1901</v>
      </c>
      <c r="V367" s="10">
        <v>0</v>
      </c>
      <c r="W367" s="11" t="str">
        <f t="shared" si="5"/>
        <v>(2060,null,1,'2026-03-24 00:00:00','003308020090000-330802009','003308020090000-330802009','肺动静脉瘘结扎术',null,null,2500,2400,2040,null,2500,2400,2040,'次',23,1,'normal','main',0),</v>
      </c>
    </row>
    <row r="368" ht="15.75" spans="1:23">
      <c r="A368">
        <v>2061</v>
      </c>
      <c r="B368" t="s">
        <v>1898</v>
      </c>
      <c r="C368">
        <v>1</v>
      </c>
      <c r="D368" s="9" t="s">
        <v>1899</v>
      </c>
      <c r="E368" t="s">
        <v>1829</v>
      </c>
      <c r="F368" t="s">
        <v>1829</v>
      </c>
      <c r="G368" t="s">
        <v>1830</v>
      </c>
      <c r="H368" t="s">
        <v>1898</v>
      </c>
      <c r="I368" t="s">
        <v>1898</v>
      </c>
      <c r="J368">
        <v>3250</v>
      </c>
      <c r="K368">
        <v>3120</v>
      </c>
      <c r="L368">
        <v>2650</v>
      </c>
      <c r="M368" t="s">
        <v>1898</v>
      </c>
      <c r="N368">
        <v>3250</v>
      </c>
      <c r="O368">
        <v>3120</v>
      </c>
      <c r="P368">
        <v>2650</v>
      </c>
      <c r="Q368" t="s">
        <v>54</v>
      </c>
      <c r="R368">
        <v>23</v>
      </c>
      <c r="S368">
        <v>1</v>
      </c>
      <c r="T368" s="8" t="s">
        <v>1902</v>
      </c>
      <c r="U368" s="8" t="s">
        <v>1901</v>
      </c>
      <c r="V368" s="10">
        <v>0</v>
      </c>
      <c r="W368" s="11" t="str">
        <f t="shared" si="5"/>
        <v>(2061,null,1,'2026-03-24 00:00:00','003308020090000-33080200901','003308020090000-33080200901','小儿肺动静脉瘘结扎术',null,null,3250,3120,2650,null,3250,3120,2650,'次',23,1,'normal','main',0),</v>
      </c>
    </row>
    <row r="369" ht="15.75" spans="1:23">
      <c r="A369">
        <v>2062</v>
      </c>
      <c r="B369" t="s">
        <v>1898</v>
      </c>
      <c r="C369">
        <v>1</v>
      </c>
      <c r="D369" s="9" t="s">
        <v>1899</v>
      </c>
      <c r="E369" t="s">
        <v>1841</v>
      </c>
      <c r="F369" t="s">
        <v>1841</v>
      </c>
      <c r="G369" t="s">
        <v>1843</v>
      </c>
      <c r="H369" t="s">
        <v>1898</v>
      </c>
      <c r="I369" t="s">
        <v>1898</v>
      </c>
      <c r="J369">
        <v>5400</v>
      </c>
      <c r="K369">
        <v>4860</v>
      </c>
      <c r="L369">
        <v>4130</v>
      </c>
      <c r="M369" t="s">
        <v>1898</v>
      </c>
      <c r="N369">
        <v>5600</v>
      </c>
      <c r="O369">
        <v>5050</v>
      </c>
      <c r="P369">
        <v>4300</v>
      </c>
      <c r="Q369" t="s">
        <v>54</v>
      </c>
      <c r="R369">
        <v>23</v>
      </c>
      <c r="S369">
        <v>1</v>
      </c>
      <c r="T369" s="8" t="s">
        <v>1902</v>
      </c>
      <c r="U369" s="8" t="s">
        <v>1901</v>
      </c>
      <c r="V369" s="10">
        <v>0</v>
      </c>
      <c r="W369" s="11" t="str">
        <f t="shared" si="5"/>
        <v>(2062,null,1,'2026-03-24 00:00:00','003308010060000-330801006','003308010060000-330801006','三尖瓣下移畸形矫治术（Ebstein畸形矫治术）',null,null,5400,4860,4130,null,5600,5050,4300,'次',23,1,'normal','main',0),</v>
      </c>
    </row>
    <row r="370" ht="15.75" spans="1:23">
      <c r="A370">
        <v>2063</v>
      </c>
      <c r="B370" t="s">
        <v>1898</v>
      </c>
      <c r="C370">
        <v>1</v>
      </c>
      <c r="D370" s="9" t="s">
        <v>1899</v>
      </c>
      <c r="E370" t="s">
        <v>1847</v>
      </c>
      <c r="F370" t="s">
        <v>1847</v>
      </c>
      <c r="G370" t="s">
        <v>1848</v>
      </c>
      <c r="H370" t="s">
        <v>1898</v>
      </c>
      <c r="I370" t="s">
        <v>1898</v>
      </c>
      <c r="J370">
        <v>7020</v>
      </c>
      <c r="K370">
        <v>6320</v>
      </c>
      <c r="L370">
        <v>5370</v>
      </c>
      <c r="M370" t="s">
        <v>1898</v>
      </c>
      <c r="N370">
        <v>7280</v>
      </c>
      <c r="O370">
        <v>6565</v>
      </c>
      <c r="P370">
        <v>5590</v>
      </c>
      <c r="Q370" t="s">
        <v>54</v>
      </c>
      <c r="R370">
        <v>23</v>
      </c>
      <c r="S370">
        <v>1</v>
      </c>
      <c r="T370" s="8" t="s">
        <v>1902</v>
      </c>
      <c r="U370" s="8" t="s">
        <v>1901</v>
      </c>
      <c r="V370" s="10">
        <v>0</v>
      </c>
      <c r="W370" s="11" t="str">
        <f t="shared" si="5"/>
        <v>(2063,null,1,'2026-03-24 00:00:00','003308010060000-33080100601','003308010060000-33080100601','小儿三尖瓣下移畸形矫治术（Ebstein畸形矫治术）',null,null,7020,6320,5370,null,7280,6565,5590,'次',23,1,'normal','main',0),</v>
      </c>
    </row>
    <row r="371" ht="15.75" spans="1:23">
      <c r="A371">
        <v>2064</v>
      </c>
      <c r="B371" t="s">
        <v>1898</v>
      </c>
      <c r="C371">
        <v>1</v>
      </c>
      <c r="D371" s="9" t="s">
        <v>1899</v>
      </c>
      <c r="E371" t="s">
        <v>1853</v>
      </c>
      <c r="F371" t="s">
        <v>1853</v>
      </c>
      <c r="G371" t="s">
        <v>1854</v>
      </c>
      <c r="H371" t="s">
        <v>1898</v>
      </c>
      <c r="I371" t="s">
        <v>1898</v>
      </c>
      <c r="J371">
        <v>5060</v>
      </c>
      <c r="K371">
        <v>4550</v>
      </c>
      <c r="L371">
        <v>3870</v>
      </c>
      <c r="M371" t="s">
        <v>1898</v>
      </c>
      <c r="N371">
        <v>5200</v>
      </c>
      <c r="O371">
        <v>4700</v>
      </c>
      <c r="P371">
        <v>4000</v>
      </c>
      <c r="Q371" t="s">
        <v>54</v>
      </c>
      <c r="R371">
        <v>23</v>
      </c>
      <c r="S371">
        <v>1</v>
      </c>
      <c r="T371" s="8" t="s">
        <v>1902</v>
      </c>
      <c r="U371" s="8" t="s">
        <v>1901</v>
      </c>
      <c r="V371" s="10">
        <v>0</v>
      </c>
      <c r="W371" s="11" t="str">
        <f t="shared" si="5"/>
        <v>(2064,null,1,'2026-03-24 00:00:00','003308010150000-330801015','003308010150000-330801015','瓣周漏修补术',null,null,5060,4550,3870,null,5200,4700,4000,'次',23,1,'normal','main',0),</v>
      </c>
    </row>
    <row r="372" ht="15.75" spans="1:23">
      <c r="A372">
        <v>2065</v>
      </c>
      <c r="B372" t="s">
        <v>1898</v>
      </c>
      <c r="C372">
        <v>1</v>
      </c>
      <c r="D372" s="9" t="s">
        <v>1899</v>
      </c>
      <c r="E372" t="s">
        <v>1857</v>
      </c>
      <c r="F372" t="s">
        <v>1857</v>
      </c>
      <c r="G372" t="s">
        <v>1858</v>
      </c>
      <c r="H372" t="s">
        <v>1898</v>
      </c>
      <c r="I372" t="s">
        <v>1898</v>
      </c>
      <c r="J372">
        <v>6580</v>
      </c>
      <c r="K372">
        <v>5915</v>
      </c>
      <c r="L372">
        <v>5030</v>
      </c>
      <c r="M372" t="s">
        <v>1898</v>
      </c>
      <c r="N372">
        <v>6760</v>
      </c>
      <c r="O372">
        <v>6110</v>
      </c>
      <c r="P372">
        <v>5200</v>
      </c>
      <c r="Q372" t="s">
        <v>54</v>
      </c>
      <c r="R372">
        <v>23</v>
      </c>
      <c r="S372">
        <v>1</v>
      </c>
      <c r="T372" s="8" t="s">
        <v>1902</v>
      </c>
      <c r="U372" s="8" t="s">
        <v>1901</v>
      </c>
      <c r="V372" s="10">
        <v>0</v>
      </c>
      <c r="W372" s="11" t="str">
        <f t="shared" si="5"/>
        <v>(2065,null,1,'2026-03-24 00:00:00','003308010150000-33080101501','003308010150000-33080101501','小儿瓣周漏修补术',null,null,6580,5915,5030,null,6760,6110,5200,'次',23,1,'normal','main',0),</v>
      </c>
    </row>
  </sheetData>
  <autoFilter ref="A1:Y372">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
  <sheetViews>
    <sheetView tabSelected="1" topLeftCell="E1" workbookViewId="0">
      <selection activeCell="U25" sqref="U25"/>
    </sheetView>
  </sheetViews>
  <sheetFormatPr defaultColWidth="9" defaultRowHeight="14.25" outlineLevelRow="6"/>
  <cols>
    <col min="4" max="5" width="30.375" customWidth="1"/>
    <col min="6" max="6" width="30.75" customWidth="1"/>
  </cols>
  <sheetData>
    <row r="1" ht="25.5" spans="1:20">
      <c r="A1" s="4" t="s">
        <v>1876</v>
      </c>
      <c r="B1" s="4" t="s">
        <v>1904</v>
      </c>
      <c r="C1" s="4" t="s">
        <v>1877</v>
      </c>
      <c r="D1" s="4" t="s">
        <v>1880</v>
      </c>
      <c r="E1" s="5" t="s">
        <v>1881</v>
      </c>
      <c r="F1" s="4" t="s">
        <v>1882</v>
      </c>
      <c r="G1" s="4" t="s">
        <v>1883</v>
      </c>
      <c r="H1" s="4" t="s">
        <v>1884</v>
      </c>
      <c r="I1" s="4" t="s">
        <v>1885</v>
      </c>
      <c r="J1" s="4" t="s">
        <v>1886</v>
      </c>
      <c r="K1" s="4" t="s">
        <v>1887</v>
      </c>
      <c r="L1" s="4" t="s">
        <v>1888</v>
      </c>
      <c r="M1" s="4" t="s">
        <v>1889</v>
      </c>
      <c r="N1" s="4" t="s">
        <v>1890</v>
      </c>
      <c r="O1" s="4" t="s">
        <v>1891</v>
      </c>
      <c r="P1" s="4" t="s">
        <v>1892</v>
      </c>
      <c r="Q1" s="4" t="s">
        <v>1894</v>
      </c>
      <c r="R1" s="4" t="s">
        <v>1905</v>
      </c>
      <c r="S1" s="4" t="s">
        <v>1906</v>
      </c>
      <c r="T1" s="7" t="str">
        <f>"insert into server_list_column_20250525 ("&amp;_xlfn.TEXTJOIN(",",TRUE,A1:S1)&amp;") values"</f>
        <v>insert into server_list_column_20250525 (id,server_list_id,code,old_hilist_code,new_hilist_code,hilist_name,selfpay_prop,old_price,old_price_city,old_price_town,old_price_village,new_price,new_price_city,new_price_town,new_price_village,unit,is_use_old,is_main,main_code) values</v>
      </c>
    </row>
    <row r="2" spans="1:20">
      <c r="A2">
        <v>198</v>
      </c>
      <c r="B2">
        <v>1695</v>
      </c>
      <c r="C2" t="s">
        <v>1898</v>
      </c>
      <c r="D2" t="s">
        <v>44</v>
      </c>
      <c r="E2" t="s">
        <v>44</v>
      </c>
      <c r="F2" t="s">
        <v>45</v>
      </c>
      <c r="G2" t="s">
        <v>1898</v>
      </c>
      <c r="H2" t="s">
        <v>1898</v>
      </c>
      <c r="I2">
        <v>4.5</v>
      </c>
      <c r="J2">
        <v>4.1</v>
      </c>
      <c r="K2">
        <v>3.4</v>
      </c>
      <c r="L2" t="s">
        <v>1898</v>
      </c>
      <c r="M2" s="6">
        <v>4.75</v>
      </c>
      <c r="N2" s="6">
        <v>4.5</v>
      </c>
      <c r="O2" s="6">
        <v>4</v>
      </c>
      <c r="P2" t="s">
        <v>39</v>
      </c>
      <c r="Q2">
        <v>1</v>
      </c>
      <c r="R2">
        <v>1</v>
      </c>
      <c r="S2" s="8"/>
      <c r="T2" s="7" t="str">
        <f t="shared" ref="T2:T7" si="0">"("&amp;A2&amp;","&amp;B2&amp;","&amp;C2&amp;",'"&amp;D2&amp;"','"&amp;E2&amp;"','"&amp;F2&amp;"',"&amp;G2&amp;","&amp;H2&amp;","&amp;I2&amp;","&amp;J2&amp;","&amp;K2&amp;","&amp;L2&amp;","&amp;M2&amp;","&amp;N2&amp;","&amp;O2&amp;",'"&amp;P2&amp;"',"&amp;Q2&amp;","&amp;R2&amp;",'"&amp;S2&amp;"'),"</f>
        <v>(198,1695,null,'003107010220000-310701022','003107010220000-310701022','心电监测',null,null,4.5,4.1,3.4,null,4.75,4.5,4,'小时',1,1,''),</v>
      </c>
    </row>
    <row r="3" spans="1:20">
      <c r="A3">
        <v>199</v>
      </c>
      <c r="B3">
        <v>1695</v>
      </c>
      <c r="C3" t="s">
        <v>1898</v>
      </c>
      <c r="D3" t="s">
        <v>47</v>
      </c>
      <c r="E3" t="s">
        <v>47</v>
      </c>
      <c r="F3" t="s">
        <v>48</v>
      </c>
      <c r="G3" t="s">
        <v>1898</v>
      </c>
      <c r="H3" t="s">
        <v>1898</v>
      </c>
      <c r="I3">
        <v>4.5</v>
      </c>
      <c r="J3">
        <v>4.1</v>
      </c>
      <c r="K3">
        <v>3.4</v>
      </c>
      <c r="L3" t="s">
        <v>1898</v>
      </c>
      <c r="M3" s="6">
        <v>4.75</v>
      </c>
      <c r="N3" s="6">
        <v>4.5</v>
      </c>
      <c r="O3" s="6">
        <v>4</v>
      </c>
      <c r="P3" t="s">
        <v>39</v>
      </c>
      <c r="Q3">
        <v>1</v>
      </c>
      <c r="R3">
        <v>1</v>
      </c>
      <c r="S3" s="8"/>
      <c r="T3" s="7" t="str">
        <f t="shared" si="0"/>
        <v>(199,1695,null,'003107010270000-310701027','003107010270000-310701027','指脉氧监测',null,null,4.5,4.1,3.4,null,4.75,4.5,4,'小时',1,1,''),</v>
      </c>
    </row>
    <row r="4" spans="1:20">
      <c r="A4">
        <v>200</v>
      </c>
      <c r="B4">
        <v>1695</v>
      </c>
      <c r="C4" t="s">
        <v>1898</v>
      </c>
      <c r="D4" t="s">
        <v>49</v>
      </c>
      <c r="E4" t="s">
        <v>49</v>
      </c>
      <c r="F4" t="s">
        <v>50</v>
      </c>
      <c r="G4" t="s">
        <v>1898</v>
      </c>
      <c r="H4" t="s">
        <v>1898</v>
      </c>
      <c r="I4">
        <v>4.5</v>
      </c>
      <c r="J4">
        <v>4.1</v>
      </c>
      <c r="K4">
        <v>3.4</v>
      </c>
      <c r="L4" t="s">
        <v>1898</v>
      </c>
      <c r="M4" s="6">
        <v>4.75</v>
      </c>
      <c r="N4" s="6">
        <v>4.5</v>
      </c>
      <c r="O4" s="6">
        <v>4</v>
      </c>
      <c r="P4" t="s">
        <v>39</v>
      </c>
      <c r="Q4">
        <v>1</v>
      </c>
      <c r="R4">
        <v>1</v>
      </c>
      <c r="S4" s="8"/>
      <c r="T4" s="7" t="str">
        <f t="shared" si="0"/>
        <v>(200,1695,null,'003107010280000-310701028','003107010280000-310701028','血氧饱和度监测',null,null,4.5,4.1,3.4,null,4.75,4.5,4,'小时',1,1,''),</v>
      </c>
    </row>
    <row r="5" spans="1:20">
      <c r="A5">
        <v>201</v>
      </c>
      <c r="B5">
        <v>1695</v>
      </c>
      <c r="C5" t="s">
        <v>1898</v>
      </c>
      <c r="D5" t="s">
        <v>51</v>
      </c>
      <c r="E5" t="s">
        <v>51</v>
      </c>
      <c r="F5" t="s">
        <v>52</v>
      </c>
      <c r="G5" t="s">
        <v>1898</v>
      </c>
      <c r="H5" t="s">
        <v>1898</v>
      </c>
      <c r="I5">
        <v>70</v>
      </c>
      <c r="J5">
        <v>70</v>
      </c>
      <c r="K5">
        <v>59.5</v>
      </c>
      <c r="L5" t="s">
        <v>1898</v>
      </c>
      <c r="M5" s="6">
        <v>9.5</v>
      </c>
      <c r="N5" s="6">
        <v>9</v>
      </c>
      <c r="O5" s="6">
        <v>8</v>
      </c>
      <c r="P5" t="s">
        <v>54</v>
      </c>
      <c r="Q5">
        <v>1</v>
      </c>
      <c r="R5">
        <v>1</v>
      </c>
      <c r="S5" s="8"/>
      <c r="T5" s="7" t="str">
        <f t="shared" si="0"/>
        <v>(201,1695,null,'003107010290000-310701033','003107010290000-310701033','经皮肢体氧分压测定',null,null,70,70,59.5,null,9.5,9,8,'次',1,1,''),</v>
      </c>
    </row>
    <row r="6" spans="1:20">
      <c r="A6">
        <v>202</v>
      </c>
      <c r="B6">
        <v>1696</v>
      </c>
      <c r="C6" t="s">
        <v>1898</v>
      </c>
      <c r="D6" t="s">
        <v>60</v>
      </c>
      <c r="E6" t="s">
        <v>60</v>
      </c>
      <c r="F6" t="s">
        <v>61</v>
      </c>
      <c r="G6" t="s">
        <v>1898</v>
      </c>
      <c r="H6" t="s">
        <v>1898</v>
      </c>
      <c r="I6">
        <v>57.5</v>
      </c>
      <c r="J6">
        <v>50</v>
      </c>
      <c r="K6">
        <v>42.5</v>
      </c>
      <c r="L6" t="s">
        <v>1898</v>
      </c>
      <c r="M6" s="6">
        <v>180.5</v>
      </c>
      <c r="N6" s="6">
        <v>171</v>
      </c>
      <c r="O6" s="6">
        <v>152</v>
      </c>
      <c r="P6" t="s">
        <v>63</v>
      </c>
      <c r="Q6">
        <v>1</v>
      </c>
      <c r="R6">
        <v>1</v>
      </c>
      <c r="S6" s="8"/>
      <c r="T6" s="7" t="str">
        <f t="shared" si="0"/>
        <v>(202,1696,null,'003107010090000-310701009','003107010090000-310701009','心电监测电话传输',null,null,57.5,50,42.5,null,180.5,171,152,'日',1,1,''),</v>
      </c>
    </row>
    <row r="7" spans="1:20">
      <c r="A7">
        <v>203</v>
      </c>
      <c r="B7">
        <v>1696</v>
      </c>
      <c r="C7" t="s">
        <v>1898</v>
      </c>
      <c r="D7" t="s">
        <v>64</v>
      </c>
      <c r="E7" t="s">
        <v>64</v>
      </c>
      <c r="F7" t="s">
        <v>65</v>
      </c>
      <c r="G7" t="s">
        <v>1898</v>
      </c>
      <c r="H7" t="s">
        <v>1898</v>
      </c>
      <c r="I7">
        <v>5.8</v>
      </c>
      <c r="J7">
        <v>5</v>
      </c>
      <c r="K7">
        <v>4.3</v>
      </c>
      <c r="L7" t="s">
        <v>1898</v>
      </c>
      <c r="M7" s="6">
        <v>180.5</v>
      </c>
      <c r="N7" s="6">
        <v>171</v>
      </c>
      <c r="O7" s="6">
        <v>152</v>
      </c>
      <c r="P7" t="s">
        <v>39</v>
      </c>
      <c r="Q7">
        <v>1</v>
      </c>
      <c r="R7">
        <v>0</v>
      </c>
      <c r="S7" s="8"/>
      <c r="T7" s="7" t="str">
        <f t="shared" si="0"/>
        <v>(203,1696,null,'003107010080000-310701008','003107010080000-310701008','遥测心电监护',null,null,5.8,5,4.3,null,180.5,171,152,'小时',1,0,''),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34"/>
  <sheetViews>
    <sheetView zoomScale="130" zoomScaleNormal="130" workbookViewId="0">
      <selection activeCell="Y54" sqref="Y54"/>
    </sheetView>
  </sheetViews>
  <sheetFormatPr defaultColWidth="9" defaultRowHeight="14.25"/>
  <cols>
    <col min="2" max="4" width="9" hidden="1" customWidth="1"/>
    <col min="5" max="6" width="22.5" customWidth="1"/>
    <col min="7" max="18" width="9" hidden="1" customWidth="1"/>
    <col min="19" max="20" width="9.625" hidden="1" customWidth="1"/>
    <col min="21" max="21" width="9" hidden="1" customWidth="1"/>
    <col min="22" max="23" width="9.625" hidden="1" customWidth="1"/>
    <col min="24" max="24" width="9" hidden="1" customWidth="1"/>
    <col min="25" max="25" width="10.375"/>
    <col min="26" max="26" width="9.625"/>
  </cols>
  <sheetData>
    <row r="1" spans="1:27">
      <c r="A1" s="1"/>
      <c r="B1" s="1" t="s">
        <v>1907</v>
      </c>
      <c r="C1" s="1" t="s">
        <v>1908</v>
      </c>
      <c r="D1" s="1" t="s">
        <v>1909</v>
      </c>
      <c r="E1" s="1" t="s">
        <v>1910</v>
      </c>
      <c r="F1" s="1"/>
      <c r="G1" s="1" t="s">
        <v>1911</v>
      </c>
      <c r="H1" s="1" t="s">
        <v>1912</v>
      </c>
      <c r="I1" s="1" t="s">
        <v>1913</v>
      </c>
      <c r="J1" s="1" t="s">
        <v>1914</v>
      </c>
      <c r="K1" s="1" t="s">
        <v>1915</v>
      </c>
      <c r="L1" s="1" t="s">
        <v>1916</v>
      </c>
      <c r="M1" s="1" t="s">
        <v>1917</v>
      </c>
      <c r="N1" s="1" t="s">
        <v>1918</v>
      </c>
      <c r="O1" s="1" t="s">
        <v>1919</v>
      </c>
      <c r="P1" s="1" t="s">
        <v>1920</v>
      </c>
      <c r="Q1" s="1" t="s">
        <v>1921</v>
      </c>
      <c r="R1" s="1" t="s">
        <v>1922</v>
      </c>
      <c r="S1" s="1" t="s">
        <v>1923</v>
      </c>
      <c r="T1" s="1" t="s">
        <v>1924</v>
      </c>
      <c r="U1" s="1" t="s">
        <v>1925</v>
      </c>
      <c r="V1" s="1" t="s">
        <v>1926</v>
      </c>
      <c r="W1" s="1" t="s">
        <v>1927</v>
      </c>
      <c r="X1" s="1" t="s">
        <v>1928</v>
      </c>
      <c r="Y1" s="1" t="s">
        <v>1929</v>
      </c>
      <c r="Z1" s="1" t="s">
        <v>1930</v>
      </c>
      <c r="AA1" s="1" t="s">
        <v>1931</v>
      </c>
    </row>
    <row r="2" ht="38.25" spans="1:27">
      <c r="A2" s="1"/>
      <c r="B2" s="1" t="s">
        <v>1876</v>
      </c>
      <c r="C2" s="1" t="s">
        <v>1932</v>
      </c>
      <c r="D2" s="1" t="s">
        <v>1933</v>
      </c>
      <c r="E2" s="1" t="s">
        <v>1880</v>
      </c>
      <c r="F2" s="1"/>
      <c r="G2" s="1" t="s">
        <v>1884</v>
      </c>
      <c r="H2" s="1" t="s">
        <v>1885</v>
      </c>
      <c r="I2" s="1" t="s">
        <v>1886</v>
      </c>
      <c r="J2" s="1" t="s">
        <v>1887</v>
      </c>
      <c r="K2" s="1" t="s">
        <v>1888</v>
      </c>
      <c r="L2" s="1" t="s">
        <v>1889</v>
      </c>
      <c r="M2" s="1" t="s">
        <v>1890</v>
      </c>
      <c r="N2" s="1" t="s">
        <v>1891</v>
      </c>
      <c r="O2" s="1" t="s">
        <v>1894</v>
      </c>
      <c r="P2" s="1" t="s">
        <v>1905</v>
      </c>
      <c r="Q2" s="1" t="s">
        <v>1896</v>
      </c>
      <c r="R2" s="1" t="s">
        <v>1897</v>
      </c>
      <c r="S2" s="1" t="s">
        <v>1934</v>
      </c>
      <c r="T2" s="1" t="s">
        <v>1935</v>
      </c>
      <c r="U2" s="1" t="s">
        <v>1936</v>
      </c>
      <c r="V2" s="1" t="s">
        <v>1937</v>
      </c>
      <c r="W2" s="1" t="s">
        <v>1938</v>
      </c>
      <c r="X2" s="1" t="s">
        <v>1939</v>
      </c>
      <c r="Y2" s="1" t="s">
        <v>1940</v>
      </c>
      <c r="Z2" s="1" t="s">
        <v>1941</v>
      </c>
      <c r="AA2" s="1" t="s">
        <v>1942</v>
      </c>
    </row>
    <row r="3" spans="1:28">
      <c r="A3" s="1">
        <v>129</v>
      </c>
      <c r="B3" s="2">
        <v>1695</v>
      </c>
      <c r="C3" s="2">
        <v>201</v>
      </c>
      <c r="D3" s="2" t="s">
        <v>1943</v>
      </c>
      <c r="E3" s="2" t="s">
        <v>44</v>
      </c>
      <c r="F3" s="2" t="str">
        <f>VLOOKUP(E3,Sheet1!E:G,3,0)</f>
        <v>心电监测</v>
      </c>
      <c r="G3" s="3"/>
      <c r="H3" s="2">
        <v>4.5</v>
      </c>
      <c r="I3" s="2">
        <v>4.1</v>
      </c>
      <c r="J3" s="2">
        <v>3.4</v>
      </c>
      <c r="K3" s="3"/>
      <c r="L3" s="2">
        <v>4.75</v>
      </c>
      <c r="M3" s="2">
        <v>4.5</v>
      </c>
      <c r="N3" s="2">
        <v>4</v>
      </c>
      <c r="O3" s="2">
        <v>1</v>
      </c>
      <c r="P3" s="2">
        <v>1</v>
      </c>
      <c r="Q3" s="2" t="s">
        <v>1944</v>
      </c>
      <c r="R3" s="2">
        <v>0</v>
      </c>
      <c r="S3" s="2">
        <v>7412090.9896</v>
      </c>
      <c r="T3" s="2">
        <v>6084371.9742</v>
      </c>
      <c r="U3" s="2">
        <v>503570.23</v>
      </c>
      <c r="V3" s="2">
        <v>1853022.7474</v>
      </c>
      <c r="W3" s="2">
        <v>2433748.78968</v>
      </c>
      <c r="X3" s="2">
        <v>302142.138</v>
      </c>
      <c r="Y3" s="2">
        <v>1853024.23676742</v>
      </c>
      <c r="Z3" s="2">
        <v>2414171.373678</v>
      </c>
      <c r="AA3" s="2">
        <v>302142.139998</v>
      </c>
      <c r="AB3">
        <f>VLOOKUP(E3,'1'!V:W,2,0)</f>
        <v>1</v>
      </c>
    </row>
    <row r="4" spans="1:28">
      <c r="A4" s="1">
        <v>130</v>
      </c>
      <c r="B4" s="2">
        <v>1695</v>
      </c>
      <c r="C4" s="2">
        <v>201</v>
      </c>
      <c r="D4" s="2" t="s">
        <v>1943</v>
      </c>
      <c r="E4" s="2" t="s">
        <v>47</v>
      </c>
      <c r="F4" s="2" t="e">
        <f>VLOOKUP(E4,Sheet1!E:G,3,0)</f>
        <v>#N/A</v>
      </c>
      <c r="G4" s="3"/>
      <c r="H4" s="2">
        <v>4.5</v>
      </c>
      <c r="I4" s="2">
        <v>4.1</v>
      </c>
      <c r="J4" s="2">
        <v>3.4</v>
      </c>
      <c r="K4" s="3"/>
      <c r="L4" s="2">
        <v>4.75</v>
      </c>
      <c r="M4" s="2">
        <v>4.5</v>
      </c>
      <c r="N4" s="2">
        <v>4</v>
      </c>
      <c r="O4" s="2">
        <v>1</v>
      </c>
      <c r="P4" s="2">
        <v>1</v>
      </c>
      <c r="Q4" s="2" t="s">
        <v>1944</v>
      </c>
      <c r="R4" s="2">
        <v>0</v>
      </c>
      <c r="S4" s="2">
        <v>745773.64</v>
      </c>
      <c r="T4" s="2">
        <v>1389709.8716</v>
      </c>
      <c r="U4" s="2">
        <v>9599</v>
      </c>
      <c r="V4" s="2">
        <v>186443.41</v>
      </c>
      <c r="W4" s="2">
        <v>555883.94864</v>
      </c>
      <c r="X4" s="2">
        <v>5759.4</v>
      </c>
      <c r="Y4" s="2">
        <v>186443.41</v>
      </c>
      <c r="Z4" s="2">
        <v>565663.15864</v>
      </c>
      <c r="AA4" s="2">
        <v>5759.4</v>
      </c>
      <c r="AB4">
        <f>VLOOKUP(E4,'1'!V:W,2,0)</f>
        <v>2</v>
      </c>
    </row>
    <row r="5" spans="1:28">
      <c r="A5" s="1">
        <v>131</v>
      </c>
      <c r="B5" s="2">
        <v>1695</v>
      </c>
      <c r="C5" s="2">
        <v>201</v>
      </c>
      <c r="D5" s="2" t="s">
        <v>1943</v>
      </c>
      <c r="E5" s="2" t="s">
        <v>49</v>
      </c>
      <c r="F5" s="2" t="e">
        <f>VLOOKUP(E5,Sheet1!E:G,3,0)</f>
        <v>#N/A</v>
      </c>
      <c r="G5" s="3"/>
      <c r="H5" s="2">
        <v>4.5</v>
      </c>
      <c r="I5" s="2">
        <v>4.1</v>
      </c>
      <c r="J5" s="2">
        <v>3.4</v>
      </c>
      <c r="K5" s="3"/>
      <c r="L5" s="2">
        <v>4.75</v>
      </c>
      <c r="M5" s="2">
        <v>4.5</v>
      </c>
      <c r="N5" s="2">
        <v>4</v>
      </c>
      <c r="O5" s="2">
        <v>1</v>
      </c>
      <c r="P5" s="2">
        <v>1</v>
      </c>
      <c r="Q5" s="2" t="s">
        <v>1944</v>
      </c>
      <c r="R5" s="2">
        <v>0</v>
      </c>
      <c r="S5" s="2">
        <v>8129172.9107</v>
      </c>
      <c r="T5" s="2">
        <v>5537951.3542</v>
      </c>
      <c r="U5" s="2">
        <v>505076.74</v>
      </c>
      <c r="V5" s="2">
        <v>2032293.227675</v>
      </c>
      <c r="W5" s="2">
        <v>2215180.54168</v>
      </c>
      <c r="X5" s="2">
        <v>303046.044</v>
      </c>
      <c r="Y5" s="2">
        <v>2032308.21473816</v>
      </c>
      <c r="Z5" s="2">
        <v>2183592.153926</v>
      </c>
      <c r="AA5" s="2">
        <v>303046.045998</v>
      </c>
      <c r="AB5">
        <f>VLOOKUP(E5,'1'!V:W,2,0)</f>
        <v>3</v>
      </c>
    </row>
    <row r="6" spans="1:28">
      <c r="A6" s="1">
        <v>128</v>
      </c>
      <c r="B6" s="2">
        <v>1695</v>
      </c>
      <c r="C6" s="2">
        <v>201</v>
      </c>
      <c r="D6" s="2" t="s">
        <v>1943</v>
      </c>
      <c r="E6" s="2" t="s">
        <v>51</v>
      </c>
      <c r="F6" s="2" t="e">
        <f>VLOOKUP(E6,Sheet1!E:G,3,0)</f>
        <v>#N/A</v>
      </c>
      <c r="G6" s="3"/>
      <c r="H6" s="2">
        <v>70</v>
      </c>
      <c r="I6" s="2">
        <v>70</v>
      </c>
      <c r="J6" s="2">
        <v>59.5</v>
      </c>
      <c r="K6" s="3"/>
      <c r="L6" s="2">
        <v>4.75</v>
      </c>
      <c r="M6" s="2">
        <v>4.5</v>
      </c>
      <c r="N6" s="2">
        <v>4</v>
      </c>
      <c r="O6" s="2">
        <v>1</v>
      </c>
      <c r="P6" s="2">
        <v>1</v>
      </c>
      <c r="Q6" s="2" t="s">
        <v>1944</v>
      </c>
      <c r="R6" s="2">
        <v>0</v>
      </c>
      <c r="S6" s="2">
        <v>6217</v>
      </c>
      <c r="T6" s="2">
        <v>9530</v>
      </c>
      <c r="U6" s="2">
        <v>0</v>
      </c>
      <c r="V6" s="2">
        <v>-405659.25</v>
      </c>
      <c r="W6" s="2">
        <v>-624215</v>
      </c>
      <c r="X6" s="2">
        <v>0</v>
      </c>
      <c r="Y6" s="2">
        <v>-405659.25</v>
      </c>
      <c r="Z6" s="2">
        <v>-624215</v>
      </c>
      <c r="AA6" s="2">
        <v>0</v>
      </c>
      <c r="AB6">
        <f>VLOOKUP(E6,'1'!V:W,2,0)</f>
        <v>4</v>
      </c>
    </row>
    <row r="7" spans="1:28">
      <c r="A7" s="1">
        <v>132</v>
      </c>
      <c r="B7" s="2">
        <v>1696</v>
      </c>
      <c r="C7" s="2">
        <v>201</v>
      </c>
      <c r="D7" s="2" t="s">
        <v>1943</v>
      </c>
      <c r="E7" s="2" t="s">
        <v>60</v>
      </c>
      <c r="F7" s="2" t="str">
        <f>VLOOKUP(E7,Sheet1!E:G,3,0)</f>
        <v>心电监测电话传输</v>
      </c>
      <c r="G7" s="3"/>
      <c r="H7" s="2">
        <v>57.5</v>
      </c>
      <c r="I7" s="2">
        <v>50</v>
      </c>
      <c r="J7" s="2">
        <v>42.5</v>
      </c>
      <c r="K7" s="3"/>
      <c r="L7" s="2">
        <v>180.5</v>
      </c>
      <c r="M7" s="2">
        <v>171</v>
      </c>
      <c r="N7" s="2">
        <v>152</v>
      </c>
      <c r="O7" s="2">
        <v>1</v>
      </c>
      <c r="P7" s="2">
        <v>1</v>
      </c>
      <c r="Q7" s="2" t="s">
        <v>1901</v>
      </c>
      <c r="R7" s="2">
        <v>0</v>
      </c>
      <c r="S7" s="2">
        <v>2</v>
      </c>
      <c r="T7" s="2">
        <v>1</v>
      </c>
      <c r="U7" s="2">
        <v>0</v>
      </c>
      <c r="V7" s="2">
        <v>246</v>
      </c>
      <c r="W7" s="2">
        <v>121</v>
      </c>
      <c r="X7" s="2">
        <v>0</v>
      </c>
      <c r="Y7" s="2">
        <v>246</v>
      </c>
      <c r="Z7" s="2">
        <v>121</v>
      </c>
      <c r="AA7" s="2">
        <v>0</v>
      </c>
      <c r="AB7">
        <f>VLOOKUP(E7,'1'!V:W,2,0)</f>
        <v>5</v>
      </c>
    </row>
    <row r="8" spans="1:28">
      <c r="A8" s="1">
        <v>28</v>
      </c>
      <c r="B8" s="2">
        <v>0</v>
      </c>
      <c r="C8" s="2">
        <v>201</v>
      </c>
      <c r="D8" s="2" t="s">
        <v>1943</v>
      </c>
      <c r="E8" s="2" t="s">
        <v>72</v>
      </c>
      <c r="F8" s="2" t="str">
        <f>VLOOKUP(E8,Sheet1!E:G,3,0)</f>
        <v>常规心电图检查</v>
      </c>
      <c r="G8" s="3"/>
      <c r="H8" s="2">
        <v>11.5</v>
      </c>
      <c r="I8" s="2">
        <v>10</v>
      </c>
      <c r="J8" s="2">
        <v>8.5</v>
      </c>
      <c r="K8" s="3"/>
      <c r="L8" s="2">
        <v>27</v>
      </c>
      <c r="M8" s="2">
        <v>25</v>
      </c>
      <c r="N8" s="2">
        <v>23</v>
      </c>
      <c r="O8" s="2">
        <v>1</v>
      </c>
      <c r="P8" s="2">
        <v>1</v>
      </c>
      <c r="Q8" s="2" t="s">
        <v>1901</v>
      </c>
      <c r="R8" s="2">
        <v>0</v>
      </c>
      <c r="S8" s="2">
        <v>172048.75</v>
      </c>
      <c r="T8" s="2">
        <v>218444.5678</v>
      </c>
      <c r="U8" s="2">
        <v>113107.6</v>
      </c>
      <c r="V8" s="2">
        <v>2666755.625</v>
      </c>
      <c r="W8" s="2">
        <v>3276668.517</v>
      </c>
      <c r="X8" s="2">
        <v>1640060.2</v>
      </c>
      <c r="Y8" s="2">
        <v>2666755.625</v>
      </c>
      <c r="Z8" s="2">
        <v>3268794.14</v>
      </c>
      <c r="AA8" s="2">
        <v>1640060.2</v>
      </c>
      <c r="AB8">
        <f>VLOOKUP(E8,'1'!V:W,2,0)</f>
        <v>7</v>
      </c>
    </row>
    <row r="9" spans="1:28">
      <c r="A9" s="1">
        <v>15</v>
      </c>
      <c r="B9" s="2">
        <v>0</v>
      </c>
      <c r="C9" s="2">
        <v>201</v>
      </c>
      <c r="D9" s="2" t="s">
        <v>1943</v>
      </c>
      <c r="E9" s="2" t="s">
        <v>76</v>
      </c>
      <c r="F9" s="2" t="str">
        <f>VLOOKUP(E9,Sheet1!E:G,3,0)</f>
        <v>常规心电图检查（十二通道加收）</v>
      </c>
      <c r="G9" s="3"/>
      <c r="H9" s="2">
        <v>11.5</v>
      </c>
      <c r="I9" s="2">
        <v>10</v>
      </c>
      <c r="J9" s="2">
        <v>8.5</v>
      </c>
      <c r="K9" s="3"/>
      <c r="L9" s="2">
        <v>0</v>
      </c>
      <c r="M9" s="2">
        <v>0</v>
      </c>
      <c r="N9" s="2">
        <v>0</v>
      </c>
      <c r="O9" s="2">
        <v>1</v>
      </c>
      <c r="P9" s="2">
        <v>1</v>
      </c>
      <c r="Q9" s="2" t="s">
        <v>1901</v>
      </c>
      <c r="R9" s="2">
        <v>0</v>
      </c>
      <c r="S9" s="2">
        <v>210531.4129</v>
      </c>
      <c r="T9" s="2">
        <v>249270.6595</v>
      </c>
      <c r="U9" s="2">
        <v>111632.3</v>
      </c>
      <c r="V9" s="2">
        <v>-2421111.24835</v>
      </c>
      <c r="W9" s="2">
        <v>-2492706.595</v>
      </c>
      <c r="X9" s="2">
        <v>-948874.55</v>
      </c>
      <c r="Y9" s="2">
        <v>-2421111.24835</v>
      </c>
      <c r="Z9" s="2">
        <v>-2501025.55</v>
      </c>
      <c r="AA9" s="2">
        <v>-948874.55</v>
      </c>
      <c r="AB9">
        <f>VLOOKUP(E9,'1'!V:W,2,0)</f>
        <v>8</v>
      </c>
    </row>
    <row r="10" spans="1:28">
      <c r="A10" s="1">
        <v>87</v>
      </c>
      <c r="B10" s="2">
        <v>0</v>
      </c>
      <c r="C10" s="2">
        <v>201</v>
      </c>
      <c r="D10" s="2" t="s">
        <v>1943</v>
      </c>
      <c r="E10" s="2" t="s">
        <v>79</v>
      </c>
      <c r="F10" s="2" t="str">
        <f>VLOOKUP(E10,Sheet1!E:G,3,0)</f>
        <v>常规心电图检查（床边）</v>
      </c>
      <c r="G10" s="3"/>
      <c r="H10" s="2">
        <v>23</v>
      </c>
      <c r="I10" s="2">
        <v>20</v>
      </c>
      <c r="J10" s="2">
        <v>17</v>
      </c>
      <c r="K10" s="3"/>
      <c r="L10" s="2">
        <v>0</v>
      </c>
      <c r="M10" s="2">
        <v>0</v>
      </c>
      <c r="N10" s="2">
        <v>0</v>
      </c>
      <c r="O10" s="2">
        <v>1</v>
      </c>
      <c r="P10" s="2">
        <v>1</v>
      </c>
      <c r="Q10" s="2" t="s">
        <v>1901</v>
      </c>
      <c r="R10" s="2">
        <v>0</v>
      </c>
      <c r="S10" s="2">
        <v>41294.7629</v>
      </c>
      <c r="T10" s="2">
        <v>49956.2323</v>
      </c>
      <c r="U10" s="2">
        <v>6406.8</v>
      </c>
      <c r="V10" s="2">
        <v>-949779.5467</v>
      </c>
      <c r="W10" s="2">
        <v>-999124.646</v>
      </c>
      <c r="X10" s="2">
        <v>-108915.6</v>
      </c>
      <c r="Y10" s="2">
        <v>-949774.9467</v>
      </c>
      <c r="Z10" s="2">
        <v>-999517.846</v>
      </c>
      <c r="AA10" s="2">
        <v>-106187.1</v>
      </c>
      <c r="AB10">
        <f>VLOOKUP(E10,'1'!V:W,2,0)</f>
        <v>9</v>
      </c>
    </row>
    <row r="11" spans="1:28">
      <c r="A11" s="1">
        <v>120</v>
      </c>
      <c r="B11" s="2">
        <v>0</v>
      </c>
      <c r="C11" s="2">
        <v>201</v>
      </c>
      <c r="D11" s="2" t="s">
        <v>1943</v>
      </c>
      <c r="E11" s="2" t="s">
        <v>93</v>
      </c>
      <c r="F11" s="2" t="str">
        <f>VLOOKUP(E11,Sheet1!E:G,3,0)</f>
        <v>常规心电图检查（附加导联加收）</v>
      </c>
      <c r="G11" s="3"/>
      <c r="H11" s="2">
        <v>2.3</v>
      </c>
      <c r="I11" s="2">
        <v>2</v>
      </c>
      <c r="J11" s="2">
        <v>1.7</v>
      </c>
      <c r="K11" s="3"/>
      <c r="L11" s="2">
        <v>2</v>
      </c>
      <c r="M11" s="2">
        <v>1.9</v>
      </c>
      <c r="N11" s="2">
        <v>1.8</v>
      </c>
      <c r="O11" s="2">
        <v>1</v>
      </c>
      <c r="P11" s="2">
        <v>1</v>
      </c>
      <c r="Q11" s="2" t="s">
        <v>1901</v>
      </c>
      <c r="R11" s="2">
        <v>0</v>
      </c>
      <c r="S11" s="2">
        <v>916</v>
      </c>
      <c r="T11" s="2">
        <v>9583</v>
      </c>
      <c r="U11" s="2">
        <v>2417.2</v>
      </c>
      <c r="V11" s="2">
        <v>-274.8</v>
      </c>
      <c r="W11" s="2">
        <v>-958.3</v>
      </c>
      <c r="X11" s="2">
        <v>241.72</v>
      </c>
      <c r="Y11" s="2">
        <v>-274.8</v>
      </c>
      <c r="Z11" s="2">
        <v>-1009</v>
      </c>
      <c r="AA11" s="2">
        <v>241.72</v>
      </c>
      <c r="AB11">
        <f>VLOOKUP(E11,'1'!V:W,2,0)</f>
        <v>13</v>
      </c>
    </row>
    <row r="12" spans="1:28">
      <c r="A12" s="1">
        <v>119</v>
      </c>
      <c r="B12" s="2">
        <v>0</v>
      </c>
      <c r="C12" s="2">
        <v>201</v>
      </c>
      <c r="D12" s="2" t="s">
        <v>1943</v>
      </c>
      <c r="E12" s="2" t="s">
        <v>99</v>
      </c>
      <c r="F12" s="2" t="str">
        <f>VLOOKUP(E12,Sheet1!E:G,3,0)</f>
        <v>心室晚电位</v>
      </c>
      <c r="G12" s="3"/>
      <c r="H12" s="2">
        <v>69</v>
      </c>
      <c r="I12" s="2">
        <v>60</v>
      </c>
      <c r="J12" s="2">
        <v>51</v>
      </c>
      <c r="K12" s="3"/>
      <c r="L12" s="2">
        <v>15</v>
      </c>
      <c r="M12" s="2">
        <v>14</v>
      </c>
      <c r="N12" s="2">
        <v>13</v>
      </c>
      <c r="O12" s="2">
        <v>1</v>
      </c>
      <c r="P12" s="2">
        <v>1</v>
      </c>
      <c r="Q12" s="2" t="s">
        <v>1901</v>
      </c>
      <c r="R12" s="2">
        <v>0</v>
      </c>
      <c r="S12" s="2">
        <v>0</v>
      </c>
      <c r="T12" s="2">
        <v>0</v>
      </c>
      <c r="U12" s="2">
        <v>197</v>
      </c>
      <c r="V12" s="2">
        <v>0</v>
      </c>
      <c r="W12" s="2">
        <v>0</v>
      </c>
      <c r="X12" s="2">
        <v>-7486</v>
      </c>
      <c r="Y12" s="2">
        <v>0</v>
      </c>
      <c r="Z12" s="2">
        <v>0</v>
      </c>
      <c r="AA12" s="2">
        <v>-7486</v>
      </c>
      <c r="AB12">
        <f>VLOOKUP(E12,'1'!V:W,2,0)</f>
        <v>14</v>
      </c>
    </row>
    <row r="13" spans="1:28">
      <c r="A13" s="1">
        <v>3</v>
      </c>
      <c r="B13" s="2">
        <v>0</v>
      </c>
      <c r="C13" s="2">
        <v>201</v>
      </c>
      <c r="D13" s="2" t="s">
        <v>1943</v>
      </c>
      <c r="E13" s="2" t="s">
        <v>106</v>
      </c>
      <c r="F13" s="2" t="str">
        <f>VLOOKUP(E13,Sheet1!E:G,3,0)</f>
        <v>心电向量图</v>
      </c>
      <c r="G13" s="3"/>
      <c r="H13" s="2">
        <v>34.5</v>
      </c>
      <c r="I13" s="2">
        <v>30</v>
      </c>
      <c r="J13" s="2">
        <v>25.5</v>
      </c>
      <c r="K13" s="3"/>
      <c r="L13" s="2">
        <v>27</v>
      </c>
      <c r="M13" s="2">
        <v>25</v>
      </c>
      <c r="N13" s="2">
        <v>23</v>
      </c>
      <c r="O13" s="2">
        <v>1</v>
      </c>
      <c r="P13" s="2">
        <v>1</v>
      </c>
      <c r="Q13" s="2" t="s">
        <v>1901</v>
      </c>
      <c r="R13" s="2">
        <v>0</v>
      </c>
      <c r="S13" s="2">
        <v>0</v>
      </c>
      <c r="T13" s="2">
        <v>0</v>
      </c>
      <c r="U13" s="2">
        <v>1</v>
      </c>
      <c r="V13" s="2">
        <v>0</v>
      </c>
      <c r="W13" s="2">
        <v>0</v>
      </c>
      <c r="X13" s="2">
        <v>-2.5</v>
      </c>
      <c r="Y13" s="2">
        <v>0</v>
      </c>
      <c r="Z13" s="2">
        <v>0</v>
      </c>
      <c r="AA13" s="2">
        <v>-2.5</v>
      </c>
      <c r="AB13">
        <f>VLOOKUP(E13,'1'!V:W,2,0)</f>
        <v>16</v>
      </c>
    </row>
    <row r="14" spans="1:28">
      <c r="A14" s="1">
        <v>105</v>
      </c>
      <c r="B14" s="2">
        <v>0</v>
      </c>
      <c r="C14" s="2">
        <v>201</v>
      </c>
      <c r="D14" s="2" t="s">
        <v>1943</v>
      </c>
      <c r="E14" s="2" t="s">
        <v>117</v>
      </c>
      <c r="F14" s="2" t="str">
        <f>VLOOKUP(E14,Sheet1!E:G,3,0)</f>
        <v>心率变异性分析</v>
      </c>
      <c r="G14" s="3"/>
      <c r="H14" s="2">
        <v>92</v>
      </c>
      <c r="I14" s="2">
        <v>80</v>
      </c>
      <c r="J14" s="2">
        <v>68</v>
      </c>
      <c r="K14" s="3"/>
      <c r="L14" s="2">
        <v>80</v>
      </c>
      <c r="M14" s="2">
        <v>72</v>
      </c>
      <c r="N14" s="2">
        <v>65</v>
      </c>
      <c r="O14" s="2">
        <v>1</v>
      </c>
      <c r="P14" s="2">
        <v>1</v>
      </c>
      <c r="Q14" s="2" t="s">
        <v>1901</v>
      </c>
      <c r="R14" s="2">
        <v>0</v>
      </c>
      <c r="S14" s="2">
        <v>22415.79</v>
      </c>
      <c r="T14" s="2">
        <v>14062.8</v>
      </c>
      <c r="U14" s="2">
        <v>2596.1</v>
      </c>
      <c r="V14" s="2">
        <v>-268989.48</v>
      </c>
      <c r="W14" s="2">
        <v>-112502.4</v>
      </c>
      <c r="X14" s="2">
        <v>-7788.3</v>
      </c>
      <c r="Y14" s="2">
        <v>-268989.48</v>
      </c>
      <c r="Z14" s="2">
        <v>-110558.4</v>
      </c>
      <c r="AA14" s="2">
        <v>-7788.3</v>
      </c>
      <c r="AB14">
        <f>VLOOKUP(E14,'1'!V:W,2,0)</f>
        <v>18</v>
      </c>
    </row>
    <row r="15" spans="1:28">
      <c r="A15" s="1">
        <v>68</v>
      </c>
      <c r="B15" s="2">
        <v>0</v>
      </c>
      <c r="C15" s="2">
        <v>201</v>
      </c>
      <c r="D15" s="2" t="s">
        <v>1943</v>
      </c>
      <c r="E15" s="2" t="s">
        <v>121</v>
      </c>
      <c r="F15" s="2" t="str">
        <f>VLOOKUP(E15,Sheet1!E:G,3,0)</f>
        <v>心率变异性分析（超过24小时加收）</v>
      </c>
      <c r="G15" s="3"/>
      <c r="H15" s="2">
        <v>17.3</v>
      </c>
      <c r="I15" s="2">
        <v>15</v>
      </c>
      <c r="J15" s="2">
        <v>12.8</v>
      </c>
      <c r="K15" s="3"/>
      <c r="L15" s="2">
        <v>0</v>
      </c>
      <c r="M15" s="2">
        <v>0</v>
      </c>
      <c r="N15" s="2">
        <v>0</v>
      </c>
      <c r="O15" s="2">
        <v>1</v>
      </c>
      <c r="P15" s="2">
        <v>1</v>
      </c>
      <c r="Q15" s="2" t="s">
        <v>1901</v>
      </c>
      <c r="R15" s="2">
        <v>0</v>
      </c>
      <c r="S15" s="2">
        <v>0</v>
      </c>
      <c r="T15" s="2">
        <v>0.5</v>
      </c>
      <c r="U15" s="2">
        <v>3</v>
      </c>
      <c r="V15" s="2">
        <v>0</v>
      </c>
      <c r="W15" s="2">
        <v>-7.5</v>
      </c>
      <c r="X15" s="2">
        <v>-38.4</v>
      </c>
      <c r="Y15" s="2">
        <v>0</v>
      </c>
      <c r="Z15" s="2">
        <v>-7.5</v>
      </c>
      <c r="AA15" s="2">
        <v>-38.4</v>
      </c>
      <c r="AB15">
        <f>VLOOKUP(E15,'1'!V:W,2,0)</f>
        <v>19</v>
      </c>
    </row>
    <row r="16" spans="1:28">
      <c r="A16" s="1">
        <v>12</v>
      </c>
      <c r="B16" s="2">
        <v>0</v>
      </c>
      <c r="C16" s="2">
        <v>201</v>
      </c>
      <c r="D16" s="2" t="s">
        <v>1943</v>
      </c>
      <c r="E16" s="2" t="s">
        <v>129</v>
      </c>
      <c r="F16" s="2" t="str">
        <f>VLOOKUP(E16,Sheet1!E:G,3,0)</f>
        <v>心电图踏车负荷试验</v>
      </c>
      <c r="G16" s="3"/>
      <c r="H16" s="2">
        <v>149.5</v>
      </c>
      <c r="I16" s="2">
        <v>130</v>
      </c>
      <c r="J16" s="2">
        <v>110.5</v>
      </c>
      <c r="K16" s="3"/>
      <c r="L16" s="2">
        <v>105</v>
      </c>
      <c r="M16" s="2">
        <v>95</v>
      </c>
      <c r="N16" s="2">
        <v>80</v>
      </c>
      <c r="O16" s="2">
        <v>1</v>
      </c>
      <c r="P16" s="2">
        <v>1</v>
      </c>
      <c r="Q16" s="2" t="s">
        <v>1901</v>
      </c>
      <c r="R16" s="2">
        <v>0</v>
      </c>
      <c r="S16" s="2">
        <v>100</v>
      </c>
      <c r="T16" s="2">
        <v>80</v>
      </c>
      <c r="U16" s="2">
        <v>0</v>
      </c>
      <c r="V16" s="2">
        <v>-4450</v>
      </c>
      <c r="W16" s="2">
        <v>-2800</v>
      </c>
      <c r="X16" s="2">
        <v>0</v>
      </c>
      <c r="Y16" s="2">
        <v>-4450</v>
      </c>
      <c r="Z16" s="2">
        <v>-2800</v>
      </c>
      <c r="AA16" s="2">
        <v>0</v>
      </c>
      <c r="AB16">
        <f>VLOOKUP(E16,'1'!V:W,2,0)</f>
        <v>20</v>
      </c>
    </row>
    <row r="17" spans="1:28">
      <c r="A17" s="1">
        <v>95</v>
      </c>
      <c r="B17" s="2">
        <v>0</v>
      </c>
      <c r="C17" s="2">
        <v>201</v>
      </c>
      <c r="D17" s="2" t="s">
        <v>1943</v>
      </c>
      <c r="E17" s="2" t="s">
        <v>133</v>
      </c>
      <c r="F17" s="2" t="str">
        <f>VLOOKUP(E17,Sheet1!E:G,3,0)</f>
        <v>心电图踏车负荷试验（二阶梯）</v>
      </c>
      <c r="G17" s="3"/>
      <c r="H17" s="2">
        <v>34.5</v>
      </c>
      <c r="I17" s="2">
        <v>30</v>
      </c>
      <c r="J17" s="2">
        <v>25.5</v>
      </c>
      <c r="K17" s="3"/>
      <c r="L17" s="2">
        <v>105</v>
      </c>
      <c r="M17" s="2">
        <v>95</v>
      </c>
      <c r="N17" s="2">
        <v>80</v>
      </c>
      <c r="O17" s="2">
        <v>1</v>
      </c>
      <c r="P17" s="2">
        <v>1</v>
      </c>
      <c r="Q17" s="2" t="s">
        <v>1901</v>
      </c>
      <c r="R17" s="2">
        <v>0</v>
      </c>
      <c r="S17" s="2">
        <v>58</v>
      </c>
      <c r="T17" s="2">
        <v>0</v>
      </c>
      <c r="U17" s="2">
        <v>0</v>
      </c>
      <c r="V17" s="2">
        <v>4089</v>
      </c>
      <c r="W17" s="2">
        <v>0</v>
      </c>
      <c r="X17" s="2">
        <v>0</v>
      </c>
      <c r="Y17" s="2">
        <v>4089</v>
      </c>
      <c r="Z17" s="2">
        <v>0</v>
      </c>
      <c r="AA17" s="2">
        <v>0</v>
      </c>
      <c r="AB17">
        <f>VLOOKUP(E17,'1'!V:W,2,0)</f>
        <v>21</v>
      </c>
    </row>
    <row r="18" spans="1:28">
      <c r="A18" s="1">
        <v>69</v>
      </c>
      <c r="B18" s="2">
        <v>0</v>
      </c>
      <c r="C18" s="2">
        <v>201</v>
      </c>
      <c r="D18" s="2" t="s">
        <v>1943</v>
      </c>
      <c r="E18" s="2" t="s">
        <v>136</v>
      </c>
      <c r="F18" s="2" t="str">
        <f>VLOOKUP(E18,Sheet1!E:G,3,0)</f>
        <v>心电图药物负荷试验</v>
      </c>
      <c r="G18" s="3"/>
      <c r="H18" s="2">
        <v>51.8</v>
      </c>
      <c r="I18" s="2">
        <v>45</v>
      </c>
      <c r="J18" s="2">
        <v>38.3</v>
      </c>
      <c r="K18" s="3"/>
      <c r="L18" s="2">
        <v>105</v>
      </c>
      <c r="M18" s="2">
        <v>95</v>
      </c>
      <c r="N18" s="2">
        <v>80</v>
      </c>
      <c r="O18" s="2">
        <v>1</v>
      </c>
      <c r="P18" s="2">
        <v>1</v>
      </c>
      <c r="Q18" s="2" t="s">
        <v>1901</v>
      </c>
      <c r="R18" s="2">
        <v>0</v>
      </c>
      <c r="S18" s="2">
        <v>75</v>
      </c>
      <c r="T18" s="2">
        <v>197</v>
      </c>
      <c r="U18" s="2">
        <v>0</v>
      </c>
      <c r="V18" s="2">
        <v>3990</v>
      </c>
      <c r="W18" s="2">
        <v>9850</v>
      </c>
      <c r="X18" s="2">
        <v>0</v>
      </c>
      <c r="Y18" s="2">
        <v>3990</v>
      </c>
      <c r="Z18" s="2">
        <v>9537.2</v>
      </c>
      <c r="AA18" s="2">
        <v>0</v>
      </c>
      <c r="AB18">
        <f>VLOOKUP(E18,'1'!V:W,2,0)</f>
        <v>22</v>
      </c>
    </row>
    <row r="19" spans="1:28">
      <c r="A19" s="1">
        <v>55</v>
      </c>
      <c r="B19" s="2">
        <v>0</v>
      </c>
      <c r="C19" s="2">
        <v>201</v>
      </c>
      <c r="D19" s="2" t="s">
        <v>1943</v>
      </c>
      <c r="E19" s="2" t="s">
        <v>143</v>
      </c>
      <c r="F19" s="2" t="str">
        <f>VLOOKUP(E19,Sheet1!E:G,3,0)</f>
        <v>动态心电图</v>
      </c>
      <c r="G19" s="3"/>
      <c r="H19" s="2">
        <v>172.5</v>
      </c>
      <c r="I19" s="2">
        <v>150</v>
      </c>
      <c r="J19" s="2">
        <v>127.5</v>
      </c>
      <c r="K19" s="3"/>
      <c r="L19" s="2">
        <v>150</v>
      </c>
      <c r="M19" s="2">
        <v>135</v>
      </c>
      <c r="N19" s="2">
        <v>120</v>
      </c>
      <c r="O19" s="2">
        <v>1</v>
      </c>
      <c r="P19" s="2">
        <v>1</v>
      </c>
      <c r="Q19" s="2" t="s">
        <v>1901</v>
      </c>
      <c r="R19" s="2">
        <v>0</v>
      </c>
      <c r="S19" s="2">
        <v>25174.69</v>
      </c>
      <c r="T19" s="2">
        <v>14614.3</v>
      </c>
      <c r="U19" s="2">
        <v>2519.1</v>
      </c>
      <c r="V19" s="2">
        <v>-566430.525</v>
      </c>
      <c r="W19" s="2">
        <v>-219214.5</v>
      </c>
      <c r="X19" s="2">
        <v>-18893.25</v>
      </c>
      <c r="Y19" s="2">
        <v>-566430.525</v>
      </c>
      <c r="Z19" s="2">
        <v>-218562</v>
      </c>
      <c r="AA19" s="2">
        <v>-18893.25</v>
      </c>
      <c r="AB19">
        <f>VLOOKUP(E19,'1'!V:W,2,0)</f>
        <v>23</v>
      </c>
    </row>
    <row r="20" spans="1:28">
      <c r="A20" s="1">
        <v>7</v>
      </c>
      <c r="B20" s="2">
        <v>0</v>
      </c>
      <c r="C20" s="2">
        <v>201</v>
      </c>
      <c r="D20" s="2" t="s">
        <v>1943</v>
      </c>
      <c r="E20" s="2" t="s">
        <v>154</v>
      </c>
      <c r="F20" s="2" t="str">
        <f>VLOOKUP(E20,Sheet1!E:G,3,0)</f>
        <v>经食管心脏调搏术</v>
      </c>
      <c r="G20" s="3"/>
      <c r="H20" s="2">
        <v>138</v>
      </c>
      <c r="I20" s="2">
        <v>120</v>
      </c>
      <c r="J20" s="2">
        <v>102</v>
      </c>
      <c r="K20" s="3"/>
      <c r="L20" s="2">
        <v>132</v>
      </c>
      <c r="M20" s="2">
        <v>119</v>
      </c>
      <c r="N20" s="2">
        <v>102</v>
      </c>
      <c r="O20" s="2">
        <v>1</v>
      </c>
      <c r="P20" s="2">
        <v>1</v>
      </c>
      <c r="Q20" s="2" t="s">
        <v>1901</v>
      </c>
      <c r="R20" s="2">
        <v>0</v>
      </c>
      <c r="S20" s="2">
        <v>52</v>
      </c>
      <c r="T20" s="2">
        <v>9</v>
      </c>
      <c r="U20" s="2">
        <v>0</v>
      </c>
      <c r="V20" s="2">
        <v>-312</v>
      </c>
      <c r="W20" s="2">
        <v>-9</v>
      </c>
      <c r="X20" s="2">
        <v>0</v>
      </c>
      <c r="Y20" s="2">
        <v>-312</v>
      </c>
      <c r="Z20" s="2">
        <v>-9</v>
      </c>
      <c r="AA20" s="2">
        <v>0</v>
      </c>
      <c r="AB20">
        <f>VLOOKUP(E20,'1'!V:W,2,0)</f>
        <v>25</v>
      </c>
    </row>
    <row r="21" spans="1:28">
      <c r="A21" s="1">
        <v>9</v>
      </c>
      <c r="B21" s="2">
        <v>0</v>
      </c>
      <c r="C21" s="2">
        <v>201</v>
      </c>
      <c r="D21" s="2" t="s">
        <v>1943</v>
      </c>
      <c r="E21" s="2" t="s">
        <v>163</v>
      </c>
      <c r="F21" s="2" t="str">
        <f>VLOOKUP(E21,Sheet1!E:G,3,0)</f>
        <v>经食管心脏起搏术</v>
      </c>
      <c r="G21" s="3"/>
      <c r="H21" s="2">
        <v>138</v>
      </c>
      <c r="I21" s="2">
        <v>120</v>
      </c>
      <c r="J21" s="2">
        <v>102</v>
      </c>
      <c r="K21" s="3"/>
      <c r="L21" s="2">
        <v>132</v>
      </c>
      <c r="M21" s="2">
        <v>119</v>
      </c>
      <c r="N21" s="2">
        <v>102</v>
      </c>
      <c r="O21" s="2">
        <v>1</v>
      </c>
      <c r="P21" s="2">
        <v>1</v>
      </c>
      <c r="Q21" s="2" t="s">
        <v>1901</v>
      </c>
      <c r="R21" s="2">
        <v>0</v>
      </c>
      <c r="S21" s="2">
        <v>1</v>
      </c>
      <c r="T21" s="2">
        <v>0</v>
      </c>
      <c r="U21" s="2">
        <v>0</v>
      </c>
      <c r="V21" s="2">
        <v>-6</v>
      </c>
      <c r="W21" s="2">
        <v>0</v>
      </c>
      <c r="X21" s="2">
        <v>0</v>
      </c>
      <c r="Y21" s="2">
        <v>-6</v>
      </c>
      <c r="Z21" s="2">
        <v>0</v>
      </c>
      <c r="AA21" s="2">
        <v>0</v>
      </c>
      <c r="AB21">
        <f>VLOOKUP(E21,'1'!V:W,2,0)</f>
        <v>26</v>
      </c>
    </row>
    <row r="22" spans="1:28">
      <c r="A22" s="1">
        <v>123</v>
      </c>
      <c r="B22" s="2">
        <v>0</v>
      </c>
      <c r="C22" s="2">
        <v>201</v>
      </c>
      <c r="D22" s="2" t="s">
        <v>1943</v>
      </c>
      <c r="E22" s="2" t="s">
        <v>177</v>
      </c>
      <c r="F22" s="2" t="str">
        <f>VLOOKUP(E22,Sheet1!E:G,3,0)</f>
        <v>倾斜试验</v>
      </c>
      <c r="G22" s="3"/>
      <c r="H22" s="2">
        <v>184</v>
      </c>
      <c r="I22" s="2">
        <v>160</v>
      </c>
      <c r="J22" s="2">
        <v>136</v>
      </c>
      <c r="K22" s="3"/>
      <c r="L22" s="2">
        <v>160</v>
      </c>
      <c r="M22" s="2">
        <v>144</v>
      </c>
      <c r="N22" s="2">
        <v>125</v>
      </c>
      <c r="O22" s="2">
        <v>1</v>
      </c>
      <c r="P22" s="2">
        <v>1</v>
      </c>
      <c r="Q22" s="2" t="s">
        <v>1901</v>
      </c>
      <c r="R22" s="2">
        <v>0</v>
      </c>
      <c r="S22" s="2">
        <v>62</v>
      </c>
      <c r="T22" s="2">
        <v>0</v>
      </c>
      <c r="U22" s="2">
        <v>0</v>
      </c>
      <c r="V22" s="2">
        <v>-1488</v>
      </c>
      <c r="W22" s="2">
        <v>0</v>
      </c>
      <c r="X22" s="2">
        <v>0</v>
      </c>
      <c r="Y22" s="2">
        <v>-1488</v>
      </c>
      <c r="Z22" s="2">
        <v>0</v>
      </c>
      <c r="AA22" s="2">
        <v>0</v>
      </c>
      <c r="AB22">
        <f>VLOOKUP(E22,'1'!V:W,2,0)</f>
        <v>28</v>
      </c>
    </row>
    <row r="23" spans="1:28">
      <c r="A23" s="1">
        <v>102</v>
      </c>
      <c r="B23" s="2">
        <v>0</v>
      </c>
      <c r="C23" s="2">
        <v>201</v>
      </c>
      <c r="D23" s="2" t="s">
        <v>1943</v>
      </c>
      <c r="E23" s="2" t="s">
        <v>184</v>
      </c>
      <c r="F23" s="2" t="str">
        <f>VLOOKUP(E23,Sheet1!E:G,3,0)</f>
        <v>6分钟步行测试</v>
      </c>
      <c r="G23" s="3"/>
      <c r="H23" s="2">
        <v>36</v>
      </c>
      <c r="I23" s="2">
        <v>32</v>
      </c>
      <c r="J23" s="2">
        <v>27</v>
      </c>
      <c r="K23" s="3"/>
      <c r="L23" s="2">
        <v>36</v>
      </c>
      <c r="M23" s="2">
        <v>32</v>
      </c>
      <c r="N23" s="2">
        <v>27</v>
      </c>
      <c r="O23" s="2">
        <v>1</v>
      </c>
      <c r="P23" s="2">
        <v>1</v>
      </c>
      <c r="Q23" s="2" t="s">
        <v>1901</v>
      </c>
      <c r="R23" s="2">
        <v>0</v>
      </c>
      <c r="S23" s="2">
        <v>335</v>
      </c>
      <c r="T23" s="2">
        <v>187</v>
      </c>
      <c r="U23" s="2">
        <v>21</v>
      </c>
      <c r="V23" s="2">
        <v>0</v>
      </c>
      <c r="W23" s="2">
        <v>0</v>
      </c>
      <c r="X23" s="2">
        <v>0</v>
      </c>
      <c r="Y23" s="2">
        <v>0</v>
      </c>
      <c r="Z23" s="2">
        <v>524</v>
      </c>
      <c r="AA23" s="2">
        <v>0</v>
      </c>
      <c r="AB23">
        <f>VLOOKUP(E23,'1'!V:W,2,0)</f>
        <v>29</v>
      </c>
    </row>
    <row r="24" spans="1:28">
      <c r="A24" s="1">
        <v>82</v>
      </c>
      <c r="B24" s="2">
        <v>0</v>
      </c>
      <c r="C24" s="2">
        <v>201</v>
      </c>
      <c r="D24" s="2" t="s">
        <v>1943</v>
      </c>
      <c r="E24" s="2" t="s">
        <v>192</v>
      </c>
      <c r="F24" s="2" t="str">
        <f>VLOOKUP(E24,Sheet1!E:G,3,0)</f>
        <v>动态血压监测</v>
      </c>
      <c r="G24" s="3"/>
      <c r="H24" s="2">
        <v>11.5</v>
      </c>
      <c r="I24" s="2">
        <v>10</v>
      </c>
      <c r="J24" s="2">
        <v>8.5</v>
      </c>
      <c r="K24" s="3"/>
      <c r="L24" s="2">
        <v>200</v>
      </c>
      <c r="M24" s="2">
        <v>180</v>
      </c>
      <c r="N24" s="2">
        <v>165</v>
      </c>
      <c r="O24" s="2">
        <v>1</v>
      </c>
      <c r="P24" s="2">
        <v>1</v>
      </c>
      <c r="Q24" s="2" t="s">
        <v>1945</v>
      </c>
      <c r="R24" s="2">
        <v>1</v>
      </c>
      <c r="S24" s="2">
        <v>138280.46</v>
      </c>
      <c r="T24" s="2">
        <v>133859.5</v>
      </c>
      <c r="U24" s="2">
        <v>23831</v>
      </c>
      <c r="V24" s="2">
        <v>26065866.71</v>
      </c>
      <c r="W24" s="2">
        <v>22756115</v>
      </c>
      <c r="X24" s="2">
        <v>3729551.5</v>
      </c>
      <c r="Y24" s="2">
        <v>26065866.71</v>
      </c>
      <c r="Z24" s="2">
        <v>22757934.5</v>
      </c>
      <c r="AA24" s="2">
        <v>3729551.5</v>
      </c>
      <c r="AB24">
        <f>VLOOKUP(E24,'1'!V:W,2,0)</f>
        <v>30</v>
      </c>
    </row>
    <row r="25" spans="1:28">
      <c r="A25" s="1">
        <v>99</v>
      </c>
      <c r="B25" s="2">
        <v>0</v>
      </c>
      <c r="C25" s="2">
        <v>201</v>
      </c>
      <c r="D25" s="2" t="s">
        <v>1943</v>
      </c>
      <c r="E25" s="2" t="s">
        <v>195</v>
      </c>
      <c r="F25" s="2" t="str">
        <f>VLOOKUP(E25,Sheet1!E:G,3,0)</f>
        <v>动态血压监测（运动血压监测）</v>
      </c>
      <c r="G25" s="3"/>
      <c r="H25" s="2">
        <v>11.5</v>
      </c>
      <c r="I25" s="2">
        <v>10</v>
      </c>
      <c r="J25" s="2">
        <v>8.5</v>
      </c>
      <c r="K25" s="3"/>
      <c r="L25" s="2">
        <v>200</v>
      </c>
      <c r="M25" s="2">
        <v>180</v>
      </c>
      <c r="N25" s="2">
        <v>165</v>
      </c>
      <c r="O25" s="2">
        <v>1</v>
      </c>
      <c r="P25" s="2">
        <v>1</v>
      </c>
      <c r="Q25" s="2" t="s">
        <v>1945</v>
      </c>
      <c r="R25" s="2">
        <v>1</v>
      </c>
      <c r="S25" s="2">
        <v>9648</v>
      </c>
      <c r="T25" s="2">
        <v>4874</v>
      </c>
      <c r="U25" s="2">
        <v>1873</v>
      </c>
      <c r="V25" s="2">
        <v>1818648</v>
      </c>
      <c r="W25" s="2">
        <v>828580</v>
      </c>
      <c r="X25" s="2">
        <v>293124.5</v>
      </c>
      <c r="Y25" s="2">
        <v>1818648</v>
      </c>
      <c r="Z25" s="2">
        <v>828580</v>
      </c>
      <c r="AA25" s="2">
        <v>293124.5</v>
      </c>
      <c r="AB25">
        <f>VLOOKUP(E25,'1'!V:W,2,0)</f>
        <v>31</v>
      </c>
    </row>
    <row r="26" spans="1:28">
      <c r="A26" s="1">
        <v>44</v>
      </c>
      <c r="B26" s="2">
        <v>0</v>
      </c>
      <c r="C26" s="2">
        <v>201</v>
      </c>
      <c r="D26" s="2" t="s">
        <v>1943</v>
      </c>
      <c r="E26" s="2" t="s">
        <v>202</v>
      </c>
      <c r="F26" s="2" t="str">
        <f>VLOOKUP(E26,Sheet1!E:G,3,0)</f>
        <v>动脉弹性功能检测</v>
      </c>
      <c r="G26" s="3"/>
      <c r="H26" s="2">
        <v>50</v>
      </c>
      <c r="I26" s="2">
        <v>50</v>
      </c>
      <c r="J26" s="2">
        <v>42.5</v>
      </c>
      <c r="K26" s="3"/>
      <c r="L26" s="2">
        <v>47</v>
      </c>
      <c r="M26" s="2">
        <v>42</v>
      </c>
      <c r="N26" s="2">
        <v>37</v>
      </c>
      <c r="O26" s="2">
        <v>1</v>
      </c>
      <c r="P26" s="2">
        <v>1</v>
      </c>
      <c r="Q26" s="2" t="s">
        <v>1901</v>
      </c>
      <c r="R26" s="2">
        <v>0</v>
      </c>
      <c r="S26" s="2">
        <v>1190</v>
      </c>
      <c r="T26" s="2">
        <v>2271</v>
      </c>
      <c r="U26" s="2">
        <v>391</v>
      </c>
      <c r="V26" s="2">
        <v>-3570</v>
      </c>
      <c r="W26" s="2">
        <v>-18168</v>
      </c>
      <c r="X26" s="2">
        <v>-2150.5</v>
      </c>
      <c r="Y26" s="2">
        <v>-3570</v>
      </c>
      <c r="Z26" s="2">
        <v>-18063</v>
      </c>
      <c r="AA26" s="2">
        <v>-2150.5</v>
      </c>
      <c r="AB26">
        <f>VLOOKUP(E26,'1'!V:W,2,0)</f>
        <v>32</v>
      </c>
    </row>
    <row r="27" spans="1:28">
      <c r="A27" s="1">
        <v>77</v>
      </c>
      <c r="B27" s="2">
        <v>0</v>
      </c>
      <c r="C27" s="2">
        <v>201</v>
      </c>
      <c r="D27" s="2" t="s">
        <v>1943</v>
      </c>
      <c r="E27" s="2" t="s">
        <v>205</v>
      </c>
      <c r="F27" s="2" t="str">
        <f>VLOOKUP(E27,Sheet1!E:G,3,0)</f>
        <v>大动脉功能检测</v>
      </c>
      <c r="G27" s="3"/>
      <c r="H27" s="2">
        <v>35</v>
      </c>
      <c r="I27" s="2">
        <v>35</v>
      </c>
      <c r="J27" s="2">
        <v>29.8</v>
      </c>
      <c r="K27" s="3"/>
      <c r="L27" s="2">
        <v>47</v>
      </c>
      <c r="M27" s="2">
        <v>42</v>
      </c>
      <c r="N27" s="2">
        <v>37</v>
      </c>
      <c r="O27" s="2">
        <v>1</v>
      </c>
      <c r="P27" s="2">
        <v>1</v>
      </c>
      <c r="Q27" s="2" t="s">
        <v>1901</v>
      </c>
      <c r="R27" s="2">
        <v>0</v>
      </c>
      <c r="S27" s="2">
        <v>321</v>
      </c>
      <c r="T27" s="2">
        <v>1429</v>
      </c>
      <c r="U27" s="2">
        <v>327</v>
      </c>
      <c r="V27" s="2">
        <v>3852</v>
      </c>
      <c r="W27" s="2">
        <v>10003</v>
      </c>
      <c r="X27" s="2">
        <v>2354.4</v>
      </c>
      <c r="Y27" s="2">
        <v>3852</v>
      </c>
      <c r="Z27" s="2">
        <v>10003</v>
      </c>
      <c r="AA27" s="2">
        <v>2354.4</v>
      </c>
      <c r="AB27">
        <f>VLOOKUP(E27,'1'!V:W,2,0)</f>
        <v>33</v>
      </c>
    </row>
    <row r="28" spans="1:28">
      <c r="A28" s="1">
        <v>38</v>
      </c>
      <c r="B28" s="2">
        <v>0</v>
      </c>
      <c r="C28" s="2">
        <v>201</v>
      </c>
      <c r="D28" s="2" t="s">
        <v>1943</v>
      </c>
      <c r="E28" s="2" t="s">
        <v>215</v>
      </c>
      <c r="F28" s="2" t="str">
        <f>VLOOKUP(E28,Sheet1!E:G,3,0)</f>
        <v>心脏电复律术</v>
      </c>
      <c r="G28" s="3"/>
      <c r="H28" s="2">
        <v>69</v>
      </c>
      <c r="I28" s="2">
        <v>60</v>
      </c>
      <c r="J28" s="2">
        <v>51</v>
      </c>
      <c r="K28" s="3"/>
      <c r="L28" s="2">
        <v>57</v>
      </c>
      <c r="M28" s="2">
        <v>51</v>
      </c>
      <c r="N28" s="2">
        <v>43</v>
      </c>
      <c r="O28" s="2">
        <v>1</v>
      </c>
      <c r="P28" s="2">
        <v>1</v>
      </c>
      <c r="Q28" s="2" t="s">
        <v>1901</v>
      </c>
      <c r="R28" s="2">
        <v>0</v>
      </c>
      <c r="S28" s="2">
        <v>119</v>
      </c>
      <c r="T28" s="2">
        <v>71</v>
      </c>
      <c r="U28" s="2">
        <v>0</v>
      </c>
      <c r="V28" s="2">
        <v>-1428</v>
      </c>
      <c r="W28" s="2">
        <v>-639</v>
      </c>
      <c r="X28" s="2">
        <v>0</v>
      </c>
      <c r="Y28" s="2">
        <v>-1428</v>
      </c>
      <c r="Z28" s="2">
        <v>-639</v>
      </c>
      <c r="AA28" s="2">
        <v>0</v>
      </c>
      <c r="AB28">
        <f>VLOOKUP(E28,'1'!V:W,2,0)</f>
        <v>35</v>
      </c>
    </row>
    <row r="29" spans="1:28">
      <c r="A29" s="1">
        <v>72</v>
      </c>
      <c r="B29" s="2">
        <v>0</v>
      </c>
      <c r="C29" s="2">
        <v>201</v>
      </c>
      <c r="D29" s="2" t="s">
        <v>1943</v>
      </c>
      <c r="E29" s="2" t="s">
        <v>217</v>
      </c>
      <c r="F29" s="2" t="str">
        <f>VLOOKUP(E29,Sheet1!E:G,3,0)</f>
        <v>心脏电除颤术</v>
      </c>
      <c r="G29" s="3"/>
      <c r="H29" s="2">
        <v>57.5</v>
      </c>
      <c r="I29" s="2">
        <v>50</v>
      </c>
      <c r="J29" s="2">
        <v>42.5</v>
      </c>
      <c r="K29" s="3"/>
      <c r="L29" s="2">
        <v>57</v>
      </c>
      <c r="M29" s="2">
        <v>51</v>
      </c>
      <c r="N29" s="2">
        <v>43</v>
      </c>
      <c r="O29" s="2">
        <v>1</v>
      </c>
      <c r="P29" s="2">
        <v>1</v>
      </c>
      <c r="Q29" s="2" t="s">
        <v>1901</v>
      </c>
      <c r="R29" s="2">
        <v>0</v>
      </c>
      <c r="S29" s="2">
        <v>363</v>
      </c>
      <c r="T29" s="2">
        <v>454.1</v>
      </c>
      <c r="U29" s="2">
        <v>6</v>
      </c>
      <c r="V29" s="2">
        <v>-181.5</v>
      </c>
      <c r="W29" s="2">
        <v>454.1</v>
      </c>
      <c r="X29" s="2">
        <v>3</v>
      </c>
      <c r="Y29" s="2">
        <v>-181.5</v>
      </c>
      <c r="Z29" s="2">
        <v>454.1</v>
      </c>
      <c r="AA29" s="2">
        <v>3</v>
      </c>
      <c r="AB29">
        <f>VLOOKUP(E29,'1'!V:W,2,0)</f>
        <v>36</v>
      </c>
    </row>
    <row r="30" spans="1:28">
      <c r="A30" s="1">
        <v>25</v>
      </c>
      <c r="B30" s="2">
        <v>0</v>
      </c>
      <c r="C30" s="2">
        <v>201</v>
      </c>
      <c r="D30" s="2" t="s">
        <v>1943</v>
      </c>
      <c r="E30" s="2" t="s">
        <v>219</v>
      </c>
      <c r="F30" s="2" t="str">
        <f>VLOOKUP(E30,Sheet1!E:G,3,0)</f>
        <v>体外自动心脏变律除颤术</v>
      </c>
      <c r="G30" s="3"/>
      <c r="H30" s="2">
        <v>57.5</v>
      </c>
      <c r="I30" s="2">
        <v>50</v>
      </c>
      <c r="J30" s="2">
        <v>42.5</v>
      </c>
      <c r="K30" s="3"/>
      <c r="L30" s="2">
        <v>57</v>
      </c>
      <c r="M30" s="2">
        <v>51</v>
      </c>
      <c r="N30" s="2">
        <v>43</v>
      </c>
      <c r="O30" s="2">
        <v>1</v>
      </c>
      <c r="P30" s="2">
        <v>1</v>
      </c>
      <c r="Q30" s="2" t="s">
        <v>1901</v>
      </c>
      <c r="R30" s="2">
        <v>0</v>
      </c>
      <c r="S30" s="2">
        <v>4</v>
      </c>
      <c r="T30" s="2">
        <v>1</v>
      </c>
      <c r="U30" s="2">
        <v>0</v>
      </c>
      <c r="V30" s="2">
        <v>-2</v>
      </c>
      <c r="W30" s="2">
        <v>1</v>
      </c>
      <c r="X30" s="2">
        <v>0</v>
      </c>
      <c r="Y30" s="2">
        <v>-2</v>
      </c>
      <c r="Z30" s="2">
        <v>1</v>
      </c>
      <c r="AA30" s="2">
        <v>0</v>
      </c>
      <c r="AB30">
        <f>VLOOKUP(E30,'1'!V:W,2,0)</f>
        <v>37</v>
      </c>
    </row>
    <row r="31" spans="1:28">
      <c r="A31" s="1">
        <v>100</v>
      </c>
      <c r="B31" s="2">
        <v>0</v>
      </c>
      <c r="C31" s="2">
        <v>201</v>
      </c>
      <c r="D31" s="2" t="s">
        <v>1943</v>
      </c>
      <c r="E31" s="2" t="s">
        <v>228</v>
      </c>
      <c r="F31" s="2" t="str">
        <f>VLOOKUP(E31,Sheet1!E:G,3,0)</f>
        <v>有创性血流动力学监测（床旁）</v>
      </c>
      <c r="G31" s="3"/>
      <c r="H31" s="2">
        <v>115</v>
      </c>
      <c r="I31" s="2">
        <v>100</v>
      </c>
      <c r="J31" s="2">
        <v>85</v>
      </c>
      <c r="K31" s="3"/>
      <c r="L31" s="2">
        <v>15</v>
      </c>
      <c r="M31" s="2">
        <v>14</v>
      </c>
      <c r="N31" s="2">
        <v>13</v>
      </c>
      <c r="O31" s="2">
        <v>1</v>
      </c>
      <c r="P31" s="2">
        <v>1</v>
      </c>
      <c r="Q31" s="2" t="s">
        <v>1901</v>
      </c>
      <c r="R31" s="2">
        <v>0</v>
      </c>
      <c r="S31" s="2">
        <v>166.5</v>
      </c>
      <c r="T31" s="2">
        <v>141.4</v>
      </c>
      <c r="U31" s="2">
        <v>0</v>
      </c>
      <c r="V31" s="2">
        <v>-16650</v>
      </c>
      <c r="W31" s="2">
        <v>-12160.4</v>
      </c>
      <c r="X31" s="2">
        <v>0</v>
      </c>
      <c r="Y31" s="2">
        <v>-16650</v>
      </c>
      <c r="Z31" s="2">
        <v>-11159.4</v>
      </c>
      <c r="AA31" s="2">
        <v>0</v>
      </c>
      <c r="AB31">
        <f>VLOOKUP(E31,'1'!V:W,2,0)</f>
        <v>38</v>
      </c>
    </row>
    <row r="32" spans="1:28">
      <c r="A32" s="1">
        <v>41</v>
      </c>
      <c r="B32" s="2">
        <v>0</v>
      </c>
      <c r="C32" s="2">
        <v>201</v>
      </c>
      <c r="D32" s="2" t="s">
        <v>1943</v>
      </c>
      <c r="E32" s="2" t="s">
        <v>233</v>
      </c>
      <c r="F32" s="2" t="str">
        <f>VLOOKUP(E32,Sheet1!E:G,3,0)</f>
        <v>有创性血流动力学监测（床旁）（心电、压力连续示波）</v>
      </c>
      <c r="G32" s="3"/>
      <c r="H32" s="2">
        <v>40.3</v>
      </c>
      <c r="I32" s="2">
        <v>35</v>
      </c>
      <c r="J32" s="2">
        <v>30</v>
      </c>
      <c r="K32" s="3"/>
      <c r="L32" s="2">
        <v>15</v>
      </c>
      <c r="M32" s="2">
        <v>14</v>
      </c>
      <c r="N32" s="2">
        <v>13</v>
      </c>
      <c r="O32" s="2">
        <v>1</v>
      </c>
      <c r="P32" s="2">
        <v>1</v>
      </c>
      <c r="Q32" s="2" t="s">
        <v>1901</v>
      </c>
      <c r="R32" s="2">
        <v>0</v>
      </c>
      <c r="S32" s="2">
        <v>12884</v>
      </c>
      <c r="T32" s="2">
        <v>21188.65</v>
      </c>
      <c r="U32" s="2">
        <v>0</v>
      </c>
      <c r="V32" s="2">
        <v>-325965.2</v>
      </c>
      <c r="W32" s="2">
        <v>-444961.65</v>
      </c>
      <c r="X32" s="2">
        <v>0</v>
      </c>
      <c r="Y32" s="2">
        <v>-325965.2</v>
      </c>
      <c r="Z32" s="2">
        <v>-444961.65</v>
      </c>
      <c r="AA32" s="2">
        <v>0</v>
      </c>
      <c r="AB32">
        <f>VLOOKUP(E32,'1'!V:W,2,0)</f>
        <v>39</v>
      </c>
    </row>
    <row r="33" spans="1:28">
      <c r="A33" s="1">
        <v>121</v>
      </c>
      <c r="B33" s="2">
        <v>0</v>
      </c>
      <c r="C33" s="2">
        <v>201</v>
      </c>
      <c r="D33" s="2" t="s">
        <v>1943</v>
      </c>
      <c r="E33" s="2" t="s">
        <v>236</v>
      </c>
      <c r="F33" s="2" t="str">
        <f>VLOOKUP(E33,Sheet1!E:G,3,0)</f>
        <v>持续有创性血压监测</v>
      </c>
      <c r="G33" s="3"/>
      <c r="H33" s="2">
        <v>23</v>
      </c>
      <c r="I33" s="2">
        <v>20</v>
      </c>
      <c r="J33" s="2">
        <v>17</v>
      </c>
      <c r="K33" s="3"/>
      <c r="L33" s="2">
        <v>15</v>
      </c>
      <c r="M33" s="2">
        <v>14</v>
      </c>
      <c r="N33" s="2">
        <v>13</v>
      </c>
      <c r="O33" s="2">
        <v>1</v>
      </c>
      <c r="P33" s="2">
        <v>1</v>
      </c>
      <c r="Q33" s="2" t="s">
        <v>1901</v>
      </c>
      <c r="R33" s="2">
        <v>0</v>
      </c>
      <c r="S33" s="2">
        <v>168772.7</v>
      </c>
      <c r="T33" s="2">
        <v>58203.55</v>
      </c>
      <c r="U33" s="2">
        <v>0</v>
      </c>
      <c r="V33" s="2">
        <v>-1350181.6</v>
      </c>
      <c r="W33" s="2">
        <v>-349221.3</v>
      </c>
      <c r="X33" s="2">
        <v>0</v>
      </c>
      <c r="Y33" s="2">
        <v>-1350181.6</v>
      </c>
      <c r="Z33" s="2">
        <v>-382173.15</v>
      </c>
      <c r="AA33" s="2">
        <v>0</v>
      </c>
      <c r="AB33">
        <f>VLOOKUP(E33,'1'!V:W,2,0)</f>
        <v>40</v>
      </c>
    </row>
    <row r="34" spans="1:28">
      <c r="A34" s="1">
        <v>78</v>
      </c>
      <c r="B34" s="2">
        <v>0</v>
      </c>
      <c r="C34" s="2">
        <v>201</v>
      </c>
      <c r="D34" s="2" t="s">
        <v>1943</v>
      </c>
      <c r="E34" s="2" t="s">
        <v>240</v>
      </c>
      <c r="F34" s="2" t="str">
        <f>VLOOKUP(E34,Sheet1!E:G,3,0)</f>
        <v>动脉内压力监测</v>
      </c>
      <c r="G34" s="3"/>
      <c r="H34" s="2">
        <v>17.3</v>
      </c>
      <c r="I34" s="2">
        <v>15</v>
      </c>
      <c r="J34" s="2">
        <v>12.8</v>
      </c>
      <c r="K34" s="3"/>
      <c r="L34" s="2">
        <v>15</v>
      </c>
      <c r="M34" s="2">
        <v>14</v>
      </c>
      <c r="N34" s="2">
        <v>13</v>
      </c>
      <c r="O34" s="2">
        <v>1</v>
      </c>
      <c r="P34" s="2">
        <v>1</v>
      </c>
      <c r="Q34" s="2" t="s">
        <v>1901</v>
      </c>
      <c r="R34" s="2">
        <v>0</v>
      </c>
      <c r="S34" s="2">
        <v>461100.1451</v>
      </c>
      <c r="T34" s="2">
        <v>202361.62</v>
      </c>
      <c r="U34" s="2">
        <v>20504.2</v>
      </c>
      <c r="V34" s="2">
        <v>-1060530.33373</v>
      </c>
      <c r="W34" s="2">
        <v>-202361.62</v>
      </c>
      <c r="X34" s="2">
        <v>4100.84</v>
      </c>
      <c r="Y34" s="2">
        <v>-1060530.33373</v>
      </c>
      <c r="Z34" s="2">
        <v>-202420.82</v>
      </c>
      <c r="AA34" s="2">
        <v>4100.84</v>
      </c>
      <c r="AB34">
        <f>VLOOKUP(E34,'1'!V:W,2,0)</f>
        <v>41</v>
      </c>
    </row>
    <row r="35" spans="1:28">
      <c r="A35" s="1">
        <v>60</v>
      </c>
      <c r="B35" s="2">
        <v>0</v>
      </c>
      <c r="C35" s="2">
        <v>201</v>
      </c>
      <c r="D35" s="2" t="s">
        <v>1943</v>
      </c>
      <c r="E35" s="2" t="s">
        <v>243</v>
      </c>
      <c r="F35" s="2" t="str">
        <f>VLOOKUP(E35,Sheet1!E:G,3,0)</f>
        <v>心输出量测定</v>
      </c>
      <c r="G35" s="3"/>
      <c r="H35" s="2">
        <v>115</v>
      </c>
      <c r="I35" s="2">
        <v>100</v>
      </c>
      <c r="J35" s="2">
        <v>85</v>
      </c>
      <c r="K35" s="3"/>
      <c r="L35" s="2">
        <v>15</v>
      </c>
      <c r="M35" s="2">
        <v>14</v>
      </c>
      <c r="N35" s="2">
        <v>13</v>
      </c>
      <c r="O35" s="2">
        <v>1</v>
      </c>
      <c r="P35" s="2">
        <v>1</v>
      </c>
      <c r="Q35" s="2" t="s">
        <v>1901</v>
      </c>
      <c r="R35" s="2">
        <v>0</v>
      </c>
      <c r="S35" s="2">
        <v>1230.8</v>
      </c>
      <c r="T35" s="2">
        <v>640.7</v>
      </c>
      <c r="U35" s="2">
        <v>2033.2</v>
      </c>
      <c r="V35" s="2">
        <v>-123080</v>
      </c>
      <c r="W35" s="2">
        <v>-55100.2</v>
      </c>
      <c r="X35" s="2">
        <v>-146390.4</v>
      </c>
      <c r="Y35" s="2">
        <v>-123080</v>
      </c>
      <c r="Z35" s="2">
        <v>-55100.2</v>
      </c>
      <c r="AA35" s="2">
        <v>-146390.4</v>
      </c>
      <c r="AB35">
        <f>VLOOKUP(E35,'1'!V:W,2,0)</f>
        <v>42</v>
      </c>
    </row>
    <row r="36" spans="1:28">
      <c r="A36" s="1">
        <v>27</v>
      </c>
      <c r="B36" s="2">
        <v>0</v>
      </c>
      <c r="C36" s="2">
        <v>201</v>
      </c>
      <c r="D36" s="2" t="s">
        <v>1943</v>
      </c>
      <c r="E36" s="2" t="s">
        <v>252</v>
      </c>
      <c r="F36" s="2" t="str">
        <f>VLOOKUP(E36,Sheet1!E:G,3,0)</f>
        <v>心音图</v>
      </c>
      <c r="G36" s="3"/>
      <c r="H36" s="2">
        <v>23</v>
      </c>
      <c r="I36" s="2">
        <v>20</v>
      </c>
      <c r="J36" s="2">
        <v>17</v>
      </c>
      <c r="K36" s="3"/>
      <c r="L36" s="2">
        <v>8</v>
      </c>
      <c r="M36" s="2">
        <v>7</v>
      </c>
      <c r="N36" s="2">
        <v>6</v>
      </c>
      <c r="O36" s="2">
        <v>1</v>
      </c>
      <c r="P36" s="2">
        <v>1</v>
      </c>
      <c r="Q36" s="2" t="s">
        <v>1901</v>
      </c>
      <c r="R36" s="2">
        <v>0</v>
      </c>
      <c r="S36" s="2">
        <v>227</v>
      </c>
      <c r="T36" s="2">
        <v>1327</v>
      </c>
      <c r="U36" s="2">
        <v>240</v>
      </c>
      <c r="V36" s="2">
        <v>-3405</v>
      </c>
      <c r="W36" s="2">
        <v>-17251</v>
      </c>
      <c r="X36" s="2">
        <v>-2640</v>
      </c>
      <c r="Y36" s="2">
        <v>-3405</v>
      </c>
      <c r="Z36" s="2">
        <v>-17230</v>
      </c>
      <c r="AA36" s="2">
        <v>-2640</v>
      </c>
      <c r="AB36">
        <f>VLOOKUP(E36,'1'!V:W,2,0)</f>
        <v>43</v>
      </c>
    </row>
    <row r="37" spans="1:28">
      <c r="A37" s="1">
        <v>23</v>
      </c>
      <c r="B37" s="2">
        <v>0</v>
      </c>
      <c r="C37" s="2">
        <v>201</v>
      </c>
      <c r="D37" s="2" t="s">
        <v>1943</v>
      </c>
      <c r="E37" s="2" t="s">
        <v>254</v>
      </c>
      <c r="F37" s="2" t="str">
        <f>VLOOKUP(E37,Sheet1!E:G,3,0)</f>
        <v>心阻抗图</v>
      </c>
      <c r="G37" s="3"/>
      <c r="H37" s="2">
        <v>17.3</v>
      </c>
      <c r="I37" s="2">
        <v>15</v>
      </c>
      <c r="J37" s="2">
        <v>12.8</v>
      </c>
      <c r="K37" s="3"/>
      <c r="L37" s="2">
        <v>8</v>
      </c>
      <c r="M37" s="2">
        <v>7</v>
      </c>
      <c r="N37" s="2">
        <v>6</v>
      </c>
      <c r="O37" s="2">
        <v>1</v>
      </c>
      <c r="P37" s="2">
        <v>1</v>
      </c>
      <c r="Q37" s="2" t="s">
        <v>1901</v>
      </c>
      <c r="R37" s="2">
        <v>0</v>
      </c>
      <c r="S37" s="2">
        <v>2423</v>
      </c>
      <c r="T37" s="2">
        <v>566.7</v>
      </c>
      <c r="U37" s="2">
        <v>0</v>
      </c>
      <c r="V37" s="2">
        <v>-22533.9</v>
      </c>
      <c r="W37" s="2">
        <v>-4533.6</v>
      </c>
      <c r="X37" s="2">
        <v>0</v>
      </c>
      <c r="Y37" s="2">
        <v>-22533.9</v>
      </c>
      <c r="Z37" s="2">
        <v>-4533.6</v>
      </c>
      <c r="AA37" s="2">
        <v>0</v>
      </c>
      <c r="AB37">
        <f>VLOOKUP(E37,'1'!V:W,2,0)</f>
        <v>44</v>
      </c>
    </row>
    <row r="38" spans="1:28">
      <c r="A38" s="1">
        <v>116</v>
      </c>
      <c r="B38" s="2">
        <v>0</v>
      </c>
      <c r="C38" s="2">
        <v>201</v>
      </c>
      <c r="D38" s="2" t="s">
        <v>1943</v>
      </c>
      <c r="E38" s="2" t="s">
        <v>257</v>
      </c>
      <c r="F38" s="2" t="str">
        <f>VLOOKUP(E38,Sheet1!E:G,3,0)</f>
        <v>心阻抗图（心导纳图）</v>
      </c>
      <c r="G38" s="3"/>
      <c r="H38" s="2">
        <v>115</v>
      </c>
      <c r="I38" s="2">
        <v>100</v>
      </c>
      <c r="J38" s="2">
        <v>85</v>
      </c>
      <c r="K38" s="3"/>
      <c r="L38" s="2">
        <v>8</v>
      </c>
      <c r="M38" s="2">
        <v>7</v>
      </c>
      <c r="N38" s="2">
        <v>6</v>
      </c>
      <c r="O38" s="2">
        <v>1</v>
      </c>
      <c r="P38" s="2">
        <v>1</v>
      </c>
      <c r="Q38" s="2" t="s">
        <v>1901</v>
      </c>
      <c r="R38" s="2">
        <v>0</v>
      </c>
      <c r="S38" s="2">
        <v>805</v>
      </c>
      <c r="T38" s="2">
        <v>22</v>
      </c>
      <c r="U38" s="2">
        <v>0</v>
      </c>
      <c r="V38" s="2">
        <v>-86135</v>
      </c>
      <c r="W38" s="2">
        <v>-2046</v>
      </c>
      <c r="X38" s="2">
        <v>0</v>
      </c>
      <c r="Y38" s="2">
        <v>-86135</v>
      </c>
      <c r="Z38" s="2">
        <v>-2046</v>
      </c>
      <c r="AA38" s="2">
        <v>0</v>
      </c>
      <c r="AB38">
        <f>VLOOKUP(E38,'1'!V:W,2,0)</f>
        <v>45</v>
      </c>
    </row>
    <row r="39" spans="1:28">
      <c r="A39" s="1">
        <v>104</v>
      </c>
      <c r="B39" s="2">
        <v>0</v>
      </c>
      <c r="C39" s="2">
        <v>201</v>
      </c>
      <c r="D39" s="2" t="s">
        <v>1943</v>
      </c>
      <c r="E39" s="2" t="s">
        <v>261</v>
      </c>
      <c r="F39" s="2" t="str">
        <f>VLOOKUP(E39,Sheet1!E:G,3,0)</f>
        <v>无创心功能监测</v>
      </c>
      <c r="G39" s="3"/>
      <c r="H39" s="2">
        <v>5.8</v>
      </c>
      <c r="I39" s="2">
        <v>5</v>
      </c>
      <c r="J39" s="2">
        <v>4.3</v>
      </c>
      <c r="K39" s="3"/>
      <c r="L39" s="2">
        <v>8</v>
      </c>
      <c r="M39" s="2">
        <v>7</v>
      </c>
      <c r="N39" s="2">
        <v>6</v>
      </c>
      <c r="O39" s="2">
        <v>1</v>
      </c>
      <c r="P39" s="2">
        <v>1</v>
      </c>
      <c r="Q39" s="2" t="s">
        <v>1901</v>
      </c>
      <c r="R39" s="2">
        <v>0</v>
      </c>
      <c r="S39" s="2">
        <v>32280.6</v>
      </c>
      <c r="T39" s="2">
        <v>6299.9</v>
      </c>
      <c r="U39" s="2">
        <v>0</v>
      </c>
      <c r="V39" s="2">
        <v>71017.32</v>
      </c>
      <c r="W39" s="2">
        <v>12599.8</v>
      </c>
      <c r="X39" s="2">
        <v>0</v>
      </c>
      <c r="Y39" s="2">
        <v>71017.32</v>
      </c>
      <c r="Z39" s="2">
        <v>12518.2</v>
      </c>
      <c r="AA39" s="2">
        <v>0</v>
      </c>
      <c r="AB39">
        <f>VLOOKUP(E39,'1'!V:W,2,0)</f>
        <v>47</v>
      </c>
    </row>
    <row r="40" spans="1:28">
      <c r="A40" s="1">
        <v>17</v>
      </c>
      <c r="B40" s="2">
        <v>0</v>
      </c>
      <c r="C40" s="2">
        <v>201</v>
      </c>
      <c r="D40" s="2" t="s">
        <v>1943</v>
      </c>
      <c r="E40" s="2" t="s">
        <v>265</v>
      </c>
      <c r="F40" s="2" t="str">
        <f>VLOOKUP(E40,Sheet1!E:G,3,0)</f>
        <v>无创心功能监测（心血流图）</v>
      </c>
      <c r="G40" s="3"/>
      <c r="H40" s="2">
        <v>5.8</v>
      </c>
      <c r="I40" s="2">
        <v>5</v>
      </c>
      <c r="J40" s="2">
        <v>4.3</v>
      </c>
      <c r="K40" s="3"/>
      <c r="L40" s="2">
        <v>8</v>
      </c>
      <c r="M40" s="2">
        <v>7</v>
      </c>
      <c r="N40" s="2">
        <v>6</v>
      </c>
      <c r="O40" s="2">
        <v>1</v>
      </c>
      <c r="P40" s="2">
        <v>1</v>
      </c>
      <c r="Q40" s="2" t="s">
        <v>1901</v>
      </c>
      <c r="R40" s="2">
        <v>0</v>
      </c>
      <c r="S40" s="2">
        <v>0</v>
      </c>
      <c r="T40" s="2">
        <v>10</v>
      </c>
      <c r="U40" s="2">
        <v>0</v>
      </c>
      <c r="V40" s="2">
        <v>0</v>
      </c>
      <c r="W40" s="2">
        <v>20</v>
      </c>
      <c r="X40" s="2">
        <v>0</v>
      </c>
      <c r="Y40" s="2">
        <v>0</v>
      </c>
      <c r="Z40" s="2">
        <v>20</v>
      </c>
      <c r="AA40" s="2">
        <v>0</v>
      </c>
      <c r="AB40">
        <f>VLOOKUP(E40,'1'!V:W,2,0)</f>
        <v>48</v>
      </c>
    </row>
    <row r="41" spans="1:28">
      <c r="A41" s="1">
        <v>36</v>
      </c>
      <c r="B41" s="2">
        <v>0</v>
      </c>
      <c r="C41" s="2">
        <v>201</v>
      </c>
      <c r="D41" s="2" t="s">
        <v>1943</v>
      </c>
      <c r="E41" s="2" t="s">
        <v>268</v>
      </c>
      <c r="F41" s="2" t="str">
        <f>VLOOKUP(E41,Sheet1!E:G,3,0)</f>
        <v>无创心功能监测（心尖搏动图）</v>
      </c>
      <c r="G41" s="3"/>
      <c r="H41" s="2">
        <v>5.8</v>
      </c>
      <c r="I41" s="2">
        <v>5</v>
      </c>
      <c r="J41" s="2">
        <v>4.3</v>
      </c>
      <c r="K41" s="3"/>
      <c r="L41" s="2">
        <v>8</v>
      </c>
      <c r="M41" s="2">
        <v>7</v>
      </c>
      <c r="N41" s="2">
        <v>6</v>
      </c>
      <c r="O41" s="2">
        <v>1</v>
      </c>
      <c r="P41" s="2">
        <v>1</v>
      </c>
      <c r="Q41" s="2" t="s">
        <v>1901</v>
      </c>
      <c r="R41" s="2">
        <v>0</v>
      </c>
      <c r="S41" s="2">
        <v>0</v>
      </c>
      <c r="T41" s="2">
        <v>10</v>
      </c>
      <c r="U41" s="2">
        <v>0</v>
      </c>
      <c r="V41" s="2">
        <v>0</v>
      </c>
      <c r="W41" s="2">
        <v>20</v>
      </c>
      <c r="X41" s="2">
        <v>0</v>
      </c>
      <c r="Y41" s="2">
        <v>0</v>
      </c>
      <c r="Z41" s="2">
        <v>20</v>
      </c>
      <c r="AA41" s="2">
        <v>0</v>
      </c>
      <c r="AB41">
        <f>VLOOKUP(E41,'1'!V:W,2,0)</f>
        <v>49</v>
      </c>
    </row>
    <row r="42" spans="1:28">
      <c r="A42" s="1">
        <v>37</v>
      </c>
      <c r="B42" s="2">
        <v>0</v>
      </c>
      <c r="C42" s="2">
        <v>201</v>
      </c>
      <c r="D42" s="2" t="s">
        <v>1943</v>
      </c>
      <c r="E42" s="2" t="s">
        <v>276</v>
      </c>
      <c r="F42" s="2" t="str">
        <f>VLOOKUP(E42,Sheet1!E:G,3,0)</f>
        <v>体外反搏治疗</v>
      </c>
      <c r="G42" s="3"/>
      <c r="H42" s="2">
        <v>69</v>
      </c>
      <c r="I42" s="2">
        <v>60</v>
      </c>
      <c r="J42" s="2">
        <v>51</v>
      </c>
      <c r="K42" s="3"/>
      <c r="L42" s="2">
        <v>65</v>
      </c>
      <c r="M42" s="2">
        <v>58</v>
      </c>
      <c r="N42" s="2">
        <v>50</v>
      </c>
      <c r="O42" s="2">
        <v>1</v>
      </c>
      <c r="P42" s="2">
        <v>1</v>
      </c>
      <c r="Q42" s="2" t="s">
        <v>1901</v>
      </c>
      <c r="R42" s="2">
        <v>0</v>
      </c>
      <c r="S42" s="2">
        <v>1217</v>
      </c>
      <c r="T42" s="2">
        <v>68</v>
      </c>
      <c r="U42" s="2">
        <v>0</v>
      </c>
      <c r="V42" s="2">
        <v>-4868</v>
      </c>
      <c r="W42" s="2">
        <v>-136</v>
      </c>
      <c r="X42" s="2">
        <v>0</v>
      </c>
      <c r="Y42" s="2">
        <v>-4868</v>
      </c>
      <c r="Z42" s="2">
        <v>-136</v>
      </c>
      <c r="AA42" s="2">
        <v>0</v>
      </c>
      <c r="AB42">
        <f>VLOOKUP(E42,'1'!V:W,2,0)</f>
        <v>50</v>
      </c>
    </row>
    <row r="43" spans="1:28">
      <c r="A43" s="1">
        <v>85</v>
      </c>
      <c r="B43" s="2">
        <v>0</v>
      </c>
      <c r="C43" s="2">
        <v>201</v>
      </c>
      <c r="D43" s="2" t="s">
        <v>1943</v>
      </c>
      <c r="E43" s="2" t="s">
        <v>283</v>
      </c>
      <c r="F43" s="2" t="str">
        <f>VLOOKUP(E43,Sheet1!E:G,3,0)</f>
        <v>起搏器功能分析和随访</v>
      </c>
      <c r="G43" s="3"/>
      <c r="H43" s="2">
        <v>51.8</v>
      </c>
      <c r="I43" s="2">
        <v>45</v>
      </c>
      <c r="J43" s="2">
        <v>38.3</v>
      </c>
      <c r="K43" s="3"/>
      <c r="L43" s="2">
        <v>45</v>
      </c>
      <c r="M43" s="2">
        <v>41</v>
      </c>
      <c r="N43" s="2">
        <v>35</v>
      </c>
      <c r="O43" s="2">
        <v>1</v>
      </c>
      <c r="P43" s="2">
        <v>1</v>
      </c>
      <c r="Q43" s="2" t="s">
        <v>1901</v>
      </c>
      <c r="R43" s="2">
        <v>0</v>
      </c>
      <c r="S43" s="2">
        <v>16</v>
      </c>
      <c r="T43" s="2">
        <v>3</v>
      </c>
      <c r="U43" s="2">
        <v>0</v>
      </c>
      <c r="V43" s="2">
        <v>-108.8</v>
      </c>
      <c r="W43" s="2">
        <v>-12</v>
      </c>
      <c r="X43" s="2">
        <v>0</v>
      </c>
      <c r="Y43" s="2">
        <v>-108.8</v>
      </c>
      <c r="Z43" s="2">
        <v>-12</v>
      </c>
      <c r="AA43" s="2">
        <v>0</v>
      </c>
      <c r="AB43">
        <f>VLOOKUP(E43,'1'!V:W,2,0)</f>
        <v>51</v>
      </c>
    </row>
    <row r="44" spans="1:28">
      <c r="A44" s="1">
        <v>93</v>
      </c>
      <c r="B44" s="2">
        <v>0</v>
      </c>
      <c r="C44" s="2">
        <v>201</v>
      </c>
      <c r="D44" s="2" t="s">
        <v>1943</v>
      </c>
      <c r="E44" s="2" t="s">
        <v>285</v>
      </c>
      <c r="F44" s="2" t="str">
        <f>VLOOKUP(E44,Sheet1!E:G,3,0)</f>
        <v>起搏器程控功能检查</v>
      </c>
      <c r="G44" s="3"/>
      <c r="H44" s="2">
        <v>51.8</v>
      </c>
      <c r="I44" s="2">
        <v>45</v>
      </c>
      <c r="J44" s="2">
        <v>38.3</v>
      </c>
      <c r="K44" s="3"/>
      <c r="L44" s="2">
        <v>45</v>
      </c>
      <c r="M44" s="2">
        <v>41</v>
      </c>
      <c r="N44" s="2">
        <v>35</v>
      </c>
      <c r="O44" s="2">
        <v>1</v>
      </c>
      <c r="P44" s="2">
        <v>1</v>
      </c>
      <c r="Q44" s="2" t="s">
        <v>1901</v>
      </c>
      <c r="R44" s="2">
        <v>0</v>
      </c>
      <c r="S44" s="2">
        <v>40</v>
      </c>
      <c r="T44" s="2">
        <v>6</v>
      </c>
      <c r="U44" s="2">
        <v>0</v>
      </c>
      <c r="V44" s="2">
        <v>-272</v>
      </c>
      <c r="W44" s="2">
        <v>-24</v>
      </c>
      <c r="X44" s="2">
        <v>0</v>
      </c>
      <c r="Y44" s="2">
        <v>-272</v>
      </c>
      <c r="Z44" s="2">
        <v>-24</v>
      </c>
      <c r="AA44" s="2">
        <v>0</v>
      </c>
      <c r="AB44">
        <f>VLOOKUP(E44,'1'!V:W,2,0)</f>
        <v>52</v>
      </c>
    </row>
    <row r="45" spans="1:28">
      <c r="A45" s="1">
        <v>67</v>
      </c>
      <c r="B45" s="2">
        <v>0</v>
      </c>
      <c r="C45" s="2">
        <v>201</v>
      </c>
      <c r="D45" s="2" t="s">
        <v>1943</v>
      </c>
      <c r="E45" s="2" t="s">
        <v>298</v>
      </c>
      <c r="F45" s="2" t="str">
        <f>VLOOKUP(E45,Sheet1!E:G,3,0)</f>
        <v>冠状动脉造影术</v>
      </c>
      <c r="G45" s="3"/>
      <c r="H45" s="2">
        <v>3100</v>
      </c>
      <c r="I45" s="2">
        <v>2950</v>
      </c>
      <c r="J45" s="2">
        <v>2500</v>
      </c>
      <c r="K45" s="3"/>
      <c r="L45" s="2">
        <v>2900</v>
      </c>
      <c r="M45" s="2">
        <v>2700</v>
      </c>
      <c r="N45" s="2">
        <v>2300</v>
      </c>
      <c r="O45" s="2">
        <v>1</v>
      </c>
      <c r="P45" s="2">
        <v>1</v>
      </c>
      <c r="Q45" s="2" t="s">
        <v>1901</v>
      </c>
      <c r="R45" s="2">
        <v>0</v>
      </c>
      <c r="S45" s="2">
        <v>7395.2</v>
      </c>
      <c r="T45" s="2">
        <v>5596.4</v>
      </c>
      <c r="U45" s="2">
        <v>0</v>
      </c>
      <c r="V45" s="2">
        <v>-1479040</v>
      </c>
      <c r="W45" s="2">
        <v>-1399100</v>
      </c>
      <c r="X45" s="2">
        <v>0</v>
      </c>
      <c r="Y45" s="2">
        <v>-1479040</v>
      </c>
      <c r="Z45" s="2">
        <v>-1393350</v>
      </c>
      <c r="AA45" s="2">
        <v>0</v>
      </c>
      <c r="AB45">
        <f>VLOOKUP(E45,'1'!V:W,2,0)</f>
        <v>55</v>
      </c>
    </row>
    <row r="46" spans="1:28">
      <c r="A46" s="1">
        <v>22</v>
      </c>
      <c r="B46" s="2">
        <v>0</v>
      </c>
      <c r="C46" s="2">
        <v>201</v>
      </c>
      <c r="D46" s="2" t="s">
        <v>1943</v>
      </c>
      <c r="E46" s="2" t="s">
        <v>313</v>
      </c>
      <c r="F46" s="2" t="str">
        <f>VLOOKUP(E46,Sheet1!E:G,3,0)</f>
        <v>冠状动脉造影术（左心室造影）</v>
      </c>
      <c r="G46" s="3"/>
      <c r="H46" s="2">
        <v>3585</v>
      </c>
      <c r="I46" s="2">
        <v>3385</v>
      </c>
      <c r="J46" s="2">
        <v>2870</v>
      </c>
      <c r="K46" s="3"/>
      <c r="L46" s="2">
        <v>3420</v>
      </c>
      <c r="M46" s="2">
        <v>3185</v>
      </c>
      <c r="N46" s="2">
        <v>2715</v>
      </c>
      <c r="O46" s="2">
        <v>1</v>
      </c>
      <c r="P46" s="2">
        <v>1</v>
      </c>
      <c r="Q46" s="2" t="s">
        <v>1901</v>
      </c>
      <c r="R46" s="2">
        <v>0</v>
      </c>
      <c r="S46" s="2">
        <v>5</v>
      </c>
      <c r="T46" s="2">
        <v>34</v>
      </c>
      <c r="U46" s="2">
        <v>0</v>
      </c>
      <c r="V46" s="2">
        <v>-825</v>
      </c>
      <c r="W46" s="2">
        <v>-6800</v>
      </c>
      <c r="X46" s="2">
        <v>0</v>
      </c>
      <c r="Y46" s="2">
        <v>-825</v>
      </c>
      <c r="Z46" s="2">
        <v>-6800</v>
      </c>
      <c r="AA46" s="2">
        <v>0</v>
      </c>
      <c r="AB46">
        <f>VLOOKUP(E46,'1'!V:W,2,0)</f>
        <v>59</v>
      </c>
    </row>
    <row r="47" spans="1:28">
      <c r="A47" s="1">
        <v>71</v>
      </c>
      <c r="B47" s="2">
        <v>0</v>
      </c>
      <c r="C47" s="2">
        <v>201</v>
      </c>
      <c r="D47" s="2" t="s">
        <v>1943</v>
      </c>
      <c r="E47" s="2" t="s">
        <v>323</v>
      </c>
      <c r="F47" s="2" t="str">
        <f>VLOOKUP(E47,Sheet1!E:G,3,0)</f>
        <v>冠脉血管内超声检查术（IVUS）</v>
      </c>
      <c r="G47" s="3"/>
      <c r="H47" s="2">
        <v>4050</v>
      </c>
      <c r="I47" s="2">
        <v>3650</v>
      </c>
      <c r="J47" s="2">
        <v>3100</v>
      </c>
      <c r="K47" s="3"/>
      <c r="L47" s="2">
        <v>4055</v>
      </c>
      <c r="M47" s="2">
        <v>3735</v>
      </c>
      <c r="N47" s="2">
        <v>3180</v>
      </c>
      <c r="O47" s="2">
        <v>1</v>
      </c>
      <c r="P47" s="2">
        <v>1</v>
      </c>
      <c r="Q47" s="2" t="s">
        <v>1901</v>
      </c>
      <c r="R47" s="2">
        <v>0</v>
      </c>
      <c r="S47" s="2">
        <v>734.7</v>
      </c>
      <c r="T47" s="2">
        <v>493.5</v>
      </c>
      <c r="U47" s="2">
        <v>0</v>
      </c>
      <c r="V47" s="2">
        <v>3673.5</v>
      </c>
      <c r="W47" s="2">
        <v>41947.5</v>
      </c>
      <c r="X47" s="2">
        <v>0</v>
      </c>
      <c r="Y47" s="2">
        <v>655151</v>
      </c>
      <c r="Z47" s="2">
        <v>348097.5</v>
      </c>
      <c r="AA47" s="2">
        <v>0</v>
      </c>
      <c r="AB47">
        <f>VLOOKUP(E47,'1'!V:W,2,0)</f>
        <v>61</v>
      </c>
    </row>
    <row r="48" spans="1:28">
      <c r="A48" s="1">
        <v>66</v>
      </c>
      <c r="B48" s="2">
        <v>0</v>
      </c>
      <c r="C48" s="2">
        <v>201</v>
      </c>
      <c r="D48" s="2" t="s">
        <v>1943</v>
      </c>
      <c r="E48" s="2" t="s">
        <v>327</v>
      </c>
      <c r="F48" s="2" t="str">
        <f>VLOOKUP(E48,Sheet1!E:G,3,0)</f>
        <v>冠脉血管内超声检查术（多普勒血流测量术）</v>
      </c>
      <c r="G48" s="3"/>
      <c r="H48" s="2">
        <v>4860</v>
      </c>
      <c r="I48" s="2">
        <v>4380</v>
      </c>
      <c r="J48" s="2">
        <v>3720</v>
      </c>
      <c r="K48" s="3"/>
      <c r="L48" s="2">
        <v>4055</v>
      </c>
      <c r="M48" s="2">
        <v>3735</v>
      </c>
      <c r="N48" s="2">
        <v>3180</v>
      </c>
      <c r="O48" s="2">
        <v>1</v>
      </c>
      <c r="P48" s="2">
        <v>1</v>
      </c>
      <c r="Q48" s="2" t="s">
        <v>1901</v>
      </c>
      <c r="R48" s="2">
        <v>0</v>
      </c>
      <c r="S48" s="2">
        <v>3</v>
      </c>
      <c r="T48" s="2">
        <v>14</v>
      </c>
      <c r="U48" s="2">
        <v>0</v>
      </c>
      <c r="V48" s="2">
        <v>-2415</v>
      </c>
      <c r="W48" s="2">
        <v>-9030</v>
      </c>
      <c r="X48" s="2">
        <v>0</v>
      </c>
      <c r="Y48" s="2">
        <v>-2415</v>
      </c>
      <c r="Z48" s="2">
        <v>1500</v>
      </c>
      <c r="AA48" s="2">
        <v>0</v>
      </c>
      <c r="AB48">
        <f>VLOOKUP(E48,'1'!V:W,2,0)</f>
        <v>62</v>
      </c>
    </row>
    <row r="49" spans="1:28">
      <c r="A49" s="1">
        <v>88</v>
      </c>
      <c r="B49" s="2">
        <v>0</v>
      </c>
      <c r="C49" s="2">
        <v>201</v>
      </c>
      <c r="D49" s="2" t="s">
        <v>1943</v>
      </c>
      <c r="E49" s="2" t="s">
        <v>343</v>
      </c>
      <c r="F49" s="2" t="str">
        <f>VLOOKUP(E49,Sheet1!E:G,3,0)</f>
        <v>冠状动脉血流储备分数检查</v>
      </c>
      <c r="G49" s="3"/>
      <c r="H49" s="2">
        <v>900</v>
      </c>
      <c r="I49" s="2">
        <v>810</v>
      </c>
      <c r="J49" s="2">
        <v>690</v>
      </c>
      <c r="K49" s="3"/>
      <c r="L49" s="2">
        <v>900</v>
      </c>
      <c r="M49" s="2">
        <v>810</v>
      </c>
      <c r="N49" s="2">
        <v>690</v>
      </c>
      <c r="O49" s="2">
        <v>1</v>
      </c>
      <c r="P49" s="2">
        <v>1</v>
      </c>
      <c r="Q49" s="2" t="s">
        <v>1901</v>
      </c>
      <c r="R49" s="2">
        <v>0</v>
      </c>
      <c r="S49" s="2">
        <v>72.2</v>
      </c>
      <c r="T49" s="2">
        <v>380</v>
      </c>
      <c r="U49" s="2">
        <v>0</v>
      </c>
      <c r="V49" s="2">
        <v>0</v>
      </c>
      <c r="W49" s="2">
        <v>0</v>
      </c>
      <c r="X49" s="2">
        <v>0</v>
      </c>
      <c r="Y49" s="2">
        <v>0</v>
      </c>
      <c r="Z49" s="2">
        <v>0</v>
      </c>
      <c r="AA49" s="2">
        <v>0</v>
      </c>
      <c r="AB49">
        <f>VLOOKUP(E49,'1'!V:W,2,0)</f>
        <v>67</v>
      </c>
    </row>
    <row r="50" spans="1:28">
      <c r="A50" s="1">
        <v>90</v>
      </c>
      <c r="B50" s="2">
        <v>0</v>
      </c>
      <c r="C50" s="2">
        <v>201</v>
      </c>
      <c r="D50" s="2" t="s">
        <v>1943</v>
      </c>
      <c r="E50" s="2" t="s">
        <v>357</v>
      </c>
      <c r="F50" s="2" t="str">
        <f>VLOOKUP(E50,Sheet1!E:G,3,0)</f>
        <v>经皮冠状动脉内支架置入术（STENT）</v>
      </c>
      <c r="G50" s="3"/>
      <c r="H50" s="2">
        <v>4300</v>
      </c>
      <c r="I50" s="2">
        <v>4100</v>
      </c>
      <c r="J50" s="2">
        <v>3700</v>
      </c>
      <c r="K50" s="3"/>
      <c r="L50" s="2">
        <v>4380</v>
      </c>
      <c r="M50" s="2">
        <v>4050</v>
      </c>
      <c r="N50" s="2">
        <v>3450</v>
      </c>
      <c r="O50" s="2">
        <v>1</v>
      </c>
      <c r="P50" s="2">
        <v>1</v>
      </c>
      <c r="Q50" s="2" t="s">
        <v>1901</v>
      </c>
      <c r="R50" s="2">
        <v>0</v>
      </c>
      <c r="S50" s="2">
        <v>2472.25</v>
      </c>
      <c r="T50" s="2">
        <v>2000.7</v>
      </c>
      <c r="U50" s="2">
        <v>0</v>
      </c>
      <c r="V50" s="2">
        <v>197780</v>
      </c>
      <c r="W50" s="2">
        <v>-100035</v>
      </c>
      <c r="X50" s="2">
        <v>0</v>
      </c>
      <c r="Y50" s="2">
        <v>197780</v>
      </c>
      <c r="Z50" s="2">
        <v>-100235</v>
      </c>
      <c r="AA50" s="2">
        <v>0</v>
      </c>
      <c r="AB50">
        <f>VLOOKUP(E50,'1'!V:W,2,0)</f>
        <v>69</v>
      </c>
    </row>
    <row r="51" spans="1:28">
      <c r="A51" s="1">
        <v>91</v>
      </c>
      <c r="B51" s="2">
        <v>0</v>
      </c>
      <c r="C51" s="2">
        <v>201</v>
      </c>
      <c r="D51" s="2" t="s">
        <v>1943</v>
      </c>
      <c r="E51" s="2" t="s">
        <v>361</v>
      </c>
      <c r="F51" s="2" t="str">
        <f>VLOOKUP(E51,Sheet1!E:G,3,0)</f>
        <v>经皮冠状动脉内支架置入术（扩张多支血管加收）</v>
      </c>
      <c r="G51" s="3"/>
      <c r="H51" s="2">
        <v>645</v>
      </c>
      <c r="I51" s="2">
        <v>615</v>
      </c>
      <c r="J51" s="2">
        <v>555</v>
      </c>
      <c r="K51" s="3"/>
      <c r="L51" s="2">
        <v>0</v>
      </c>
      <c r="M51" s="2">
        <v>0</v>
      </c>
      <c r="N51" s="2">
        <v>0</v>
      </c>
      <c r="O51" s="2">
        <v>1</v>
      </c>
      <c r="P51" s="2">
        <v>1</v>
      </c>
      <c r="Q51" s="2" t="s">
        <v>1901</v>
      </c>
      <c r="R51" s="2">
        <v>0</v>
      </c>
      <c r="S51" s="2">
        <v>265</v>
      </c>
      <c r="T51" s="2">
        <v>91</v>
      </c>
      <c r="U51" s="2">
        <v>0</v>
      </c>
      <c r="V51" s="2">
        <v>-170925</v>
      </c>
      <c r="W51" s="2">
        <v>-55965</v>
      </c>
      <c r="X51" s="2">
        <v>0</v>
      </c>
      <c r="Y51" s="2">
        <v>-170925</v>
      </c>
      <c r="Z51" s="2">
        <v>-55965</v>
      </c>
      <c r="AA51" s="2">
        <v>0</v>
      </c>
      <c r="AB51">
        <f>VLOOKUP(E51,'1'!V:W,2,0)</f>
        <v>70</v>
      </c>
    </row>
    <row r="52" spans="1:28">
      <c r="A52" s="1">
        <v>70</v>
      </c>
      <c r="B52" s="2">
        <v>0</v>
      </c>
      <c r="C52" s="2">
        <v>201</v>
      </c>
      <c r="D52" s="2" t="s">
        <v>1943</v>
      </c>
      <c r="E52" s="2" t="s">
        <v>367</v>
      </c>
      <c r="F52" s="2" t="str">
        <f>VLOOKUP(E52,Sheet1!E:G,3,0)</f>
        <v>经皮冠状动脉内支架置入术（STENT）（使用远端保护装置加收）</v>
      </c>
      <c r="G52" s="3"/>
      <c r="H52" s="2">
        <v>515</v>
      </c>
      <c r="I52" s="2">
        <v>490</v>
      </c>
      <c r="J52" s="2">
        <v>445</v>
      </c>
      <c r="K52" s="3"/>
      <c r="L52" s="2">
        <v>0</v>
      </c>
      <c r="M52" s="2">
        <v>0</v>
      </c>
      <c r="N52" s="2">
        <v>0</v>
      </c>
      <c r="O52" s="2">
        <v>1</v>
      </c>
      <c r="P52" s="2">
        <v>1</v>
      </c>
      <c r="Q52" s="2" t="s">
        <v>1901</v>
      </c>
      <c r="R52" s="2">
        <v>0</v>
      </c>
      <c r="S52" s="2">
        <v>37</v>
      </c>
      <c r="T52" s="2">
        <v>0</v>
      </c>
      <c r="U52" s="2">
        <v>0</v>
      </c>
      <c r="V52" s="2">
        <v>-19055</v>
      </c>
      <c r="W52" s="2">
        <v>0</v>
      </c>
      <c r="X52" s="2">
        <v>0</v>
      </c>
      <c r="Y52" s="2">
        <v>-19055</v>
      </c>
      <c r="Z52" s="2">
        <v>0</v>
      </c>
      <c r="AA52" s="2">
        <v>0</v>
      </c>
      <c r="AB52">
        <f>VLOOKUP(E52,'1'!V:W,2,0)</f>
        <v>72</v>
      </c>
    </row>
    <row r="53" spans="1:28">
      <c r="A53" s="1">
        <v>65</v>
      </c>
      <c r="B53" s="2">
        <v>0</v>
      </c>
      <c r="C53" s="2">
        <v>201</v>
      </c>
      <c r="D53" s="2" t="s">
        <v>1943</v>
      </c>
      <c r="E53" s="2" t="s">
        <v>370</v>
      </c>
      <c r="F53" s="2" t="str">
        <f>VLOOKUP(E53,Sheet1!E:G,3,0)</f>
        <v>冠脉内局部药物释放治疗术</v>
      </c>
      <c r="G53" s="3"/>
      <c r="H53" s="2">
        <v>5130</v>
      </c>
      <c r="I53" s="2">
        <v>4620</v>
      </c>
      <c r="J53" s="2">
        <v>3695</v>
      </c>
      <c r="K53" s="3"/>
      <c r="L53" s="2">
        <v>4380</v>
      </c>
      <c r="M53" s="2">
        <v>4050</v>
      </c>
      <c r="N53" s="2">
        <v>3450</v>
      </c>
      <c r="O53" s="2">
        <v>1</v>
      </c>
      <c r="P53" s="2">
        <v>1</v>
      </c>
      <c r="Q53" s="2" t="s">
        <v>1901</v>
      </c>
      <c r="R53" s="2">
        <v>0</v>
      </c>
      <c r="S53" s="2">
        <v>11.4</v>
      </c>
      <c r="T53" s="2">
        <v>72</v>
      </c>
      <c r="U53" s="2">
        <v>0</v>
      </c>
      <c r="V53" s="2">
        <v>-8550</v>
      </c>
      <c r="W53" s="2">
        <v>-41040</v>
      </c>
      <c r="X53" s="2">
        <v>0</v>
      </c>
      <c r="Y53" s="2">
        <v>-8550</v>
      </c>
      <c r="Z53" s="2">
        <v>-41040</v>
      </c>
      <c r="AA53" s="2">
        <v>0</v>
      </c>
      <c r="AB53">
        <f>VLOOKUP(E53,'1'!V:W,2,0)</f>
        <v>73</v>
      </c>
    </row>
    <row r="54" spans="1:28">
      <c r="A54" s="1">
        <v>117</v>
      </c>
      <c r="B54" s="2">
        <v>0</v>
      </c>
      <c r="C54" s="2">
        <v>201</v>
      </c>
      <c r="D54" s="2" t="s">
        <v>1943</v>
      </c>
      <c r="E54" s="2" t="s">
        <v>386</v>
      </c>
      <c r="F54" s="2" t="str">
        <f>VLOOKUP(E54,Sheet1!E:G,3,0)</f>
        <v>经皮冠状动脉腔内成形术（PTCA）</v>
      </c>
      <c r="G54" s="3"/>
      <c r="H54" s="2">
        <v>3250</v>
      </c>
      <c r="I54" s="2">
        <v>2950</v>
      </c>
      <c r="J54" s="2">
        <v>2500</v>
      </c>
      <c r="K54" s="3"/>
      <c r="L54" s="2">
        <v>3285</v>
      </c>
      <c r="M54" s="2">
        <v>2975</v>
      </c>
      <c r="N54" s="2">
        <v>2530</v>
      </c>
      <c r="O54" s="2">
        <v>1</v>
      </c>
      <c r="P54" s="2">
        <v>1</v>
      </c>
      <c r="Q54" s="2" t="s">
        <v>1901</v>
      </c>
      <c r="R54" s="2">
        <v>0</v>
      </c>
      <c r="S54" s="2">
        <v>731.2</v>
      </c>
      <c r="T54" s="2">
        <v>867.8</v>
      </c>
      <c r="U54" s="2">
        <v>0</v>
      </c>
      <c r="V54" s="2">
        <v>25592</v>
      </c>
      <c r="W54" s="2">
        <v>21695</v>
      </c>
      <c r="X54" s="2">
        <v>0</v>
      </c>
      <c r="Y54" s="2">
        <v>552617</v>
      </c>
      <c r="Z54" s="2">
        <v>475590</v>
      </c>
      <c r="AA54" s="2">
        <v>0</v>
      </c>
      <c r="AB54">
        <f>VLOOKUP(E54,'1'!V:W,2,0)</f>
        <v>77</v>
      </c>
    </row>
    <row r="55" spans="1:28">
      <c r="A55" s="1">
        <v>42</v>
      </c>
      <c r="B55" s="2">
        <v>0</v>
      </c>
      <c r="C55" s="2">
        <v>201</v>
      </c>
      <c r="D55" s="2" t="s">
        <v>1943</v>
      </c>
      <c r="E55" s="2" t="s">
        <v>390</v>
      </c>
      <c r="F55" s="2" t="str">
        <f>VLOOKUP(E55,Sheet1!E:G,3,0)</f>
        <v>使用经皮冠状动脉腔内成形术（扩张多支血管加收）</v>
      </c>
      <c r="G55" s="3"/>
      <c r="H55" s="2">
        <v>650</v>
      </c>
      <c r="I55" s="2">
        <v>590</v>
      </c>
      <c r="J55" s="2">
        <v>500</v>
      </c>
      <c r="K55" s="3"/>
      <c r="L55" s="2">
        <v>0</v>
      </c>
      <c r="M55" s="2">
        <v>0</v>
      </c>
      <c r="N55" s="2">
        <v>0</v>
      </c>
      <c r="O55" s="2">
        <v>1</v>
      </c>
      <c r="P55" s="2">
        <v>1</v>
      </c>
      <c r="Q55" s="2" t="s">
        <v>1901</v>
      </c>
      <c r="R55" s="2">
        <v>0</v>
      </c>
      <c r="S55" s="2">
        <v>36</v>
      </c>
      <c r="T55" s="2">
        <v>37</v>
      </c>
      <c r="U55" s="2">
        <v>0</v>
      </c>
      <c r="V55" s="2">
        <v>-23400</v>
      </c>
      <c r="W55" s="2">
        <v>-21830</v>
      </c>
      <c r="X55" s="2">
        <v>0</v>
      </c>
      <c r="Y55" s="2">
        <v>-18150</v>
      </c>
      <c r="Z55" s="2">
        <v>-18200</v>
      </c>
      <c r="AA55" s="2">
        <v>0</v>
      </c>
      <c r="AB55">
        <f>VLOOKUP(E55,'1'!V:W,2,0)</f>
        <v>78</v>
      </c>
    </row>
    <row r="56" spans="1:28">
      <c r="A56" s="1">
        <v>53</v>
      </c>
      <c r="B56" s="2">
        <v>0</v>
      </c>
      <c r="C56" s="2">
        <v>201</v>
      </c>
      <c r="D56" s="2" t="s">
        <v>1943</v>
      </c>
      <c r="E56" s="2" t="s">
        <v>416</v>
      </c>
      <c r="F56" s="2" t="str">
        <f>VLOOKUP(E56,Sheet1!E:G,3,0)</f>
        <v>高速冠状动脉内膜旋磨术</v>
      </c>
      <c r="G56" s="3"/>
      <c r="H56" s="2">
        <v>4300</v>
      </c>
      <c r="I56" s="2">
        <v>4100</v>
      </c>
      <c r="J56" s="2">
        <v>3700</v>
      </c>
      <c r="K56" s="3"/>
      <c r="L56" s="2">
        <v>4370</v>
      </c>
      <c r="M56" s="2">
        <v>4050</v>
      </c>
      <c r="N56" s="2">
        <v>3450</v>
      </c>
      <c r="O56" s="2">
        <v>1</v>
      </c>
      <c r="P56" s="2">
        <v>1</v>
      </c>
      <c r="Q56" s="2" t="s">
        <v>1901</v>
      </c>
      <c r="R56" s="2">
        <v>0</v>
      </c>
      <c r="S56" s="2">
        <v>50</v>
      </c>
      <c r="T56" s="2">
        <v>14</v>
      </c>
      <c r="U56" s="2">
        <v>0</v>
      </c>
      <c r="V56" s="2">
        <v>3500</v>
      </c>
      <c r="W56" s="2">
        <v>-700</v>
      </c>
      <c r="X56" s="2">
        <v>0</v>
      </c>
      <c r="Y56" s="2">
        <v>3500</v>
      </c>
      <c r="Z56" s="2">
        <v>-700</v>
      </c>
      <c r="AA56" s="2">
        <v>0</v>
      </c>
      <c r="AB56">
        <f>VLOOKUP(E56,'1'!V:W,2,0)</f>
        <v>86</v>
      </c>
    </row>
    <row r="57" spans="1:28">
      <c r="A57" s="1">
        <v>81</v>
      </c>
      <c r="B57" s="2">
        <v>0</v>
      </c>
      <c r="C57" s="2">
        <v>201</v>
      </c>
      <c r="D57" s="2" t="s">
        <v>1943</v>
      </c>
      <c r="E57" s="2" t="s">
        <v>420</v>
      </c>
      <c r="F57" s="2" t="str">
        <f>VLOOKUP(E57,Sheet1!E:G,3,0)</f>
        <v>高速冠状动脉内膜旋磨术（旋磨多支血管）</v>
      </c>
      <c r="G57" s="3"/>
      <c r="H57" s="2">
        <v>4945</v>
      </c>
      <c r="I57" s="2">
        <v>4715</v>
      </c>
      <c r="J57" s="2">
        <v>4255</v>
      </c>
      <c r="K57" s="3"/>
      <c r="L57" s="2">
        <v>4370</v>
      </c>
      <c r="M57" s="2">
        <v>4050</v>
      </c>
      <c r="N57" s="2">
        <v>3450</v>
      </c>
      <c r="O57" s="2">
        <v>1</v>
      </c>
      <c r="P57" s="2">
        <v>1</v>
      </c>
      <c r="Q57" s="2" t="s">
        <v>1901</v>
      </c>
      <c r="R57" s="2">
        <v>0</v>
      </c>
      <c r="S57" s="2">
        <v>6</v>
      </c>
      <c r="T57" s="2">
        <v>0</v>
      </c>
      <c r="U57" s="2">
        <v>0</v>
      </c>
      <c r="V57" s="2">
        <v>-3450</v>
      </c>
      <c r="W57" s="2">
        <v>0</v>
      </c>
      <c r="X57" s="2">
        <v>0</v>
      </c>
      <c r="Y57" s="2">
        <v>-3450</v>
      </c>
      <c r="Z57" s="2">
        <v>0</v>
      </c>
      <c r="AA57" s="2">
        <v>0</v>
      </c>
      <c r="AB57">
        <f>VLOOKUP(E57,'1'!V:W,2,0)</f>
        <v>87</v>
      </c>
    </row>
    <row r="58" spans="1:28">
      <c r="A58" s="1">
        <v>125</v>
      </c>
      <c r="B58" s="2">
        <v>0</v>
      </c>
      <c r="C58" s="2">
        <v>201</v>
      </c>
      <c r="D58" s="2" t="s">
        <v>1943</v>
      </c>
      <c r="E58" s="2" t="s">
        <v>450</v>
      </c>
      <c r="F58" s="2" t="str">
        <f>VLOOKUP(E58,Sheet1!E:G,3,0)</f>
        <v>经皮冠状动脉内溶栓术</v>
      </c>
      <c r="G58" s="3"/>
      <c r="H58" s="2">
        <v>2530</v>
      </c>
      <c r="I58" s="2">
        <v>2280</v>
      </c>
      <c r="J58" s="2">
        <v>1940</v>
      </c>
      <c r="K58" s="3"/>
      <c r="L58" s="2">
        <v>1000</v>
      </c>
      <c r="M58" s="2">
        <v>900</v>
      </c>
      <c r="N58" s="2">
        <v>770</v>
      </c>
      <c r="O58" s="2">
        <v>1</v>
      </c>
      <c r="P58" s="2">
        <v>1</v>
      </c>
      <c r="Q58" s="2" t="s">
        <v>1901</v>
      </c>
      <c r="R58" s="2">
        <v>0</v>
      </c>
      <c r="S58" s="2">
        <v>0</v>
      </c>
      <c r="T58" s="2">
        <v>2.5</v>
      </c>
      <c r="U58" s="2">
        <v>0</v>
      </c>
      <c r="V58" s="2">
        <v>0</v>
      </c>
      <c r="W58" s="2">
        <v>-3450</v>
      </c>
      <c r="X58" s="2">
        <v>0</v>
      </c>
      <c r="Y58" s="2">
        <v>0</v>
      </c>
      <c r="Z58" s="2">
        <v>-3450</v>
      </c>
      <c r="AA58" s="2">
        <v>0</v>
      </c>
      <c r="AB58">
        <f>VLOOKUP(E58,'1'!V:W,2,0)</f>
        <v>96</v>
      </c>
    </row>
    <row r="59" spans="1:28">
      <c r="A59" s="1">
        <v>92</v>
      </c>
      <c r="B59" s="2">
        <v>0</v>
      </c>
      <c r="C59" s="2">
        <v>201</v>
      </c>
      <c r="D59" s="2" t="s">
        <v>1943</v>
      </c>
      <c r="E59" s="2" t="s">
        <v>463</v>
      </c>
      <c r="F59" s="2" t="str">
        <f>VLOOKUP(E59,Sheet1!E:G,3,0)</f>
        <v>主动脉内球囊反搏置管术</v>
      </c>
      <c r="G59" s="3"/>
      <c r="H59" s="2">
        <v>1500</v>
      </c>
      <c r="I59" s="2">
        <v>1440</v>
      </c>
      <c r="J59" s="2">
        <v>1224</v>
      </c>
      <c r="K59" s="3"/>
      <c r="L59" s="2">
        <v>1265</v>
      </c>
      <c r="M59" s="2">
        <v>1215</v>
      </c>
      <c r="N59" s="2">
        <v>1035</v>
      </c>
      <c r="O59" s="2">
        <v>1</v>
      </c>
      <c r="P59" s="2">
        <v>1</v>
      </c>
      <c r="Q59" s="2" t="s">
        <v>1901</v>
      </c>
      <c r="R59" s="2">
        <v>0</v>
      </c>
      <c r="S59" s="2">
        <v>87</v>
      </c>
      <c r="T59" s="2">
        <v>29.5</v>
      </c>
      <c r="U59" s="2">
        <v>0</v>
      </c>
      <c r="V59" s="2">
        <v>-20445</v>
      </c>
      <c r="W59" s="2">
        <v>-6637.5</v>
      </c>
      <c r="X59" s="2">
        <v>0</v>
      </c>
      <c r="Y59" s="2">
        <v>-20445</v>
      </c>
      <c r="Z59" s="2">
        <v>-6637.5</v>
      </c>
      <c r="AA59" s="2">
        <v>0</v>
      </c>
      <c r="AB59">
        <f>VLOOKUP(E59,'1'!V:W,2,0)</f>
        <v>99</v>
      </c>
    </row>
    <row r="60" spans="1:28">
      <c r="A60" s="1">
        <v>113</v>
      </c>
      <c r="B60" s="2">
        <v>0</v>
      </c>
      <c r="C60" s="2">
        <v>201</v>
      </c>
      <c r="D60" s="2" t="s">
        <v>1943</v>
      </c>
      <c r="E60" s="2" t="s">
        <v>469</v>
      </c>
      <c r="F60" s="2" t="str">
        <f>VLOOKUP(E60,Sheet1!E:G,3,0)</f>
        <v>经皮冠状动脉内振波成形术</v>
      </c>
      <c r="G60" s="3"/>
      <c r="H60" s="2">
        <v>0</v>
      </c>
      <c r="I60" s="2">
        <v>0</v>
      </c>
      <c r="J60" s="2">
        <v>0</v>
      </c>
      <c r="K60" s="3"/>
      <c r="L60" s="2">
        <v>1265</v>
      </c>
      <c r="M60" s="2">
        <v>1215</v>
      </c>
      <c r="N60" s="2">
        <v>1035</v>
      </c>
      <c r="O60" s="2">
        <v>1</v>
      </c>
      <c r="P60" s="2">
        <v>1</v>
      </c>
      <c r="Q60" s="2" t="s">
        <v>1901</v>
      </c>
      <c r="R60" s="2">
        <v>0</v>
      </c>
      <c r="S60" s="2">
        <v>16.9</v>
      </c>
      <c r="T60" s="2">
        <v>0</v>
      </c>
      <c r="U60" s="2">
        <v>0</v>
      </c>
      <c r="V60" s="2">
        <v>21378.5</v>
      </c>
      <c r="W60" s="2">
        <v>0</v>
      </c>
      <c r="X60" s="2">
        <v>0</v>
      </c>
      <c r="Y60" s="2">
        <v>-40161.5</v>
      </c>
      <c r="Z60" s="2">
        <v>0</v>
      </c>
      <c r="AA60" s="2">
        <v>0</v>
      </c>
      <c r="AB60">
        <f>VLOOKUP(E60,'1'!V:W,2,0)</f>
        <v>101</v>
      </c>
    </row>
    <row r="61" spans="1:28">
      <c r="A61" s="1">
        <v>24</v>
      </c>
      <c r="B61" s="2">
        <v>0</v>
      </c>
      <c r="C61" s="2">
        <v>201</v>
      </c>
      <c r="D61" s="2" t="s">
        <v>1943</v>
      </c>
      <c r="E61" s="2" t="s">
        <v>483</v>
      </c>
      <c r="F61" s="2" t="str">
        <f>VLOOKUP(E61,Sheet1!E:G,3,0)</f>
        <v>经皮主动脉气囊反搏动术（IABP）</v>
      </c>
      <c r="G61" s="3"/>
      <c r="H61" s="2">
        <v>85</v>
      </c>
      <c r="I61" s="2">
        <v>80</v>
      </c>
      <c r="J61" s="2">
        <v>72</v>
      </c>
      <c r="K61" s="3"/>
      <c r="L61" s="2">
        <v>85</v>
      </c>
      <c r="M61" s="2">
        <v>80</v>
      </c>
      <c r="N61" s="2">
        <v>72</v>
      </c>
      <c r="O61" s="2">
        <v>1</v>
      </c>
      <c r="P61" s="2">
        <v>1</v>
      </c>
      <c r="Q61" s="2" t="s">
        <v>1901</v>
      </c>
      <c r="R61" s="2">
        <v>0</v>
      </c>
      <c r="S61" s="2">
        <v>5338</v>
      </c>
      <c r="T61" s="2">
        <v>2125.5</v>
      </c>
      <c r="U61" s="2">
        <v>0</v>
      </c>
      <c r="V61" s="2">
        <v>0</v>
      </c>
      <c r="W61" s="2">
        <v>0</v>
      </c>
      <c r="X61" s="2">
        <v>0</v>
      </c>
      <c r="Y61" s="2">
        <v>0</v>
      </c>
      <c r="Z61" s="2">
        <v>0</v>
      </c>
      <c r="AA61" s="2">
        <v>0</v>
      </c>
      <c r="AB61">
        <f>VLOOKUP(E61,'1'!V:W,2,0)</f>
        <v>103</v>
      </c>
    </row>
    <row r="62" spans="1:28">
      <c r="A62" s="1">
        <v>75</v>
      </c>
      <c r="B62" s="2">
        <v>0</v>
      </c>
      <c r="C62" s="2">
        <v>201</v>
      </c>
      <c r="D62" s="2" t="s">
        <v>1943</v>
      </c>
      <c r="E62" s="2" t="s">
        <v>492</v>
      </c>
      <c r="F62" s="2" t="str">
        <f>VLOOKUP(E62,Sheet1!E:G,3,0)</f>
        <v>右心导管检查术</v>
      </c>
      <c r="G62" s="3"/>
      <c r="H62" s="2">
        <v>1035</v>
      </c>
      <c r="I62" s="2">
        <v>900</v>
      </c>
      <c r="J62" s="2">
        <v>765</v>
      </c>
      <c r="K62" s="3"/>
      <c r="L62" s="2">
        <v>950</v>
      </c>
      <c r="M62" s="2">
        <v>880</v>
      </c>
      <c r="N62" s="2">
        <v>750</v>
      </c>
      <c r="O62" s="2">
        <v>1</v>
      </c>
      <c r="P62" s="2">
        <v>1</v>
      </c>
      <c r="Q62" s="2" t="s">
        <v>1901</v>
      </c>
      <c r="R62" s="2">
        <v>0</v>
      </c>
      <c r="S62" s="2">
        <v>44</v>
      </c>
      <c r="T62" s="2">
        <v>6</v>
      </c>
      <c r="U62" s="2">
        <v>0</v>
      </c>
      <c r="V62" s="2">
        <v>-3740</v>
      </c>
      <c r="W62" s="2">
        <v>-120</v>
      </c>
      <c r="X62" s="2">
        <v>0</v>
      </c>
      <c r="Y62" s="2">
        <v>-3740</v>
      </c>
      <c r="Z62" s="2">
        <v>-120</v>
      </c>
      <c r="AA62" s="2">
        <v>0</v>
      </c>
      <c r="AB62">
        <f>VLOOKUP(E62,'1'!V:W,2,0)</f>
        <v>105</v>
      </c>
    </row>
    <row r="63" spans="1:28">
      <c r="A63" s="1">
        <v>84</v>
      </c>
      <c r="B63" s="2">
        <v>0</v>
      </c>
      <c r="C63" s="2">
        <v>201</v>
      </c>
      <c r="D63" s="2" t="s">
        <v>1943</v>
      </c>
      <c r="E63" s="2" t="s">
        <v>496</v>
      </c>
      <c r="F63" s="2" t="str">
        <f>VLOOKUP(E63,Sheet1!E:G,3,0)</f>
        <v>右心导管检查术（血氧测定）</v>
      </c>
      <c r="G63" s="3"/>
      <c r="H63" s="2">
        <v>1092.5</v>
      </c>
      <c r="I63" s="2">
        <v>950</v>
      </c>
      <c r="J63" s="2">
        <v>807.5</v>
      </c>
      <c r="K63" s="3"/>
      <c r="L63" s="2">
        <v>950</v>
      </c>
      <c r="M63" s="2">
        <v>880</v>
      </c>
      <c r="N63" s="2">
        <v>750</v>
      </c>
      <c r="O63" s="2">
        <v>1</v>
      </c>
      <c r="P63" s="2">
        <v>1</v>
      </c>
      <c r="Q63" s="2" t="s">
        <v>1901</v>
      </c>
      <c r="R63" s="2">
        <v>0</v>
      </c>
      <c r="S63" s="2">
        <v>2</v>
      </c>
      <c r="T63" s="2">
        <v>0</v>
      </c>
      <c r="U63" s="2">
        <v>0</v>
      </c>
      <c r="V63" s="2">
        <v>-285</v>
      </c>
      <c r="W63" s="2">
        <v>0</v>
      </c>
      <c r="X63" s="2">
        <v>0</v>
      </c>
      <c r="Y63" s="2">
        <v>-285</v>
      </c>
      <c r="Z63" s="2">
        <v>0</v>
      </c>
      <c r="AA63" s="2">
        <v>0</v>
      </c>
      <c r="AB63">
        <f>VLOOKUP(E63,'1'!V:W,2,0)</f>
        <v>106</v>
      </c>
    </row>
    <row r="64" spans="1:28">
      <c r="A64" s="1">
        <v>4</v>
      </c>
      <c r="B64" s="2">
        <v>0</v>
      </c>
      <c r="C64" s="2">
        <v>201</v>
      </c>
      <c r="D64" s="2" t="s">
        <v>1943</v>
      </c>
      <c r="E64" s="2" t="s">
        <v>499</v>
      </c>
      <c r="F64" s="2" t="str">
        <f>VLOOKUP(E64,Sheet1!E:G,3,0)</f>
        <v>肺动脉压和右心房压力监测</v>
      </c>
      <c r="G64" s="3"/>
      <c r="H64" s="2">
        <v>17.3</v>
      </c>
      <c r="I64" s="2">
        <v>15</v>
      </c>
      <c r="J64" s="2">
        <v>12.8</v>
      </c>
      <c r="K64" s="3"/>
      <c r="L64" s="2">
        <v>0</v>
      </c>
      <c r="M64" s="2">
        <v>0</v>
      </c>
      <c r="N64" s="2">
        <v>0</v>
      </c>
      <c r="O64" s="2">
        <v>1</v>
      </c>
      <c r="P64" s="2">
        <v>1</v>
      </c>
      <c r="Q64" s="2" t="s">
        <v>1901</v>
      </c>
      <c r="R64" s="2">
        <v>0</v>
      </c>
      <c r="S64" s="2">
        <v>33</v>
      </c>
      <c r="T64" s="2">
        <v>0</v>
      </c>
      <c r="U64" s="2">
        <v>0</v>
      </c>
      <c r="V64" s="2">
        <v>-570.9</v>
      </c>
      <c r="W64" s="2">
        <v>0</v>
      </c>
      <c r="X64" s="2">
        <v>0</v>
      </c>
      <c r="Y64" s="2">
        <v>-570.9</v>
      </c>
      <c r="Z64" s="2">
        <v>0</v>
      </c>
      <c r="AA64" s="2">
        <v>0</v>
      </c>
      <c r="AB64">
        <f>VLOOKUP(E64,'1'!V:W,2,0)</f>
        <v>107</v>
      </c>
    </row>
    <row r="65" spans="1:28">
      <c r="A65" s="1">
        <v>13</v>
      </c>
      <c r="B65" s="2">
        <v>0</v>
      </c>
      <c r="C65" s="2">
        <v>201</v>
      </c>
      <c r="D65" s="2" t="s">
        <v>1943</v>
      </c>
      <c r="E65" s="2" t="s">
        <v>509</v>
      </c>
      <c r="F65" s="2" t="str">
        <f>VLOOKUP(E65,Sheet1!E:G,3,0)</f>
        <v>左心导管检查术</v>
      </c>
      <c r="G65" s="3"/>
      <c r="H65" s="2">
        <v>1150</v>
      </c>
      <c r="I65" s="2">
        <v>1000</v>
      </c>
      <c r="J65" s="2">
        <v>850</v>
      </c>
      <c r="K65" s="3"/>
      <c r="L65" s="2">
        <v>1050</v>
      </c>
      <c r="M65" s="2">
        <v>950</v>
      </c>
      <c r="N65" s="2">
        <v>810</v>
      </c>
      <c r="O65" s="2">
        <v>1</v>
      </c>
      <c r="P65" s="2">
        <v>1</v>
      </c>
      <c r="Q65" s="2" t="s">
        <v>1901</v>
      </c>
      <c r="R65" s="2">
        <v>0</v>
      </c>
      <c r="S65" s="2">
        <v>11</v>
      </c>
      <c r="T65" s="2">
        <v>0</v>
      </c>
      <c r="U65" s="2">
        <v>0</v>
      </c>
      <c r="V65" s="2">
        <v>-1100</v>
      </c>
      <c r="W65" s="2">
        <v>0</v>
      </c>
      <c r="X65" s="2">
        <v>0</v>
      </c>
      <c r="Y65" s="2">
        <v>-1100</v>
      </c>
      <c r="Z65" s="2">
        <v>0</v>
      </c>
      <c r="AA65" s="2">
        <v>0</v>
      </c>
      <c r="AB65">
        <f>VLOOKUP(E65,'1'!V:W,2,0)</f>
        <v>110</v>
      </c>
    </row>
    <row r="66" spans="1:28">
      <c r="A66" s="1">
        <v>101</v>
      </c>
      <c r="B66" s="2">
        <v>0</v>
      </c>
      <c r="C66" s="2">
        <v>201</v>
      </c>
      <c r="D66" s="2" t="s">
        <v>1943</v>
      </c>
      <c r="E66" s="2" t="s">
        <v>518</v>
      </c>
      <c r="F66" s="2" t="str">
        <f>VLOOKUP(E66,Sheet1!E:G,3,0)</f>
        <v>经皮瓣膜球囊成形术</v>
      </c>
      <c r="G66" s="3"/>
      <c r="H66" s="2">
        <v>3560</v>
      </c>
      <c r="I66" s="2">
        <v>3200</v>
      </c>
      <c r="J66" s="2">
        <v>2720</v>
      </c>
      <c r="K66" s="3"/>
      <c r="L66" s="2">
        <v>3560</v>
      </c>
      <c r="M66" s="2">
        <v>3200</v>
      </c>
      <c r="N66" s="2">
        <v>2720</v>
      </c>
      <c r="O66" s="2">
        <v>1</v>
      </c>
      <c r="P66" s="2">
        <v>1</v>
      </c>
      <c r="Q66" s="2" t="s">
        <v>1901</v>
      </c>
      <c r="R66" s="2">
        <v>0</v>
      </c>
      <c r="S66" s="2">
        <v>131.2</v>
      </c>
      <c r="T66" s="2">
        <v>1</v>
      </c>
      <c r="U66" s="2">
        <v>0</v>
      </c>
      <c r="V66" s="2">
        <v>0</v>
      </c>
      <c r="W66" s="2">
        <v>0</v>
      </c>
      <c r="X66" s="2">
        <v>0</v>
      </c>
      <c r="Y66" s="2">
        <v>0</v>
      </c>
      <c r="Z66" s="2">
        <v>0</v>
      </c>
      <c r="AA66" s="2">
        <v>0</v>
      </c>
      <c r="AB66">
        <f>VLOOKUP(E66,'1'!V:W,2,0)</f>
        <v>112</v>
      </c>
    </row>
    <row r="67" spans="1:28">
      <c r="A67" s="1">
        <v>16</v>
      </c>
      <c r="B67" s="2">
        <v>0</v>
      </c>
      <c r="C67" s="2">
        <v>201</v>
      </c>
      <c r="D67" s="2" t="s">
        <v>1943</v>
      </c>
      <c r="E67" s="2" t="s">
        <v>532</v>
      </c>
      <c r="F67" s="2" t="str">
        <f>VLOOKUP(E67,Sheet1!E:G,3,0)</f>
        <v>经导管二尖瓣成形术</v>
      </c>
      <c r="G67" s="3"/>
      <c r="H67" s="2">
        <v>6000</v>
      </c>
      <c r="I67" s="2">
        <v>5400</v>
      </c>
      <c r="J67" s="2">
        <v>4600</v>
      </c>
      <c r="K67" s="3"/>
      <c r="L67" s="2">
        <v>3700</v>
      </c>
      <c r="M67" s="2">
        <v>3350</v>
      </c>
      <c r="N67" s="2">
        <v>2850</v>
      </c>
      <c r="O67" s="2">
        <v>1</v>
      </c>
      <c r="P67" s="2">
        <v>1</v>
      </c>
      <c r="Q67" s="2" t="s">
        <v>1901</v>
      </c>
      <c r="R67" s="2">
        <v>0</v>
      </c>
      <c r="S67" s="2">
        <v>7</v>
      </c>
      <c r="T67" s="2">
        <v>0</v>
      </c>
      <c r="U67" s="2">
        <v>0</v>
      </c>
      <c r="V67" s="2">
        <v>-16100</v>
      </c>
      <c r="W67" s="2">
        <v>0</v>
      </c>
      <c r="X67" s="2">
        <v>0</v>
      </c>
      <c r="Y67" s="2">
        <v>-16100</v>
      </c>
      <c r="Z67" s="2">
        <v>0</v>
      </c>
      <c r="AA67" s="2">
        <v>0</v>
      </c>
      <c r="AB67">
        <f>VLOOKUP(E67,'1'!V:W,2,0)</f>
        <v>116</v>
      </c>
    </row>
    <row r="68" spans="1:28">
      <c r="A68" s="1">
        <v>98</v>
      </c>
      <c r="B68" s="2">
        <v>0</v>
      </c>
      <c r="C68" s="2">
        <v>201</v>
      </c>
      <c r="D68" s="2" t="s">
        <v>1943</v>
      </c>
      <c r="E68" s="2" t="s">
        <v>547</v>
      </c>
      <c r="F68" s="2" t="str">
        <f>VLOOKUP(E68,Sheet1!E:G,3,0)</f>
        <v>经导管主动脉瓣置换术</v>
      </c>
      <c r="G68" s="3"/>
      <c r="H68" s="2">
        <v>6000</v>
      </c>
      <c r="I68" s="2">
        <v>5400</v>
      </c>
      <c r="J68" s="2">
        <v>4600</v>
      </c>
      <c r="K68" s="3"/>
      <c r="L68" s="2">
        <v>6000</v>
      </c>
      <c r="M68" s="2">
        <v>5400</v>
      </c>
      <c r="N68" s="2">
        <v>4600</v>
      </c>
      <c r="O68" s="2">
        <v>1</v>
      </c>
      <c r="P68" s="2">
        <v>1</v>
      </c>
      <c r="Q68" s="2" t="s">
        <v>1901</v>
      </c>
      <c r="R68" s="2">
        <v>0</v>
      </c>
      <c r="S68" s="2">
        <v>36</v>
      </c>
      <c r="T68" s="2">
        <v>3</v>
      </c>
      <c r="U68" s="2">
        <v>0</v>
      </c>
      <c r="V68" s="2">
        <v>0</v>
      </c>
      <c r="W68" s="2">
        <v>0</v>
      </c>
      <c r="X68" s="2">
        <v>0</v>
      </c>
      <c r="Y68" s="2">
        <v>0</v>
      </c>
      <c r="Z68" s="2">
        <v>0</v>
      </c>
      <c r="AA68" s="2">
        <v>0</v>
      </c>
      <c r="AB68">
        <f>VLOOKUP(E68,'1'!V:W,2,0)</f>
        <v>121</v>
      </c>
    </row>
    <row r="69" spans="1:28">
      <c r="A69" s="1">
        <v>79</v>
      </c>
      <c r="B69" s="2">
        <v>0</v>
      </c>
      <c r="C69" s="2">
        <v>201</v>
      </c>
      <c r="D69" s="2" t="s">
        <v>1943</v>
      </c>
      <c r="E69" s="2" t="s">
        <v>580</v>
      </c>
      <c r="F69" s="2" t="str">
        <f>VLOOKUP(E69,Sheet1!E:G,3,0)</f>
        <v>先心病介入治疗</v>
      </c>
      <c r="G69" s="3"/>
      <c r="H69" s="2">
        <v>3450</v>
      </c>
      <c r="I69" s="2">
        <v>3250</v>
      </c>
      <c r="J69" s="2">
        <v>2600</v>
      </c>
      <c r="K69" s="3"/>
      <c r="L69" s="2">
        <v>3150</v>
      </c>
      <c r="M69" s="2">
        <v>2850</v>
      </c>
      <c r="N69" s="2">
        <v>2450</v>
      </c>
      <c r="O69" s="2">
        <v>1</v>
      </c>
      <c r="P69" s="2">
        <v>1</v>
      </c>
      <c r="Q69" s="2" t="s">
        <v>1901</v>
      </c>
      <c r="R69" s="2">
        <v>0</v>
      </c>
      <c r="S69" s="2">
        <v>60</v>
      </c>
      <c r="T69" s="2">
        <v>21</v>
      </c>
      <c r="U69" s="2">
        <v>0</v>
      </c>
      <c r="V69" s="2">
        <v>-18000</v>
      </c>
      <c r="W69" s="2">
        <v>-8400</v>
      </c>
      <c r="X69" s="2">
        <v>0</v>
      </c>
      <c r="Y69" s="2">
        <v>-18000</v>
      </c>
      <c r="Z69" s="2">
        <v>-8400</v>
      </c>
      <c r="AA69" s="2">
        <v>0</v>
      </c>
      <c r="AB69">
        <f>VLOOKUP(E69,'1'!V:W,2,0)</f>
        <v>129</v>
      </c>
    </row>
    <row r="70" spans="1:28">
      <c r="A70" s="1">
        <v>39</v>
      </c>
      <c r="B70" s="2">
        <v>0</v>
      </c>
      <c r="C70" s="2">
        <v>201</v>
      </c>
      <c r="D70" s="2" t="s">
        <v>1943</v>
      </c>
      <c r="E70" s="2" t="s">
        <v>584</v>
      </c>
      <c r="F70" s="2" t="str">
        <f>VLOOKUP(E70,Sheet1!E:G,3,0)</f>
        <v>左心耳封堵术</v>
      </c>
      <c r="G70" s="3"/>
      <c r="H70" s="2">
        <v>3050</v>
      </c>
      <c r="I70" s="2">
        <v>2900</v>
      </c>
      <c r="J70" s="2">
        <v>2320</v>
      </c>
      <c r="K70" s="3"/>
      <c r="L70" s="2">
        <v>3150</v>
      </c>
      <c r="M70" s="2">
        <v>2850</v>
      </c>
      <c r="N70" s="2">
        <v>2450</v>
      </c>
      <c r="O70" s="2">
        <v>1</v>
      </c>
      <c r="P70" s="2">
        <v>1</v>
      </c>
      <c r="Q70" s="2" t="s">
        <v>1901</v>
      </c>
      <c r="R70" s="2">
        <v>0</v>
      </c>
      <c r="S70" s="2">
        <v>30.5</v>
      </c>
      <c r="T70" s="2">
        <v>7</v>
      </c>
      <c r="U70" s="2">
        <v>0</v>
      </c>
      <c r="V70" s="2">
        <v>3050</v>
      </c>
      <c r="W70" s="2">
        <v>-350</v>
      </c>
      <c r="X70" s="2">
        <v>0</v>
      </c>
      <c r="Y70" s="2">
        <v>3050</v>
      </c>
      <c r="Z70" s="2">
        <v>-350</v>
      </c>
      <c r="AA70" s="2">
        <v>0</v>
      </c>
      <c r="AB70">
        <f>VLOOKUP(E70,'1'!V:W,2,0)</f>
        <v>130</v>
      </c>
    </row>
    <row r="71" spans="1:28">
      <c r="A71" s="1">
        <v>62</v>
      </c>
      <c r="B71" s="2">
        <v>0</v>
      </c>
      <c r="C71" s="2">
        <v>201</v>
      </c>
      <c r="D71" s="2" t="s">
        <v>1943</v>
      </c>
      <c r="E71" s="2" t="s">
        <v>590</v>
      </c>
      <c r="F71" s="2" t="str">
        <f>VLOOKUP(E71,Sheet1!E:G,3,0)</f>
        <v>小儿先心病介入治疗</v>
      </c>
      <c r="G71" s="3"/>
      <c r="H71" s="2">
        <v>4485</v>
      </c>
      <c r="I71" s="2">
        <v>4225</v>
      </c>
      <c r="J71" s="2">
        <v>3380</v>
      </c>
      <c r="K71" s="3"/>
      <c r="L71" s="2">
        <v>4095</v>
      </c>
      <c r="M71" s="2">
        <v>3705</v>
      </c>
      <c r="N71" s="2">
        <v>3185</v>
      </c>
      <c r="O71" s="2">
        <v>1</v>
      </c>
      <c r="P71" s="2">
        <v>1</v>
      </c>
      <c r="Q71" s="2" t="s">
        <v>1901</v>
      </c>
      <c r="R71" s="2">
        <v>0</v>
      </c>
      <c r="S71" s="2">
        <v>1</v>
      </c>
      <c r="T71" s="2">
        <v>0</v>
      </c>
      <c r="U71" s="2">
        <v>0</v>
      </c>
      <c r="V71" s="2">
        <v>-390</v>
      </c>
      <c r="W71" s="2">
        <v>0</v>
      </c>
      <c r="X71" s="2">
        <v>0</v>
      </c>
      <c r="Y71" s="2">
        <v>-390</v>
      </c>
      <c r="Z71" s="2">
        <v>0</v>
      </c>
      <c r="AA71" s="2">
        <v>0</v>
      </c>
      <c r="AB71">
        <f>VLOOKUP(E71,'1'!V:W,2,0)</f>
        <v>131</v>
      </c>
    </row>
    <row r="72" spans="1:28">
      <c r="A72" s="1">
        <v>115</v>
      </c>
      <c r="B72" s="2">
        <v>0</v>
      </c>
      <c r="C72" s="2">
        <v>201</v>
      </c>
      <c r="D72" s="2" t="s">
        <v>1943</v>
      </c>
      <c r="E72" s="2" t="s">
        <v>613</v>
      </c>
      <c r="F72" s="2" t="str">
        <f>VLOOKUP(E72,Sheet1!E:G,3,0)</f>
        <v>肥厚型心肌病化学消融术</v>
      </c>
      <c r="G72" s="3"/>
      <c r="H72" s="2">
        <v>5050</v>
      </c>
      <c r="I72" s="2">
        <v>4550</v>
      </c>
      <c r="J72" s="2">
        <v>3870</v>
      </c>
      <c r="K72" s="3"/>
      <c r="L72" s="2">
        <v>2350</v>
      </c>
      <c r="M72" s="2">
        <v>2140</v>
      </c>
      <c r="N72" s="2">
        <v>1850</v>
      </c>
      <c r="O72" s="2">
        <v>1</v>
      </c>
      <c r="P72" s="2">
        <v>1</v>
      </c>
      <c r="Q72" s="2" t="s">
        <v>1901</v>
      </c>
      <c r="R72" s="2">
        <v>0</v>
      </c>
      <c r="S72" s="2">
        <v>3</v>
      </c>
      <c r="T72" s="2">
        <v>0</v>
      </c>
      <c r="U72" s="2">
        <v>0</v>
      </c>
      <c r="V72" s="2">
        <v>-8100</v>
      </c>
      <c r="W72" s="2">
        <v>0</v>
      </c>
      <c r="X72" s="2">
        <v>0</v>
      </c>
      <c r="Y72" s="2">
        <v>-8100</v>
      </c>
      <c r="Z72" s="2">
        <v>0</v>
      </c>
      <c r="AA72" s="2">
        <v>0</v>
      </c>
      <c r="AB72">
        <f>VLOOKUP(E72,'1'!V:W,2,0)</f>
        <v>137</v>
      </c>
    </row>
    <row r="73" spans="1:28">
      <c r="A73" s="1">
        <v>94</v>
      </c>
      <c r="B73" s="2">
        <v>0</v>
      </c>
      <c r="C73" s="2">
        <v>201</v>
      </c>
      <c r="D73" s="2" t="s">
        <v>1943</v>
      </c>
      <c r="E73" s="2" t="s">
        <v>626</v>
      </c>
      <c r="F73" s="2" t="str">
        <f>VLOOKUP(E73,Sheet1!E:G,3,0)</f>
        <v>射频消融术</v>
      </c>
      <c r="G73" s="3"/>
      <c r="H73" s="2">
        <v>2300</v>
      </c>
      <c r="I73" s="2">
        <v>2000</v>
      </c>
      <c r="J73" s="2">
        <v>1700</v>
      </c>
      <c r="K73" s="3"/>
      <c r="L73" s="2">
        <v>2300</v>
      </c>
      <c r="M73" s="2">
        <v>2000</v>
      </c>
      <c r="N73" s="2">
        <v>1700</v>
      </c>
      <c r="O73" s="2">
        <v>1</v>
      </c>
      <c r="P73" s="2">
        <v>1</v>
      </c>
      <c r="Q73" s="2" t="s">
        <v>1901</v>
      </c>
      <c r="R73" s="2">
        <v>0</v>
      </c>
      <c r="S73" s="2">
        <v>709</v>
      </c>
      <c r="T73" s="2">
        <v>138.5</v>
      </c>
      <c r="U73" s="2">
        <v>0</v>
      </c>
      <c r="V73" s="2">
        <v>0</v>
      </c>
      <c r="W73" s="2">
        <v>0</v>
      </c>
      <c r="X73" s="2">
        <v>0</v>
      </c>
      <c r="Y73" s="2">
        <v>0</v>
      </c>
      <c r="Z73" s="2">
        <v>0</v>
      </c>
      <c r="AA73" s="2">
        <v>0</v>
      </c>
      <c r="AB73">
        <f>VLOOKUP(E73,'1'!V:W,2,0)</f>
        <v>140</v>
      </c>
    </row>
    <row r="74" spans="1:28">
      <c r="A74" s="1">
        <v>111</v>
      </c>
      <c r="B74" s="2">
        <v>0</v>
      </c>
      <c r="C74" s="2">
        <v>201</v>
      </c>
      <c r="D74" s="2" t="s">
        <v>1943</v>
      </c>
      <c r="E74" s="2" t="s">
        <v>666</v>
      </c>
      <c r="F74" s="2" t="str">
        <f>VLOOKUP(E74,Sheet1!E:G,3,0)</f>
        <v>有创性心内电生理检查</v>
      </c>
      <c r="G74" s="3"/>
      <c r="H74" s="2">
        <v>1035</v>
      </c>
      <c r="I74" s="2">
        <v>900</v>
      </c>
      <c r="J74" s="2">
        <v>765</v>
      </c>
      <c r="K74" s="3"/>
      <c r="L74" s="2">
        <v>1035</v>
      </c>
      <c r="M74" s="2">
        <v>900</v>
      </c>
      <c r="N74" s="2">
        <v>765</v>
      </c>
      <c r="O74" s="2">
        <v>1</v>
      </c>
      <c r="P74" s="2">
        <v>1</v>
      </c>
      <c r="Q74" s="2" t="s">
        <v>1901</v>
      </c>
      <c r="R74" s="2">
        <v>0</v>
      </c>
      <c r="S74" s="2">
        <v>759</v>
      </c>
      <c r="T74" s="2">
        <v>139.5</v>
      </c>
      <c r="U74" s="2">
        <v>0</v>
      </c>
      <c r="V74" s="2">
        <v>0</v>
      </c>
      <c r="W74" s="2">
        <v>0</v>
      </c>
      <c r="X74" s="2">
        <v>0</v>
      </c>
      <c r="Y74" s="2">
        <v>0</v>
      </c>
      <c r="Z74" s="2">
        <v>0</v>
      </c>
      <c r="AA74" s="2">
        <v>0</v>
      </c>
      <c r="AB74">
        <f>VLOOKUP(E74,'1'!V:W,2,0)</f>
        <v>154</v>
      </c>
    </row>
    <row r="75" spans="1:28">
      <c r="A75" s="1">
        <v>35</v>
      </c>
      <c r="B75" s="2">
        <v>0</v>
      </c>
      <c r="C75" s="2">
        <v>201</v>
      </c>
      <c r="D75" s="2" t="s">
        <v>1943</v>
      </c>
      <c r="E75" s="2" t="s">
        <v>679</v>
      </c>
      <c r="F75" s="2" t="str">
        <f>VLOOKUP(E75,Sheet1!E:G,3,0)</f>
        <v>植入式心电事件记录器安置术</v>
      </c>
      <c r="G75" s="3"/>
      <c r="H75" s="2">
        <v>720</v>
      </c>
      <c r="I75" s="2">
        <v>650</v>
      </c>
      <c r="J75" s="2">
        <v>550</v>
      </c>
      <c r="K75" s="3"/>
      <c r="L75" s="2">
        <v>720</v>
      </c>
      <c r="M75" s="2">
        <v>650</v>
      </c>
      <c r="N75" s="2">
        <v>550</v>
      </c>
      <c r="O75" s="2">
        <v>1</v>
      </c>
      <c r="P75" s="2">
        <v>1</v>
      </c>
      <c r="Q75" s="2" t="s">
        <v>1901</v>
      </c>
      <c r="R75" s="2">
        <v>0</v>
      </c>
      <c r="S75" s="2">
        <v>13</v>
      </c>
      <c r="T75" s="2">
        <v>1</v>
      </c>
      <c r="U75" s="2">
        <v>0</v>
      </c>
      <c r="V75" s="2">
        <v>0</v>
      </c>
      <c r="W75" s="2">
        <v>0</v>
      </c>
      <c r="X75" s="2">
        <v>0</v>
      </c>
      <c r="Y75" s="2">
        <v>0</v>
      </c>
      <c r="Z75" s="2">
        <v>0</v>
      </c>
      <c r="AA75" s="2">
        <v>0</v>
      </c>
      <c r="AB75">
        <f>VLOOKUP(E75,'1'!V:W,2,0)</f>
        <v>157</v>
      </c>
    </row>
    <row r="76" spans="1:28">
      <c r="A76" s="1">
        <v>51</v>
      </c>
      <c r="B76" s="2">
        <v>0</v>
      </c>
      <c r="C76" s="2">
        <v>201</v>
      </c>
      <c r="D76" s="2" t="s">
        <v>1943</v>
      </c>
      <c r="E76" s="2" t="s">
        <v>700</v>
      </c>
      <c r="F76" s="2" t="str">
        <f>VLOOKUP(E76,Sheet1!E:G,3,0)</f>
        <v>永久起搏器安置术</v>
      </c>
      <c r="G76" s="3"/>
      <c r="H76" s="2">
        <v>1150</v>
      </c>
      <c r="I76" s="2">
        <v>1000</v>
      </c>
      <c r="J76" s="2">
        <v>850</v>
      </c>
      <c r="K76" s="3"/>
      <c r="L76" s="2">
        <v>1435</v>
      </c>
      <c r="M76" s="2">
        <v>1250</v>
      </c>
      <c r="N76" s="2">
        <v>1065</v>
      </c>
      <c r="O76" s="2">
        <v>1</v>
      </c>
      <c r="P76" s="2">
        <v>1</v>
      </c>
      <c r="Q76" s="2" t="s">
        <v>1901</v>
      </c>
      <c r="R76" s="2">
        <v>0</v>
      </c>
      <c r="S76" s="2">
        <v>255</v>
      </c>
      <c r="T76" s="2">
        <v>64</v>
      </c>
      <c r="U76" s="2">
        <v>0</v>
      </c>
      <c r="V76" s="2">
        <v>72675</v>
      </c>
      <c r="W76" s="2">
        <v>16000</v>
      </c>
      <c r="X76" s="2">
        <v>0</v>
      </c>
      <c r="Y76" s="2">
        <v>72675</v>
      </c>
      <c r="Z76" s="2">
        <v>16000</v>
      </c>
      <c r="AA76" s="2">
        <v>0</v>
      </c>
      <c r="AB76">
        <f>VLOOKUP(E76,'1'!V:W,2,0)</f>
        <v>161</v>
      </c>
    </row>
    <row r="77" spans="1:28">
      <c r="A77" s="1">
        <v>21</v>
      </c>
      <c r="B77" s="2">
        <v>0</v>
      </c>
      <c r="C77" s="2">
        <v>201</v>
      </c>
      <c r="D77" s="2" t="s">
        <v>1943</v>
      </c>
      <c r="E77" s="2" t="s">
        <v>709</v>
      </c>
      <c r="F77" s="2" t="str">
        <f>VLOOKUP(E77,Sheet1!E:G,3,0)</f>
        <v>埋藏式心脏复律除颤器安置术</v>
      </c>
      <c r="G77" s="3"/>
      <c r="H77" s="2">
        <v>2300</v>
      </c>
      <c r="I77" s="2">
        <v>2000</v>
      </c>
      <c r="J77" s="2">
        <v>1700</v>
      </c>
      <c r="K77" s="3"/>
      <c r="L77" s="2">
        <v>1435</v>
      </c>
      <c r="M77" s="2">
        <v>1250</v>
      </c>
      <c r="N77" s="2">
        <v>1065</v>
      </c>
      <c r="O77" s="2">
        <v>1</v>
      </c>
      <c r="P77" s="2">
        <v>1</v>
      </c>
      <c r="Q77" s="2" t="s">
        <v>1901</v>
      </c>
      <c r="R77" s="2">
        <v>0</v>
      </c>
      <c r="S77" s="2">
        <v>23</v>
      </c>
      <c r="T77" s="2">
        <v>4</v>
      </c>
      <c r="U77" s="2">
        <v>0</v>
      </c>
      <c r="V77" s="2">
        <v>-19895</v>
      </c>
      <c r="W77" s="2">
        <v>-3000</v>
      </c>
      <c r="X77" s="2">
        <v>0</v>
      </c>
      <c r="Y77" s="2">
        <v>-19895</v>
      </c>
      <c r="Z77" s="2">
        <v>-3000</v>
      </c>
      <c r="AA77" s="2">
        <v>0</v>
      </c>
      <c r="AB77">
        <f>VLOOKUP(E77,'1'!V:W,2,0)</f>
        <v>163</v>
      </c>
    </row>
    <row r="78" spans="1:28">
      <c r="A78" s="1">
        <v>122</v>
      </c>
      <c r="B78" s="2">
        <v>0</v>
      </c>
      <c r="C78" s="2">
        <v>201</v>
      </c>
      <c r="D78" s="2" t="s">
        <v>1943</v>
      </c>
      <c r="E78" s="2" t="s">
        <v>719</v>
      </c>
      <c r="F78" s="2" t="str">
        <f>VLOOKUP(E78,Sheet1!E:G,3,0)</f>
        <v>永久起搏器更换术（起搏导线拔除加收）</v>
      </c>
      <c r="G78" s="3"/>
      <c r="H78" s="2">
        <v>1380</v>
      </c>
      <c r="I78" s="2">
        <v>1200</v>
      </c>
      <c r="J78" s="2">
        <v>1020</v>
      </c>
      <c r="K78" s="3"/>
      <c r="L78" s="2">
        <v>1380</v>
      </c>
      <c r="M78" s="2">
        <v>1200</v>
      </c>
      <c r="N78" s="2">
        <v>1020</v>
      </c>
      <c r="O78" s="2">
        <v>1</v>
      </c>
      <c r="P78" s="2">
        <v>1</v>
      </c>
      <c r="Q78" s="2" t="s">
        <v>1901</v>
      </c>
      <c r="R78" s="2">
        <v>0</v>
      </c>
      <c r="S78" s="2">
        <v>2</v>
      </c>
      <c r="T78" s="2">
        <v>0</v>
      </c>
      <c r="U78" s="2">
        <v>0</v>
      </c>
      <c r="V78" s="2">
        <v>0</v>
      </c>
      <c r="W78" s="2">
        <v>0</v>
      </c>
      <c r="X78" s="2">
        <v>0</v>
      </c>
      <c r="Y78" s="2">
        <v>0</v>
      </c>
      <c r="Z78" s="2">
        <v>0</v>
      </c>
      <c r="AA78" s="2">
        <v>0</v>
      </c>
      <c r="AB78">
        <f>VLOOKUP(E78,'1'!V:W,2,0)</f>
        <v>165</v>
      </c>
    </row>
    <row r="79" spans="1:28">
      <c r="A79" s="1">
        <v>5</v>
      </c>
      <c r="B79" s="2">
        <v>0</v>
      </c>
      <c r="C79" s="2">
        <v>201</v>
      </c>
      <c r="D79" s="2" t="s">
        <v>1943</v>
      </c>
      <c r="E79" s="2" t="s">
        <v>734</v>
      </c>
      <c r="F79" s="2" t="str">
        <f>VLOOKUP(E79,Sheet1!E:G,3,0)</f>
        <v>永久起搏器更换术</v>
      </c>
      <c r="G79" s="3"/>
      <c r="H79" s="2">
        <v>1150</v>
      </c>
      <c r="I79" s="2">
        <v>1000</v>
      </c>
      <c r="J79" s="2">
        <v>850</v>
      </c>
      <c r="K79" s="3"/>
      <c r="L79" s="2">
        <v>1035</v>
      </c>
      <c r="M79" s="2">
        <v>900</v>
      </c>
      <c r="N79" s="2">
        <v>765</v>
      </c>
      <c r="O79" s="2">
        <v>1</v>
      </c>
      <c r="P79" s="2">
        <v>1</v>
      </c>
      <c r="Q79" s="2" t="s">
        <v>1901</v>
      </c>
      <c r="R79" s="2">
        <v>0</v>
      </c>
      <c r="S79" s="2">
        <v>55</v>
      </c>
      <c r="T79" s="2">
        <v>5</v>
      </c>
      <c r="U79" s="2">
        <v>0</v>
      </c>
      <c r="V79" s="2">
        <v>-6325</v>
      </c>
      <c r="W79" s="2">
        <v>-500</v>
      </c>
      <c r="X79" s="2">
        <v>0</v>
      </c>
      <c r="Y79" s="2">
        <v>-6325</v>
      </c>
      <c r="Z79" s="2">
        <v>-500</v>
      </c>
      <c r="AA79" s="2">
        <v>0</v>
      </c>
      <c r="AB79">
        <f>VLOOKUP(E79,'1'!V:W,2,0)</f>
        <v>169</v>
      </c>
    </row>
    <row r="80" spans="1:28">
      <c r="A80" s="1">
        <v>124</v>
      </c>
      <c r="B80" s="2">
        <v>0</v>
      </c>
      <c r="C80" s="2">
        <v>201</v>
      </c>
      <c r="D80" s="2" t="s">
        <v>1943</v>
      </c>
      <c r="E80" s="2" t="s">
        <v>753</v>
      </c>
      <c r="F80" s="2" t="str">
        <f>VLOOKUP(E80,Sheet1!E:G,3,0)</f>
        <v>永久起搏器安置术-起搏器囊袋修复</v>
      </c>
      <c r="G80" s="3"/>
      <c r="H80" s="2">
        <v>575</v>
      </c>
      <c r="I80" s="2">
        <v>500</v>
      </c>
      <c r="J80" s="2">
        <v>425</v>
      </c>
      <c r="K80" s="3"/>
      <c r="L80" s="2">
        <v>575</v>
      </c>
      <c r="M80" s="2">
        <v>500</v>
      </c>
      <c r="N80" s="2">
        <v>425</v>
      </c>
      <c r="O80" s="2">
        <v>1</v>
      </c>
      <c r="P80" s="2">
        <v>1</v>
      </c>
      <c r="Q80" s="2" t="s">
        <v>1901</v>
      </c>
      <c r="R80" s="2">
        <v>0</v>
      </c>
      <c r="S80" s="2">
        <v>4</v>
      </c>
      <c r="T80" s="2">
        <v>1</v>
      </c>
      <c r="U80" s="2">
        <v>0</v>
      </c>
      <c r="V80" s="2">
        <v>0</v>
      </c>
      <c r="W80" s="2">
        <v>0</v>
      </c>
      <c r="X80" s="2">
        <v>0</v>
      </c>
      <c r="Y80" s="2">
        <v>0</v>
      </c>
      <c r="Z80" s="2">
        <v>0</v>
      </c>
      <c r="AA80" s="2">
        <v>0</v>
      </c>
      <c r="AB80">
        <f>VLOOKUP(E80,'1'!V:W,2,0)</f>
        <v>175</v>
      </c>
    </row>
    <row r="81" spans="1:28">
      <c r="A81" s="1">
        <v>63</v>
      </c>
      <c r="B81" s="2">
        <v>0</v>
      </c>
      <c r="C81" s="2">
        <v>201</v>
      </c>
      <c r="D81" s="2" t="s">
        <v>1943</v>
      </c>
      <c r="E81" s="2" t="s">
        <v>764</v>
      </c>
      <c r="F81" s="2" t="str">
        <f>VLOOKUP(E81,Sheet1!E:G,3,0)</f>
        <v>临时起搏器安置术</v>
      </c>
      <c r="G81" s="3"/>
      <c r="H81" s="2">
        <v>517.5</v>
      </c>
      <c r="I81" s="2">
        <v>450</v>
      </c>
      <c r="J81" s="2">
        <v>382.5</v>
      </c>
      <c r="K81" s="3"/>
      <c r="L81" s="2">
        <v>470</v>
      </c>
      <c r="M81" s="2">
        <v>430</v>
      </c>
      <c r="N81" s="2">
        <v>370</v>
      </c>
      <c r="O81" s="2">
        <v>1</v>
      </c>
      <c r="P81" s="2">
        <v>1</v>
      </c>
      <c r="Q81" s="2" t="s">
        <v>1901</v>
      </c>
      <c r="R81" s="2">
        <v>0</v>
      </c>
      <c r="S81" s="2">
        <v>261</v>
      </c>
      <c r="T81" s="2">
        <v>132</v>
      </c>
      <c r="U81" s="2">
        <v>0</v>
      </c>
      <c r="V81" s="2">
        <v>-12397.5</v>
      </c>
      <c r="W81" s="2">
        <v>-2640</v>
      </c>
      <c r="X81" s="2">
        <v>0</v>
      </c>
      <c r="Y81" s="2">
        <v>-12397.5</v>
      </c>
      <c r="Z81" s="2">
        <v>-2707.5</v>
      </c>
      <c r="AA81" s="2">
        <v>0</v>
      </c>
      <c r="AB81">
        <f>VLOOKUP(E81,'1'!V:W,2,0)</f>
        <v>178</v>
      </c>
    </row>
    <row r="82" spans="1:28">
      <c r="A82" s="1">
        <v>29</v>
      </c>
      <c r="B82" s="2">
        <v>0</v>
      </c>
      <c r="C82" s="2">
        <v>201</v>
      </c>
      <c r="D82" s="2" t="s">
        <v>1943</v>
      </c>
      <c r="E82" s="2" t="s">
        <v>768</v>
      </c>
      <c r="F82" s="2" t="str">
        <f>VLOOKUP(E82,Sheet1!E:G,3,0)</f>
        <v>心脏表面临时起搏器安置术</v>
      </c>
      <c r="G82" s="3"/>
      <c r="H82" s="2">
        <v>250</v>
      </c>
      <c r="I82" s="2">
        <v>240</v>
      </c>
      <c r="J82" s="2">
        <v>204</v>
      </c>
      <c r="K82" s="3"/>
      <c r="L82" s="2">
        <v>470</v>
      </c>
      <c r="M82" s="2">
        <v>430</v>
      </c>
      <c r="N82" s="2">
        <v>370</v>
      </c>
      <c r="O82" s="2">
        <v>1</v>
      </c>
      <c r="P82" s="2">
        <v>1</v>
      </c>
      <c r="Q82" s="2" t="s">
        <v>1901</v>
      </c>
      <c r="R82" s="2">
        <v>0</v>
      </c>
      <c r="S82" s="2">
        <v>54.5</v>
      </c>
      <c r="T82" s="2">
        <v>0</v>
      </c>
      <c r="U82" s="2">
        <v>0</v>
      </c>
      <c r="V82" s="2">
        <v>11990</v>
      </c>
      <c r="W82" s="2">
        <v>0</v>
      </c>
      <c r="X82" s="2">
        <v>0</v>
      </c>
      <c r="Y82" s="2">
        <v>11990</v>
      </c>
      <c r="Z82" s="2">
        <v>0</v>
      </c>
      <c r="AA82" s="2">
        <v>0</v>
      </c>
      <c r="AB82">
        <f>VLOOKUP(E82,'1'!V:W,2,0)</f>
        <v>179</v>
      </c>
    </row>
    <row r="83" spans="1:28">
      <c r="A83" s="1">
        <v>118</v>
      </c>
      <c r="B83" s="2">
        <v>0</v>
      </c>
      <c r="C83" s="2">
        <v>201</v>
      </c>
      <c r="D83" s="2" t="s">
        <v>1943</v>
      </c>
      <c r="E83" s="2" t="s">
        <v>788</v>
      </c>
      <c r="F83" s="2" t="str">
        <f>VLOOKUP(E83,Sheet1!E:G,3,0)</f>
        <v>临时起搏器应用</v>
      </c>
      <c r="G83" s="3"/>
      <c r="H83" s="2">
        <v>5.8</v>
      </c>
      <c r="I83" s="2">
        <v>5</v>
      </c>
      <c r="J83" s="2">
        <v>4.3</v>
      </c>
      <c r="K83" s="3"/>
      <c r="L83" s="2">
        <v>5</v>
      </c>
      <c r="M83" s="2">
        <v>4.5</v>
      </c>
      <c r="N83" s="2">
        <v>4.3</v>
      </c>
      <c r="O83" s="2">
        <v>1</v>
      </c>
      <c r="P83" s="2">
        <v>1</v>
      </c>
      <c r="Q83" s="2" t="s">
        <v>1901</v>
      </c>
      <c r="R83" s="2">
        <v>0</v>
      </c>
      <c r="S83" s="2">
        <v>11716.5</v>
      </c>
      <c r="T83" s="2">
        <v>6374</v>
      </c>
      <c r="U83" s="2">
        <v>0</v>
      </c>
      <c r="V83" s="2">
        <v>-9373.2</v>
      </c>
      <c r="W83" s="2">
        <v>-3187</v>
      </c>
      <c r="X83" s="2">
        <v>0</v>
      </c>
      <c r="Y83" s="2">
        <v>-9373.2</v>
      </c>
      <c r="Z83" s="2">
        <v>-3187</v>
      </c>
      <c r="AA83" s="2">
        <v>0</v>
      </c>
      <c r="AB83">
        <f>VLOOKUP(E83,'1'!V:W,2,0)</f>
        <v>183</v>
      </c>
    </row>
    <row r="84" spans="1:28">
      <c r="A84" s="1">
        <v>18</v>
      </c>
      <c r="B84" s="2">
        <v>0</v>
      </c>
      <c r="C84" s="2">
        <v>201</v>
      </c>
      <c r="D84" s="2" t="s">
        <v>1943</v>
      </c>
      <c r="E84" s="2" t="s">
        <v>790</v>
      </c>
      <c r="F84" s="2" t="str">
        <f>VLOOKUP(E84,Sheet1!E:G,3,0)</f>
        <v>心脏表面临时起搏器安置术（起搏器应用）</v>
      </c>
      <c r="G84" s="3"/>
      <c r="H84" s="2">
        <v>12.5</v>
      </c>
      <c r="I84" s="2">
        <v>12</v>
      </c>
      <c r="J84" s="2">
        <v>10.2</v>
      </c>
      <c r="K84" s="3"/>
      <c r="L84" s="2">
        <v>5</v>
      </c>
      <c r="M84" s="2">
        <v>4.5</v>
      </c>
      <c r="N84" s="2">
        <v>4.3</v>
      </c>
      <c r="O84" s="2">
        <v>1</v>
      </c>
      <c r="P84" s="2">
        <v>1</v>
      </c>
      <c r="Q84" s="2" t="s">
        <v>1901</v>
      </c>
      <c r="R84" s="2">
        <v>0</v>
      </c>
      <c r="S84" s="2">
        <v>10814</v>
      </c>
      <c r="T84" s="2">
        <v>0</v>
      </c>
      <c r="U84" s="2">
        <v>0</v>
      </c>
      <c r="V84" s="2">
        <v>-81105</v>
      </c>
      <c r="W84" s="2">
        <v>0</v>
      </c>
      <c r="X84" s="2">
        <v>0</v>
      </c>
      <c r="Y84" s="2">
        <v>-81105</v>
      </c>
      <c r="Z84" s="2">
        <v>0</v>
      </c>
      <c r="AA84" s="2">
        <v>0</v>
      </c>
      <c r="AB84">
        <f>VLOOKUP(E84,'1'!V:W,2,0)</f>
        <v>184</v>
      </c>
    </row>
    <row r="85" spans="1:28">
      <c r="A85" s="1">
        <v>109</v>
      </c>
      <c r="B85" s="2">
        <v>0</v>
      </c>
      <c r="C85" s="2">
        <v>201</v>
      </c>
      <c r="D85" s="2" t="s">
        <v>1943</v>
      </c>
      <c r="E85" s="2" t="s">
        <v>798</v>
      </c>
      <c r="F85" s="2" t="str">
        <f>VLOOKUP(E85,Sheet1!E:G,3,0)</f>
        <v>体外循环</v>
      </c>
      <c r="G85" s="3"/>
      <c r="H85" s="2">
        <v>1000</v>
      </c>
      <c r="I85" s="2">
        <v>960</v>
      </c>
      <c r="J85" s="2">
        <v>816</v>
      </c>
      <c r="K85" s="3"/>
      <c r="L85" s="2">
        <v>990</v>
      </c>
      <c r="M85" s="2">
        <v>890</v>
      </c>
      <c r="N85" s="2">
        <v>760</v>
      </c>
      <c r="O85" s="2">
        <v>1</v>
      </c>
      <c r="P85" s="2">
        <v>1</v>
      </c>
      <c r="Q85" s="2" t="s">
        <v>1901</v>
      </c>
      <c r="R85" s="2">
        <v>0</v>
      </c>
      <c r="S85" s="2">
        <v>178</v>
      </c>
      <c r="T85" s="2">
        <v>0</v>
      </c>
      <c r="U85" s="2">
        <v>0</v>
      </c>
      <c r="V85" s="2">
        <v>-1780</v>
      </c>
      <c r="W85" s="2">
        <v>0</v>
      </c>
      <c r="X85" s="2">
        <v>0</v>
      </c>
      <c r="Y85" s="2">
        <v>-1780</v>
      </c>
      <c r="Z85" s="2">
        <v>0</v>
      </c>
      <c r="AA85" s="2">
        <v>0</v>
      </c>
      <c r="AB85">
        <f>VLOOKUP(E85,'1'!V:W,2,0)</f>
        <v>185</v>
      </c>
    </row>
    <row r="86" spans="1:28">
      <c r="A86" s="1">
        <v>76</v>
      </c>
      <c r="B86" s="2">
        <v>0</v>
      </c>
      <c r="C86" s="2">
        <v>201</v>
      </c>
      <c r="D86" s="2" t="s">
        <v>1943</v>
      </c>
      <c r="E86" s="2" t="s">
        <v>803</v>
      </c>
      <c r="F86" s="2" t="str">
        <f>VLOOKUP(E86,Sheet1!E:G,3,0)</f>
        <v>连续动静脉转流术</v>
      </c>
      <c r="G86" s="3"/>
      <c r="H86" s="2">
        <v>845</v>
      </c>
      <c r="I86" s="2">
        <v>760</v>
      </c>
      <c r="J86" s="2">
        <v>645</v>
      </c>
      <c r="K86" s="3"/>
      <c r="L86" s="2">
        <v>990</v>
      </c>
      <c r="M86" s="2">
        <v>890</v>
      </c>
      <c r="N86" s="2">
        <v>760</v>
      </c>
      <c r="O86" s="2">
        <v>1</v>
      </c>
      <c r="P86" s="2">
        <v>1</v>
      </c>
      <c r="Q86" s="2" t="s">
        <v>1901</v>
      </c>
      <c r="R86" s="2">
        <v>0</v>
      </c>
      <c r="S86" s="2">
        <v>2</v>
      </c>
      <c r="T86" s="2">
        <v>0</v>
      </c>
      <c r="U86" s="2">
        <v>0</v>
      </c>
      <c r="V86" s="2">
        <v>290</v>
      </c>
      <c r="W86" s="2">
        <v>0</v>
      </c>
      <c r="X86" s="2">
        <v>0</v>
      </c>
      <c r="Y86" s="2">
        <v>290</v>
      </c>
      <c r="Z86" s="2">
        <v>0</v>
      </c>
      <c r="AA86" s="2">
        <v>0</v>
      </c>
      <c r="AB86">
        <f>VLOOKUP(E86,'1'!V:W,2,0)</f>
        <v>186</v>
      </c>
    </row>
    <row r="87" spans="1:28">
      <c r="A87" s="1">
        <v>26</v>
      </c>
      <c r="B87" s="2">
        <v>0</v>
      </c>
      <c r="C87" s="2">
        <v>201</v>
      </c>
      <c r="D87" s="2" t="s">
        <v>1943</v>
      </c>
      <c r="E87" s="2" t="s">
        <v>808</v>
      </c>
      <c r="F87" s="2" t="str">
        <f>VLOOKUP(E87,Sheet1!E:G,3,0)</f>
        <v>体外循环（每增加1小时加收）</v>
      </c>
      <c r="G87" s="3"/>
      <c r="H87" s="2">
        <v>125</v>
      </c>
      <c r="I87" s="2">
        <v>120</v>
      </c>
      <c r="J87" s="2">
        <v>102</v>
      </c>
      <c r="K87" s="3"/>
      <c r="L87" s="2">
        <v>230</v>
      </c>
      <c r="M87" s="2">
        <v>205</v>
      </c>
      <c r="N87" s="2">
        <v>175</v>
      </c>
      <c r="O87" s="2">
        <v>1</v>
      </c>
      <c r="P87" s="2">
        <v>1</v>
      </c>
      <c r="Q87" s="2" t="s">
        <v>1901</v>
      </c>
      <c r="R87" s="2">
        <v>0</v>
      </c>
      <c r="S87" s="2">
        <v>431</v>
      </c>
      <c r="T87" s="2">
        <v>0</v>
      </c>
      <c r="U87" s="2">
        <v>0</v>
      </c>
      <c r="V87" s="2">
        <v>45255</v>
      </c>
      <c r="W87" s="2">
        <v>0</v>
      </c>
      <c r="X87" s="2">
        <v>0</v>
      </c>
      <c r="Y87" s="2">
        <v>45255</v>
      </c>
      <c r="Z87" s="2">
        <v>0</v>
      </c>
      <c r="AA87" s="2">
        <v>0</v>
      </c>
      <c r="AB87">
        <f>VLOOKUP(E87,'1'!V:W,2,0)</f>
        <v>187</v>
      </c>
    </row>
    <row r="88" spans="1:28">
      <c r="A88" s="1">
        <v>45</v>
      </c>
      <c r="B88" s="2">
        <v>0</v>
      </c>
      <c r="C88" s="2">
        <v>201</v>
      </c>
      <c r="D88" s="2" t="s">
        <v>1943</v>
      </c>
      <c r="E88" s="2" t="s">
        <v>812</v>
      </c>
      <c r="F88" s="2" t="str">
        <f>VLOOKUP(E88,Sheet1!E:G,3,0)</f>
        <v>小儿体外循环（每增加1小时加收）</v>
      </c>
      <c r="G88" s="3"/>
      <c r="H88" s="2">
        <v>165</v>
      </c>
      <c r="I88" s="2">
        <v>155</v>
      </c>
      <c r="J88" s="2">
        <v>130</v>
      </c>
      <c r="K88" s="3"/>
      <c r="L88" s="2">
        <v>230</v>
      </c>
      <c r="M88" s="2">
        <v>205</v>
      </c>
      <c r="N88" s="2">
        <v>175</v>
      </c>
      <c r="O88" s="2">
        <v>1</v>
      </c>
      <c r="P88" s="2">
        <v>1</v>
      </c>
      <c r="Q88" s="2" t="s">
        <v>1901</v>
      </c>
      <c r="R88" s="2">
        <v>0</v>
      </c>
      <c r="S88" s="2">
        <v>1</v>
      </c>
      <c r="T88" s="2">
        <v>0</v>
      </c>
      <c r="U88" s="2">
        <v>0</v>
      </c>
      <c r="V88" s="2">
        <v>65</v>
      </c>
      <c r="W88" s="2">
        <v>0</v>
      </c>
      <c r="X88" s="2">
        <v>0</v>
      </c>
      <c r="Y88" s="2">
        <v>65</v>
      </c>
      <c r="Z88" s="2">
        <v>0</v>
      </c>
      <c r="AA88" s="2">
        <v>0</v>
      </c>
      <c r="AB88">
        <f>VLOOKUP(E88,'1'!V:W,2,0)</f>
        <v>188</v>
      </c>
    </row>
    <row r="89" spans="1:28">
      <c r="A89" s="1">
        <v>19</v>
      </c>
      <c r="B89" s="2">
        <v>0</v>
      </c>
      <c r="C89" s="2">
        <v>201</v>
      </c>
      <c r="D89" s="2" t="s">
        <v>1943</v>
      </c>
      <c r="E89" s="2" t="s">
        <v>820</v>
      </c>
      <c r="F89" s="2" t="str">
        <f>VLOOKUP(E89,Sheet1!E:G,3,0)</f>
        <v>小儿体外循环</v>
      </c>
      <c r="G89" s="3"/>
      <c r="H89" s="2">
        <v>1300</v>
      </c>
      <c r="I89" s="2">
        <v>1250</v>
      </c>
      <c r="J89" s="2">
        <v>1065</v>
      </c>
      <c r="K89" s="3"/>
      <c r="L89" s="2">
        <v>444</v>
      </c>
      <c r="M89" s="2">
        <v>399</v>
      </c>
      <c r="N89" s="2">
        <v>344</v>
      </c>
      <c r="O89" s="2">
        <v>1</v>
      </c>
      <c r="P89" s="2">
        <v>1</v>
      </c>
      <c r="Q89" s="2" t="s">
        <v>1901</v>
      </c>
      <c r="R89" s="2">
        <v>0</v>
      </c>
      <c r="S89" s="2">
        <v>3</v>
      </c>
      <c r="T89" s="2">
        <v>0</v>
      </c>
      <c r="U89" s="2">
        <v>0</v>
      </c>
      <c r="V89" s="2">
        <v>-2568</v>
      </c>
      <c r="W89" s="2">
        <v>0</v>
      </c>
      <c r="X89" s="2">
        <v>0</v>
      </c>
      <c r="Y89" s="2">
        <v>-2568</v>
      </c>
      <c r="Z89" s="2">
        <v>0</v>
      </c>
      <c r="AA89" s="2">
        <v>0</v>
      </c>
      <c r="AB89">
        <f>VLOOKUP(E89,'1'!V:W,2,0)</f>
        <v>190</v>
      </c>
    </row>
    <row r="90" spans="1:28">
      <c r="A90" s="1">
        <v>114</v>
      </c>
      <c r="B90" s="2">
        <v>0</v>
      </c>
      <c r="C90" s="2">
        <v>201</v>
      </c>
      <c r="D90" s="2" t="s">
        <v>1943</v>
      </c>
      <c r="E90" s="2" t="s">
        <v>830</v>
      </c>
      <c r="F90" s="2" t="str">
        <f>VLOOKUP(E90,Sheet1!E:G,3,0)</f>
        <v>体外人工膜肺安装术</v>
      </c>
      <c r="G90" s="3"/>
      <c r="H90" s="2">
        <v>3800</v>
      </c>
      <c r="I90" s="2">
        <v>3420</v>
      </c>
      <c r="J90" s="2">
        <v>2910</v>
      </c>
      <c r="K90" s="3"/>
      <c r="L90" s="2">
        <v>1520</v>
      </c>
      <c r="M90" s="2">
        <v>1365</v>
      </c>
      <c r="N90" s="2">
        <v>1165</v>
      </c>
      <c r="O90" s="2">
        <v>1</v>
      </c>
      <c r="P90" s="2">
        <v>1</v>
      </c>
      <c r="Q90" s="2" t="s">
        <v>1901</v>
      </c>
      <c r="R90" s="2">
        <v>0</v>
      </c>
      <c r="S90" s="2">
        <v>32</v>
      </c>
      <c r="T90" s="2">
        <v>3</v>
      </c>
      <c r="U90" s="2">
        <v>0</v>
      </c>
      <c r="V90" s="2">
        <v>-72960</v>
      </c>
      <c r="W90" s="2">
        <v>-6165</v>
      </c>
      <c r="X90" s="2">
        <v>0</v>
      </c>
      <c r="Y90" s="2">
        <v>-72960</v>
      </c>
      <c r="Z90" s="2">
        <v>-6165</v>
      </c>
      <c r="AA90" s="2">
        <v>0</v>
      </c>
      <c r="AB90">
        <f>VLOOKUP(E90,'1'!V:W,2,0)</f>
        <v>192</v>
      </c>
    </row>
    <row r="91" spans="1:28">
      <c r="A91" s="1">
        <v>80</v>
      </c>
      <c r="B91" s="2">
        <v>0</v>
      </c>
      <c r="C91" s="2">
        <v>201</v>
      </c>
      <c r="D91" s="2" t="s">
        <v>1943</v>
      </c>
      <c r="E91" s="2" t="s">
        <v>854</v>
      </c>
      <c r="F91" s="2" t="str">
        <f>VLOOKUP(E91,Sheet1!E:G,3,0)</f>
        <v>体外人工膜肺（ECMO）</v>
      </c>
      <c r="G91" s="3"/>
      <c r="H91" s="2">
        <v>95</v>
      </c>
      <c r="I91" s="2">
        <v>90</v>
      </c>
      <c r="J91" s="2">
        <v>75</v>
      </c>
      <c r="K91" s="3"/>
      <c r="L91" s="2">
        <v>95</v>
      </c>
      <c r="M91" s="2">
        <v>90</v>
      </c>
      <c r="N91" s="2">
        <v>75</v>
      </c>
      <c r="O91" s="2">
        <v>1</v>
      </c>
      <c r="P91" s="2">
        <v>1</v>
      </c>
      <c r="Q91" s="2" t="s">
        <v>1901</v>
      </c>
      <c r="R91" s="2">
        <v>0</v>
      </c>
      <c r="S91" s="2">
        <v>2544.14</v>
      </c>
      <c r="T91" s="2">
        <v>342</v>
      </c>
      <c r="U91" s="2">
        <v>0</v>
      </c>
      <c r="V91" s="2">
        <v>0</v>
      </c>
      <c r="W91" s="2">
        <v>0</v>
      </c>
      <c r="X91" s="2">
        <v>0</v>
      </c>
      <c r="Y91" s="2">
        <v>0</v>
      </c>
      <c r="Z91" s="2">
        <v>0</v>
      </c>
      <c r="AA91" s="2">
        <v>0</v>
      </c>
      <c r="AB91">
        <f>VLOOKUP(E91,'1'!V:W,2,0)</f>
        <v>198</v>
      </c>
    </row>
    <row r="92" spans="1:28">
      <c r="A92" s="1">
        <v>97</v>
      </c>
      <c r="B92" s="2">
        <v>0</v>
      </c>
      <c r="C92" s="2">
        <v>201</v>
      </c>
      <c r="D92" s="2" t="s">
        <v>1943</v>
      </c>
      <c r="E92" s="2" t="s">
        <v>862</v>
      </c>
      <c r="F92" s="2" t="str">
        <f>VLOOKUP(E92,Sheet1!E:G,3,0)</f>
        <v>左右心室辅助循环</v>
      </c>
      <c r="G92" s="3"/>
      <c r="H92" s="2">
        <v>50</v>
      </c>
      <c r="I92" s="2">
        <v>45</v>
      </c>
      <c r="J92" s="2">
        <v>40</v>
      </c>
      <c r="K92" s="3"/>
      <c r="L92" s="2">
        <v>95</v>
      </c>
      <c r="M92" s="2">
        <v>90</v>
      </c>
      <c r="N92" s="2">
        <v>75</v>
      </c>
      <c r="O92" s="2">
        <v>1</v>
      </c>
      <c r="P92" s="2">
        <v>1</v>
      </c>
      <c r="Q92" s="2" t="s">
        <v>1901</v>
      </c>
      <c r="R92" s="2">
        <v>0</v>
      </c>
      <c r="S92" s="2">
        <v>283.14</v>
      </c>
      <c r="T92" s="2">
        <v>133</v>
      </c>
      <c r="U92" s="2">
        <v>0</v>
      </c>
      <c r="V92" s="2">
        <v>12741.3</v>
      </c>
      <c r="W92" s="2">
        <v>5985</v>
      </c>
      <c r="X92" s="2">
        <v>0</v>
      </c>
      <c r="Y92" s="2">
        <v>12741.3</v>
      </c>
      <c r="Z92" s="2">
        <v>5985</v>
      </c>
      <c r="AA92" s="2">
        <v>0</v>
      </c>
      <c r="AB92">
        <f>VLOOKUP(E92,'1'!V:W,2,0)</f>
        <v>200</v>
      </c>
    </row>
    <row r="93" spans="1:28">
      <c r="A93" s="1">
        <v>126</v>
      </c>
      <c r="B93" s="2">
        <v>0</v>
      </c>
      <c r="C93" s="2">
        <v>201</v>
      </c>
      <c r="D93" s="2" t="s">
        <v>1943</v>
      </c>
      <c r="E93" s="2" t="s">
        <v>921</v>
      </c>
      <c r="F93" s="2" t="str">
        <f>VLOOKUP(E93,Sheet1!E:G,3,0)</f>
        <v>冠状动脉搭桥术</v>
      </c>
      <c r="G93" s="3"/>
      <c r="H93" s="2">
        <v>7980</v>
      </c>
      <c r="I93" s="2">
        <v>7180</v>
      </c>
      <c r="J93" s="2">
        <v>5740</v>
      </c>
      <c r="K93" s="3"/>
      <c r="L93" s="2">
        <v>7950</v>
      </c>
      <c r="M93" s="2">
        <v>7160</v>
      </c>
      <c r="N93" s="2">
        <v>6090</v>
      </c>
      <c r="O93" s="2">
        <v>1</v>
      </c>
      <c r="P93" s="2">
        <v>1</v>
      </c>
      <c r="Q93" s="2" t="s">
        <v>1901</v>
      </c>
      <c r="R93" s="2">
        <v>0</v>
      </c>
      <c r="S93" s="2">
        <v>16.5</v>
      </c>
      <c r="T93" s="2">
        <v>0</v>
      </c>
      <c r="U93" s="2">
        <v>0</v>
      </c>
      <c r="V93" s="2">
        <v>-495</v>
      </c>
      <c r="W93" s="2">
        <v>0</v>
      </c>
      <c r="X93" s="2">
        <v>0</v>
      </c>
      <c r="Y93" s="2">
        <v>-495</v>
      </c>
      <c r="Z93" s="2">
        <v>0</v>
      </c>
      <c r="AA93" s="2">
        <v>0</v>
      </c>
      <c r="AB93">
        <f>VLOOKUP(E93,'1'!V:W,2,0)</f>
        <v>217</v>
      </c>
    </row>
    <row r="94" spans="1:28">
      <c r="A94" s="1">
        <v>32</v>
      </c>
      <c r="B94" s="2">
        <v>0</v>
      </c>
      <c r="C94" s="2">
        <v>201</v>
      </c>
      <c r="D94" s="2" t="s">
        <v>1943</v>
      </c>
      <c r="E94" s="2" t="s">
        <v>926</v>
      </c>
      <c r="F94" s="2" t="str">
        <f>VLOOKUP(E94,Sheet1!E:G,3,0)</f>
        <v>非体外循环冠状动脉搭桥术</v>
      </c>
      <c r="G94" s="3"/>
      <c r="H94" s="2">
        <v>7630</v>
      </c>
      <c r="I94" s="2">
        <v>6870</v>
      </c>
      <c r="J94" s="2">
        <v>5840</v>
      </c>
      <c r="K94" s="3"/>
      <c r="L94" s="2">
        <v>7950</v>
      </c>
      <c r="M94" s="2">
        <v>7160</v>
      </c>
      <c r="N94" s="2">
        <v>6090</v>
      </c>
      <c r="O94" s="2">
        <v>1</v>
      </c>
      <c r="P94" s="2">
        <v>1</v>
      </c>
      <c r="Q94" s="2" t="s">
        <v>1901</v>
      </c>
      <c r="R94" s="2">
        <v>0</v>
      </c>
      <c r="S94" s="2">
        <v>4</v>
      </c>
      <c r="T94" s="2">
        <v>0</v>
      </c>
      <c r="U94" s="2">
        <v>0</v>
      </c>
      <c r="V94" s="2">
        <v>1280</v>
      </c>
      <c r="W94" s="2">
        <v>0</v>
      </c>
      <c r="X94" s="2">
        <v>0</v>
      </c>
      <c r="Y94" s="2">
        <v>1280</v>
      </c>
      <c r="Z94" s="2">
        <v>0</v>
      </c>
      <c r="AA94" s="2">
        <v>0</v>
      </c>
      <c r="AB94">
        <f>VLOOKUP(E94,'1'!V:W,2,0)</f>
        <v>218</v>
      </c>
    </row>
    <row r="95" spans="1:28">
      <c r="A95" s="1">
        <v>40</v>
      </c>
      <c r="B95" s="2">
        <v>0</v>
      </c>
      <c r="C95" s="2">
        <v>201</v>
      </c>
      <c r="D95" s="2" t="s">
        <v>1943</v>
      </c>
      <c r="E95" s="2" t="s">
        <v>949</v>
      </c>
      <c r="F95" s="2" t="str">
        <f>VLOOKUP(E95,Sheet1!E:G,3,0)</f>
        <v>冠状动脉搭桥术（每增一支加收）</v>
      </c>
      <c r="G95" s="3"/>
      <c r="H95" s="2">
        <v>570</v>
      </c>
      <c r="I95" s="2">
        <v>510</v>
      </c>
      <c r="J95" s="2">
        <v>405</v>
      </c>
      <c r="K95" s="3"/>
      <c r="L95" s="2">
        <v>555</v>
      </c>
      <c r="M95" s="2">
        <v>500</v>
      </c>
      <c r="N95" s="2">
        <v>425</v>
      </c>
      <c r="O95" s="2">
        <v>1</v>
      </c>
      <c r="P95" s="2">
        <v>1</v>
      </c>
      <c r="Q95" s="2" t="s">
        <v>1901</v>
      </c>
      <c r="R95" s="2">
        <v>0</v>
      </c>
      <c r="S95" s="2">
        <v>11</v>
      </c>
      <c r="T95" s="2">
        <v>0</v>
      </c>
      <c r="U95" s="2">
        <v>0</v>
      </c>
      <c r="V95" s="2">
        <v>-165</v>
      </c>
      <c r="W95" s="2">
        <v>0</v>
      </c>
      <c r="X95" s="2">
        <v>0</v>
      </c>
      <c r="Y95" s="2">
        <v>-165</v>
      </c>
      <c r="Z95" s="2">
        <v>0</v>
      </c>
      <c r="AA95" s="2">
        <v>0</v>
      </c>
      <c r="AB95">
        <f>VLOOKUP(E95,'1'!V:W,2,0)</f>
        <v>224</v>
      </c>
    </row>
    <row r="96" spans="1:28">
      <c r="A96" s="1">
        <v>61</v>
      </c>
      <c r="B96" s="2">
        <v>0</v>
      </c>
      <c r="C96" s="2">
        <v>201</v>
      </c>
      <c r="D96" s="2" t="s">
        <v>1943</v>
      </c>
      <c r="E96" s="2" t="s">
        <v>962</v>
      </c>
      <c r="F96" s="2" t="str">
        <f>VLOOKUP(E96,Sheet1!E:G,3,0)</f>
        <v>非体外循环冠状动脉搭桥术（每增一支加收）</v>
      </c>
      <c r="G96" s="3"/>
      <c r="H96" s="2">
        <v>540</v>
      </c>
      <c r="I96" s="2">
        <v>485</v>
      </c>
      <c r="J96" s="2">
        <v>415</v>
      </c>
      <c r="K96" s="3"/>
      <c r="L96" s="2">
        <v>555</v>
      </c>
      <c r="M96" s="2">
        <v>500</v>
      </c>
      <c r="N96" s="2">
        <v>425</v>
      </c>
      <c r="O96" s="2">
        <v>1</v>
      </c>
      <c r="P96" s="2">
        <v>1</v>
      </c>
      <c r="Q96" s="2" t="s">
        <v>1901</v>
      </c>
      <c r="R96" s="2">
        <v>0</v>
      </c>
      <c r="S96" s="2">
        <v>10</v>
      </c>
      <c r="T96" s="2">
        <v>0</v>
      </c>
      <c r="U96" s="2">
        <v>0</v>
      </c>
      <c r="V96" s="2">
        <v>150</v>
      </c>
      <c r="W96" s="2">
        <v>0</v>
      </c>
      <c r="X96" s="2">
        <v>0</v>
      </c>
      <c r="Y96" s="2">
        <v>150</v>
      </c>
      <c r="Z96" s="2">
        <v>0</v>
      </c>
      <c r="AA96" s="2">
        <v>0</v>
      </c>
      <c r="AB96">
        <f>VLOOKUP(E96,'1'!V:W,2,0)</f>
        <v>230</v>
      </c>
    </row>
    <row r="97" spans="1:28">
      <c r="A97" s="1">
        <v>103</v>
      </c>
      <c r="B97" s="2">
        <v>0</v>
      </c>
      <c r="C97" s="2">
        <v>201</v>
      </c>
      <c r="D97" s="2" t="s">
        <v>1943</v>
      </c>
      <c r="E97" s="2" t="s">
        <v>974</v>
      </c>
      <c r="F97" s="2" t="str">
        <f>VLOOKUP(E97,Sheet1!E:G,3,0)</f>
        <v>室壁瘤切除术</v>
      </c>
      <c r="G97" s="3"/>
      <c r="H97" s="2">
        <v>6200</v>
      </c>
      <c r="I97" s="2">
        <v>5580</v>
      </c>
      <c r="J97" s="2">
        <v>4460</v>
      </c>
      <c r="K97" s="3"/>
      <c r="L97" s="2">
        <v>6200</v>
      </c>
      <c r="M97" s="2">
        <v>5580</v>
      </c>
      <c r="N97" s="2">
        <v>4750</v>
      </c>
      <c r="O97" s="2">
        <v>1</v>
      </c>
      <c r="P97" s="2">
        <v>1</v>
      </c>
      <c r="Q97" s="2" t="s">
        <v>1901</v>
      </c>
      <c r="R97" s="2">
        <v>0</v>
      </c>
      <c r="S97" s="2">
        <v>0.5</v>
      </c>
      <c r="T97" s="2">
        <v>0</v>
      </c>
      <c r="U97" s="2">
        <v>0</v>
      </c>
      <c r="V97" s="2">
        <v>0</v>
      </c>
      <c r="W97" s="2">
        <v>0</v>
      </c>
      <c r="X97" s="2">
        <v>0</v>
      </c>
      <c r="Y97" s="2">
        <v>0</v>
      </c>
      <c r="Z97" s="2">
        <v>0</v>
      </c>
      <c r="AA97" s="2">
        <v>0</v>
      </c>
      <c r="AB97">
        <f>VLOOKUP(E97,'1'!V:W,2,0)</f>
        <v>233</v>
      </c>
    </row>
    <row r="98" spans="1:28">
      <c r="A98" s="1">
        <v>110</v>
      </c>
      <c r="B98" s="2">
        <v>0</v>
      </c>
      <c r="C98" s="2">
        <v>201</v>
      </c>
      <c r="D98" s="2" t="s">
        <v>1943</v>
      </c>
      <c r="E98" s="2" t="s">
        <v>996</v>
      </c>
      <c r="F98" s="2" t="str">
        <f>VLOOKUP(E98,Sheet1!E:G,3,0)</f>
        <v>心包剥脱术</v>
      </c>
      <c r="G98" s="3"/>
      <c r="H98" s="2">
        <v>3040</v>
      </c>
      <c r="I98" s="2">
        <v>2740</v>
      </c>
      <c r="J98" s="2">
        <v>2330</v>
      </c>
      <c r="K98" s="3"/>
      <c r="L98" s="2">
        <v>3200</v>
      </c>
      <c r="M98" s="2">
        <v>2900</v>
      </c>
      <c r="N98" s="2">
        <v>2450</v>
      </c>
      <c r="O98" s="2">
        <v>1</v>
      </c>
      <c r="P98" s="2">
        <v>1</v>
      </c>
      <c r="Q98" s="2" t="s">
        <v>1901</v>
      </c>
      <c r="R98" s="2">
        <v>0</v>
      </c>
      <c r="S98" s="2">
        <v>6.5</v>
      </c>
      <c r="T98" s="2">
        <v>0</v>
      </c>
      <c r="U98" s="2">
        <v>0</v>
      </c>
      <c r="V98" s="2">
        <v>1040</v>
      </c>
      <c r="W98" s="2">
        <v>0</v>
      </c>
      <c r="X98" s="2">
        <v>0</v>
      </c>
      <c r="Y98" s="2">
        <v>1040</v>
      </c>
      <c r="Z98" s="2">
        <v>0</v>
      </c>
      <c r="AA98" s="2">
        <v>0</v>
      </c>
      <c r="AB98">
        <f>VLOOKUP(E98,'1'!V:W,2,0)</f>
        <v>237</v>
      </c>
    </row>
    <row r="99" spans="1:28">
      <c r="A99" s="1">
        <v>1</v>
      </c>
      <c r="B99" s="2">
        <v>0</v>
      </c>
      <c r="C99" s="2">
        <v>201</v>
      </c>
      <c r="D99" s="2" t="s">
        <v>1943</v>
      </c>
      <c r="E99" s="2" t="s">
        <v>1012</v>
      </c>
      <c r="F99" s="2" t="str">
        <f>VLOOKUP(E99,Sheet1!E:G,3,0)</f>
        <v>肺动脉栓塞摘除术</v>
      </c>
      <c r="G99" s="3"/>
      <c r="H99" s="2">
        <v>5060</v>
      </c>
      <c r="I99" s="2">
        <v>4550</v>
      </c>
      <c r="J99" s="2">
        <v>3870</v>
      </c>
      <c r="K99" s="3"/>
      <c r="L99" s="2">
        <v>3700</v>
      </c>
      <c r="M99" s="2">
        <v>3350</v>
      </c>
      <c r="N99" s="2">
        <v>2850</v>
      </c>
      <c r="O99" s="2">
        <v>1</v>
      </c>
      <c r="P99" s="2">
        <v>1</v>
      </c>
      <c r="Q99" s="2" t="s">
        <v>1901</v>
      </c>
      <c r="R99" s="2">
        <v>0</v>
      </c>
      <c r="S99" s="2">
        <v>0</v>
      </c>
      <c r="T99" s="2">
        <v>1</v>
      </c>
      <c r="U99" s="2">
        <v>0</v>
      </c>
      <c r="V99" s="2">
        <v>0</v>
      </c>
      <c r="W99" s="2">
        <v>-1200</v>
      </c>
      <c r="X99" s="2">
        <v>0</v>
      </c>
      <c r="Y99" s="2">
        <v>0</v>
      </c>
      <c r="Z99" s="2">
        <v>-1200</v>
      </c>
      <c r="AA99" s="2">
        <v>0</v>
      </c>
      <c r="AB99">
        <f>VLOOKUP(E99,'1'!V:W,2,0)</f>
        <v>241</v>
      </c>
    </row>
    <row r="100" spans="1:28">
      <c r="A100" s="1">
        <v>47</v>
      </c>
      <c r="B100" s="2">
        <v>0</v>
      </c>
      <c r="C100" s="2">
        <v>201</v>
      </c>
      <c r="D100" s="2" t="s">
        <v>1943</v>
      </c>
      <c r="E100" s="2" t="s">
        <v>1014</v>
      </c>
      <c r="F100" s="2" t="str">
        <f>VLOOKUP(E100,Sheet1!E:G,3,0)</f>
        <v>心房血栓清除术</v>
      </c>
      <c r="G100" s="3"/>
      <c r="H100" s="2">
        <v>2500</v>
      </c>
      <c r="I100" s="2">
        <v>2400</v>
      </c>
      <c r="J100" s="2">
        <v>2040</v>
      </c>
      <c r="K100" s="3"/>
      <c r="L100" s="2">
        <v>3700</v>
      </c>
      <c r="M100" s="2">
        <v>3350</v>
      </c>
      <c r="N100" s="2">
        <v>2850</v>
      </c>
      <c r="O100" s="2">
        <v>1</v>
      </c>
      <c r="P100" s="2">
        <v>1</v>
      </c>
      <c r="Q100" s="2" t="s">
        <v>1901</v>
      </c>
      <c r="R100" s="2">
        <v>0</v>
      </c>
      <c r="S100" s="2">
        <v>1</v>
      </c>
      <c r="T100" s="2">
        <v>0</v>
      </c>
      <c r="U100" s="2">
        <v>0</v>
      </c>
      <c r="V100" s="2">
        <v>1200</v>
      </c>
      <c r="W100" s="2">
        <v>0</v>
      </c>
      <c r="X100" s="2">
        <v>0</v>
      </c>
      <c r="Y100" s="2">
        <v>1200</v>
      </c>
      <c r="Z100" s="2">
        <v>0</v>
      </c>
      <c r="AA100" s="2">
        <v>0</v>
      </c>
      <c r="AB100">
        <f>VLOOKUP(E100,'1'!V:W,2,0)</f>
        <v>242</v>
      </c>
    </row>
    <row r="101" spans="1:28">
      <c r="A101" s="1">
        <v>10</v>
      </c>
      <c r="B101" s="2">
        <v>0</v>
      </c>
      <c r="C101" s="2">
        <v>201</v>
      </c>
      <c r="D101" s="2" t="s">
        <v>1943</v>
      </c>
      <c r="E101" s="2" t="s">
        <v>1026</v>
      </c>
      <c r="F101" s="2" t="str">
        <f>VLOOKUP(E101,Sheet1!E:G,3,0)</f>
        <v>心包开窗引流术</v>
      </c>
      <c r="G101" s="3"/>
      <c r="H101" s="2">
        <v>1250</v>
      </c>
      <c r="I101" s="2">
        <v>1200</v>
      </c>
      <c r="J101" s="2">
        <v>1020</v>
      </c>
      <c r="K101" s="3"/>
      <c r="L101" s="2">
        <v>1250</v>
      </c>
      <c r="M101" s="2">
        <v>1200</v>
      </c>
      <c r="N101" s="2">
        <v>1020</v>
      </c>
      <c r="O101" s="2">
        <v>1</v>
      </c>
      <c r="P101" s="2">
        <v>1</v>
      </c>
      <c r="Q101" s="2" t="s">
        <v>1901</v>
      </c>
      <c r="R101" s="2">
        <v>0</v>
      </c>
      <c r="S101" s="2">
        <v>0.5</v>
      </c>
      <c r="T101" s="2">
        <v>0</v>
      </c>
      <c r="U101" s="2">
        <v>0</v>
      </c>
      <c r="V101" s="2">
        <v>0</v>
      </c>
      <c r="W101" s="2">
        <v>0</v>
      </c>
      <c r="X101" s="2">
        <v>0</v>
      </c>
      <c r="Y101" s="2">
        <v>0</v>
      </c>
      <c r="Z101" s="2">
        <v>0</v>
      </c>
      <c r="AA101" s="2">
        <v>0</v>
      </c>
      <c r="AB101">
        <f>VLOOKUP(E101,'1'!V:W,2,0)</f>
        <v>245</v>
      </c>
    </row>
    <row r="102" spans="1:28">
      <c r="A102" s="1">
        <v>6</v>
      </c>
      <c r="B102" s="2">
        <v>0</v>
      </c>
      <c r="C102" s="2">
        <v>201</v>
      </c>
      <c r="D102" s="2" t="s">
        <v>1943</v>
      </c>
      <c r="E102" s="2" t="s">
        <v>1036</v>
      </c>
      <c r="F102" s="2" t="str">
        <f>VLOOKUP(E102,Sheet1!E:G,3,0)</f>
        <v>心包肿瘤切除术</v>
      </c>
      <c r="G102" s="3"/>
      <c r="H102" s="2">
        <v>2250</v>
      </c>
      <c r="I102" s="2">
        <v>2160</v>
      </c>
      <c r="J102" s="2">
        <v>1836</v>
      </c>
      <c r="K102" s="3"/>
      <c r="L102" s="2">
        <v>2600</v>
      </c>
      <c r="M102" s="2">
        <v>2450</v>
      </c>
      <c r="N102" s="2">
        <v>2080</v>
      </c>
      <c r="O102" s="2">
        <v>1</v>
      </c>
      <c r="P102" s="2">
        <v>1</v>
      </c>
      <c r="Q102" s="2" t="s">
        <v>1901</v>
      </c>
      <c r="R102" s="2">
        <v>0</v>
      </c>
      <c r="S102" s="2">
        <v>0</v>
      </c>
      <c r="T102" s="2">
        <v>0.5</v>
      </c>
      <c r="U102" s="2">
        <v>0</v>
      </c>
      <c r="V102" s="2">
        <v>0</v>
      </c>
      <c r="W102" s="2">
        <v>145</v>
      </c>
      <c r="X102" s="2">
        <v>0</v>
      </c>
      <c r="Y102" s="2">
        <v>0</v>
      </c>
      <c r="Z102" s="2">
        <v>145</v>
      </c>
      <c r="AA102" s="2">
        <v>0</v>
      </c>
      <c r="AB102">
        <f>VLOOKUP(E102,'1'!V:W,2,0)</f>
        <v>247</v>
      </c>
    </row>
    <row r="103" spans="1:28">
      <c r="A103" s="1">
        <v>89</v>
      </c>
      <c r="B103" s="2">
        <v>0</v>
      </c>
      <c r="C103" s="2">
        <v>201</v>
      </c>
      <c r="D103" s="2" t="s">
        <v>1943</v>
      </c>
      <c r="E103" s="2" t="s">
        <v>1038</v>
      </c>
      <c r="F103" s="2" t="str">
        <f>VLOOKUP(E103,Sheet1!E:G,3,0)</f>
        <v>经胸腔镜心包肿瘤切除术</v>
      </c>
      <c r="G103" s="3"/>
      <c r="H103" s="2">
        <v>2875</v>
      </c>
      <c r="I103" s="2">
        <v>2760</v>
      </c>
      <c r="J103" s="2">
        <v>2346</v>
      </c>
      <c r="K103" s="3"/>
      <c r="L103" s="2">
        <v>2600</v>
      </c>
      <c r="M103" s="2">
        <v>2450</v>
      </c>
      <c r="N103" s="2">
        <v>2080</v>
      </c>
      <c r="O103" s="2">
        <v>1</v>
      </c>
      <c r="P103" s="2">
        <v>1</v>
      </c>
      <c r="Q103" s="2" t="s">
        <v>1901</v>
      </c>
      <c r="R103" s="2">
        <v>0</v>
      </c>
      <c r="S103" s="2">
        <v>1</v>
      </c>
      <c r="T103" s="2">
        <v>1</v>
      </c>
      <c r="U103" s="2">
        <v>0</v>
      </c>
      <c r="V103" s="2">
        <v>-275</v>
      </c>
      <c r="W103" s="2">
        <v>-310</v>
      </c>
      <c r="X103" s="2">
        <v>0</v>
      </c>
      <c r="Y103" s="2">
        <v>-275</v>
      </c>
      <c r="Z103" s="2">
        <v>-310</v>
      </c>
      <c r="AA103" s="2">
        <v>0</v>
      </c>
      <c r="AB103">
        <f>VLOOKUP(E103,'1'!V:W,2,0)</f>
        <v>248</v>
      </c>
    </row>
    <row r="104" spans="1:28">
      <c r="A104" s="1">
        <v>59</v>
      </c>
      <c r="B104" s="2">
        <v>0</v>
      </c>
      <c r="C104" s="2">
        <v>201</v>
      </c>
      <c r="D104" s="2" t="s">
        <v>1943</v>
      </c>
      <c r="E104" s="2" t="s">
        <v>1052</v>
      </c>
      <c r="F104" s="2" t="str">
        <f>VLOOKUP(E104,Sheet1!E:G,3,0)</f>
        <v>心脏良性肿瘤摘除术</v>
      </c>
      <c r="G104" s="3"/>
      <c r="H104" s="2">
        <v>4750</v>
      </c>
      <c r="I104" s="2">
        <v>4275</v>
      </c>
      <c r="J104" s="2">
        <v>3420</v>
      </c>
      <c r="K104" s="3"/>
      <c r="L104" s="2">
        <v>5080</v>
      </c>
      <c r="M104" s="2">
        <v>4580</v>
      </c>
      <c r="N104" s="2">
        <v>3900</v>
      </c>
      <c r="O104" s="2">
        <v>1</v>
      </c>
      <c r="P104" s="2">
        <v>1</v>
      </c>
      <c r="Q104" s="2" t="s">
        <v>1901</v>
      </c>
      <c r="R104" s="2">
        <v>0</v>
      </c>
      <c r="S104" s="2">
        <v>12</v>
      </c>
      <c r="T104" s="2">
        <v>0</v>
      </c>
      <c r="U104" s="2">
        <v>0</v>
      </c>
      <c r="V104" s="2">
        <v>3960</v>
      </c>
      <c r="W104" s="2">
        <v>0</v>
      </c>
      <c r="X104" s="2">
        <v>0</v>
      </c>
      <c r="Y104" s="2">
        <v>3960</v>
      </c>
      <c r="Z104" s="2">
        <v>0</v>
      </c>
      <c r="AA104" s="2">
        <v>0</v>
      </c>
      <c r="AB104">
        <f>VLOOKUP(E104,'1'!V:W,2,0)</f>
        <v>252</v>
      </c>
    </row>
    <row r="105" spans="1:28">
      <c r="A105" s="1">
        <v>64</v>
      </c>
      <c r="B105" s="2">
        <v>0</v>
      </c>
      <c r="C105" s="2">
        <v>201</v>
      </c>
      <c r="D105" s="2" t="s">
        <v>1943</v>
      </c>
      <c r="E105" s="2" t="s">
        <v>1056</v>
      </c>
      <c r="F105" s="2" t="str">
        <f>VLOOKUP(E105,Sheet1!E:G,3,0)</f>
        <v>心脏良性肿瘤摘除术（多发肿瘤）</v>
      </c>
      <c r="G105" s="3"/>
      <c r="H105" s="2">
        <v>5470</v>
      </c>
      <c r="I105" s="2">
        <v>4925</v>
      </c>
      <c r="J105" s="2">
        <v>3975</v>
      </c>
      <c r="K105" s="3"/>
      <c r="L105" s="2">
        <v>5080</v>
      </c>
      <c r="M105" s="2">
        <v>4580</v>
      </c>
      <c r="N105" s="2">
        <v>3900</v>
      </c>
      <c r="O105" s="2">
        <v>1</v>
      </c>
      <c r="P105" s="2">
        <v>1</v>
      </c>
      <c r="Q105" s="2" t="s">
        <v>1901</v>
      </c>
      <c r="R105" s="2">
        <v>0</v>
      </c>
      <c r="S105" s="2">
        <v>0</v>
      </c>
      <c r="T105" s="2">
        <v>1</v>
      </c>
      <c r="U105" s="2">
        <v>0</v>
      </c>
      <c r="V105" s="2">
        <v>0</v>
      </c>
      <c r="W105" s="2">
        <v>-345</v>
      </c>
      <c r="X105" s="2">
        <v>0</v>
      </c>
      <c r="Y105" s="2">
        <v>0</v>
      </c>
      <c r="Z105" s="2">
        <v>4541.73</v>
      </c>
      <c r="AA105" s="2">
        <v>0</v>
      </c>
      <c r="AB105">
        <f>VLOOKUP(E105,'1'!V:W,2,0)</f>
        <v>253</v>
      </c>
    </row>
    <row r="106" spans="1:28">
      <c r="A106" s="1">
        <v>8</v>
      </c>
      <c r="B106" s="2">
        <v>0</v>
      </c>
      <c r="C106" s="2">
        <v>201</v>
      </c>
      <c r="D106" s="2" t="s">
        <v>1943</v>
      </c>
      <c r="E106" s="2" t="s">
        <v>1079</v>
      </c>
      <c r="F106" s="2" t="str">
        <f>VLOOKUP(E106,Sheet1!E:G,3,0)</f>
        <v>心内异物取出术</v>
      </c>
      <c r="G106" s="3"/>
      <c r="H106" s="2">
        <v>3125</v>
      </c>
      <c r="I106" s="2">
        <v>3000</v>
      </c>
      <c r="J106" s="2">
        <v>2550</v>
      </c>
      <c r="K106" s="3"/>
      <c r="L106" s="2">
        <v>3125</v>
      </c>
      <c r="M106" s="2">
        <v>3000</v>
      </c>
      <c r="N106" s="2">
        <v>2550</v>
      </c>
      <c r="O106" s="2">
        <v>1</v>
      </c>
      <c r="P106" s="2">
        <v>1</v>
      </c>
      <c r="Q106" s="2" t="s">
        <v>1901</v>
      </c>
      <c r="R106" s="2">
        <v>0</v>
      </c>
      <c r="S106" s="2">
        <v>4</v>
      </c>
      <c r="T106" s="2">
        <v>0</v>
      </c>
      <c r="U106" s="2">
        <v>0</v>
      </c>
      <c r="V106" s="2">
        <v>0</v>
      </c>
      <c r="W106" s="2">
        <v>0</v>
      </c>
      <c r="X106" s="2">
        <v>0</v>
      </c>
      <c r="Y106" s="2">
        <v>0</v>
      </c>
      <c r="Z106" s="2">
        <v>0</v>
      </c>
      <c r="AA106" s="2">
        <v>0</v>
      </c>
      <c r="AB106">
        <f>VLOOKUP(E106,'1'!V:W,2,0)</f>
        <v>260</v>
      </c>
    </row>
    <row r="107" spans="1:28">
      <c r="A107" s="1">
        <v>58</v>
      </c>
      <c r="B107" s="2">
        <v>0</v>
      </c>
      <c r="C107" s="2">
        <v>201</v>
      </c>
      <c r="D107" s="2" t="s">
        <v>1943</v>
      </c>
      <c r="E107" s="2" t="s">
        <v>1112</v>
      </c>
      <c r="F107" s="2" t="str">
        <f>VLOOKUP(E107,Sheet1!E:G,3,0)</f>
        <v>左室流出道狭窄疏通术</v>
      </c>
      <c r="G107" s="3"/>
      <c r="H107" s="2">
        <v>6600</v>
      </c>
      <c r="I107" s="2">
        <v>5940</v>
      </c>
      <c r="J107" s="2">
        <v>5050</v>
      </c>
      <c r="K107" s="3"/>
      <c r="L107" s="2">
        <v>2005</v>
      </c>
      <c r="M107" s="2">
        <v>1805</v>
      </c>
      <c r="N107" s="2">
        <v>1535</v>
      </c>
      <c r="O107" s="2">
        <v>1</v>
      </c>
      <c r="P107" s="2">
        <v>1</v>
      </c>
      <c r="Q107" s="2" t="s">
        <v>1901</v>
      </c>
      <c r="R107" s="2">
        <v>0</v>
      </c>
      <c r="S107" s="2">
        <v>2</v>
      </c>
      <c r="T107" s="2">
        <v>0</v>
      </c>
      <c r="U107" s="2">
        <v>0</v>
      </c>
      <c r="V107" s="2">
        <v>-9190</v>
      </c>
      <c r="W107" s="2">
        <v>0</v>
      </c>
      <c r="X107" s="2">
        <v>0</v>
      </c>
      <c r="Y107" s="2">
        <v>-9190</v>
      </c>
      <c r="Z107" s="2">
        <v>0</v>
      </c>
      <c r="AA107" s="2">
        <v>0</v>
      </c>
      <c r="AB107">
        <f>VLOOKUP(E107,'1'!V:W,2,0)</f>
        <v>266</v>
      </c>
    </row>
    <row r="108" spans="1:28">
      <c r="A108" s="1">
        <v>43</v>
      </c>
      <c r="B108" s="2">
        <v>0</v>
      </c>
      <c r="C108" s="2">
        <v>201</v>
      </c>
      <c r="D108" s="2" t="s">
        <v>1943</v>
      </c>
      <c r="E108" s="2" t="s">
        <v>1125</v>
      </c>
      <c r="F108" s="2" t="str">
        <f>VLOOKUP(E108,Sheet1!E:G,3,0)</f>
        <v>心耳闭合术</v>
      </c>
      <c r="G108" s="3"/>
      <c r="H108" s="2">
        <v>0</v>
      </c>
      <c r="I108" s="2">
        <v>0</v>
      </c>
      <c r="J108" s="2">
        <v>0</v>
      </c>
      <c r="K108" s="3"/>
      <c r="L108" s="2">
        <v>2250</v>
      </c>
      <c r="M108" s="2">
        <v>2050</v>
      </c>
      <c r="N108" s="2">
        <v>1750</v>
      </c>
      <c r="O108" s="2">
        <v>1</v>
      </c>
      <c r="P108" s="2">
        <v>1</v>
      </c>
      <c r="Q108" s="2" t="s">
        <v>1901</v>
      </c>
      <c r="R108" s="2">
        <v>0</v>
      </c>
      <c r="S108" s="2">
        <v>0.5</v>
      </c>
      <c r="T108" s="2">
        <v>0</v>
      </c>
      <c r="U108" s="2">
        <v>0</v>
      </c>
      <c r="V108" s="2">
        <v>1125</v>
      </c>
      <c r="W108" s="2">
        <v>0</v>
      </c>
      <c r="X108" s="2">
        <v>0</v>
      </c>
      <c r="Y108" s="2">
        <v>-75</v>
      </c>
      <c r="Z108" s="2">
        <v>0</v>
      </c>
      <c r="AA108" s="2">
        <v>0</v>
      </c>
      <c r="AB108">
        <f>VLOOKUP(E108,'1'!V:W,2,0)</f>
        <v>268</v>
      </c>
    </row>
    <row r="109" spans="1:28">
      <c r="A109" s="1">
        <v>31</v>
      </c>
      <c r="B109" s="2">
        <v>0</v>
      </c>
      <c r="C109" s="2">
        <v>201</v>
      </c>
      <c r="D109" s="2" t="s">
        <v>1943</v>
      </c>
      <c r="E109" s="2" t="s">
        <v>1145</v>
      </c>
      <c r="F109" s="2" t="str">
        <f>VLOOKUP(E109,Sheet1!E:G,3,0)</f>
        <v>迷宫手术（房颤矫治术）-心内直视射频消融术</v>
      </c>
      <c r="G109" s="3"/>
      <c r="H109" s="2">
        <v>7300</v>
      </c>
      <c r="I109" s="2">
        <v>6570</v>
      </c>
      <c r="J109" s="2">
        <v>5255</v>
      </c>
      <c r="K109" s="3"/>
      <c r="L109" s="2">
        <v>7300</v>
      </c>
      <c r="M109" s="2">
        <v>6570</v>
      </c>
      <c r="N109" s="2">
        <v>5585</v>
      </c>
      <c r="O109" s="2">
        <v>1</v>
      </c>
      <c r="P109" s="2">
        <v>1</v>
      </c>
      <c r="Q109" s="2" t="s">
        <v>1901</v>
      </c>
      <c r="R109" s="2">
        <v>0</v>
      </c>
      <c r="S109" s="2">
        <v>12.5</v>
      </c>
      <c r="T109" s="2">
        <v>0</v>
      </c>
      <c r="U109" s="2">
        <v>0</v>
      </c>
      <c r="V109" s="2">
        <v>0</v>
      </c>
      <c r="W109" s="2">
        <v>0</v>
      </c>
      <c r="X109" s="2">
        <v>0</v>
      </c>
      <c r="Y109" s="2">
        <v>0</v>
      </c>
      <c r="Z109" s="2">
        <v>0</v>
      </c>
      <c r="AA109" s="2">
        <v>0</v>
      </c>
      <c r="AB109">
        <f>VLOOKUP(E109,'1'!V:W,2,0)</f>
        <v>273</v>
      </c>
    </row>
    <row r="110" spans="1:28">
      <c r="A110" s="1">
        <v>74</v>
      </c>
      <c r="B110" s="2">
        <v>0</v>
      </c>
      <c r="C110" s="2">
        <v>201</v>
      </c>
      <c r="D110" s="2" t="s">
        <v>1943</v>
      </c>
      <c r="E110" s="2" t="s">
        <v>1195</v>
      </c>
      <c r="F110" s="2" t="str">
        <f>VLOOKUP(E110,Sheet1!E:G,3,0)</f>
        <v>房间隔缺损修补术</v>
      </c>
      <c r="G110" s="3"/>
      <c r="H110" s="2">
        <v>2450</v>
      </c>
      <c r="I110" s="2">
        <v>2280</v>
      </c>
      <c r="J110" s="2">
        <v>1938</v>
      </c>
      <c r="K110" s="3"/>
      <c r="L110" s="2">
        <v>2940</v>
      </c>
      <c r="M110" s="2">
        <v>2650</v>
      </c>
      <c r="N110" s="2">
        <v>2250</v>
      </c>
      <c r="O110" s="2">
        <v>1</v>
      </c>
      <c r="P110" s="2">
        <v>1</v>
      </c>
      <c r="Q110" s="2" t="s">
        <v>1901</v>
      </c>
      <c r="R110" s="2">
        <v>0</v>
      </c>
      <c r="S110" s="2">
        <v>19</v>
      </c>
      <c r="T110" s="2">
        <v>0</v>
      </c>
      <c r="U110" s="2">
        <v>0</v>
      </c>
      <c r="V110" s="2">
        <v>9310</v>
      </c>
      <c r="W110" s="2">
        <v>0</v>
      </c>
      <c r="X110" s="2">
        <v>0</v>
      </c>
      <c r="Y110" s="2">
        <v>9310</v>
      </c>
      <c r="Z110" s="2">
        <v>0</v>
      </c>
      <c r="AA110" s="2">
        <v>0</v>
      </c>
      <c r="AB110">
        <f>VLOOKUP(E110,'1'!V:W,2,0)</f>
        <v>288</v>
      </c>
    </row>
    <row r="111" spans="1:28">
      <c r="A111" s="1">
        <v>49</v>
      </c>
      <c r="B111" s="2">
        <v>0</v>
      </c>
      <c r="C111" s="2">
        <v>201</v>
      </c>
      <c r="D111" s="2" t="s">
        <v>1943</v>
      </c>
      <c r="E111" s="2" t="s">
        <v>1200</v>
      </c>
      <c r="F111" s="2" t="str">
        <f>VLOOKUP(E111,Sheet1!E:G,3,0)</f>
        <v>卵圆孔修补术</v>
      </c>
      <c r="G111" s="3"/>
      <c r="H111" s="2">
        <v>3150</v>
      </c>
      <c r="I111" s="2">
        <v>2850</v>
      </c>
      <c r="J111" s="2">
        <v>2420</v>
      </c>
      <c r="K111" s="3"/>
      <c r="L111" s="2">
        <v>2940</v>
      </c>
      <c r="M111" s="2">
        <v>2650</v>
      </c>
      <c r="N111" s="2">
        <v>2250</v>
      </c>
      <c r="O111" s="2">
        <v>1</v>
      </c>
      <c r="P111" s="2">
        <v>1</v>
      </c>
      <c r="Q111" s="2" t="s">
        <v>1901</v>
      </c>
      <c r="R111" s="2">
        <v>0</v>
      </c>
      <c r="S111" s="2">
        <v>1.5</v>
      </c>
      <c r="T111" s="2">
        <v>0</v>
      </c>
      <c r="U111" s="2">
        <v>0</v>
      </c>
      <c r="V111" s="2">
        <v>-315</v>
      </c>
      <c r="W111" s="2">
        <v>0</v>
      </c>
      <c r="X111" s="2">
        <v>0</v>
      </c>
      <c r="Y111" s="2">
        <v>-315</v>
      </c>
      <c r="Z111" s="2">
        <v>0</v>
      </c>
      <c r="AA111" s="2">
        <v>0</v>
      </c>
      <c r="AB111">
        <f>VLOOKUP(E111,'1'!V:W,2,0)</f>
        <v>290</v>
      </c>
    </row>
    <row r="112" spans="1:28">
      <c r="A112" s="1">
        <v>86</v>
      </c>
      <c r="B112" s="2">
        <v>0</v>
      </c>
      <c r="C112" s="2">
        <v>201</v>
      </c>
      <c r="D112" s="2" t="s">
        <v>1943</v>
      </c>
      <c r="E112" s="2" t="s">
        <v>1204</v>
      </c>
      <c r="F112" s="2" t="str">
        <f>VLOOKUP(E112,Sheet1!E:G,3,0)</f>
        <v>小儿房间隔缺损修补术</v>
      </c>
      <c r="G112" s="3"/>
      <c r="H112" s="2">
        <v>3185</v>
      </c>
      <c r="I112" s="2">
        <v>2965</v>
      </c>
      <c r="J112" s="2">
        <v>2520</v>
      </c>
      <c r="K112" s="3"/>
      <c r="L112" s="2">
        <v>3820</v>
      </c>
      <c r="M112" s="2">
        <v>3445</v>
      </c>
      <c r="N112" s="2">
        <v>2925</v>
      </c>
      <c r="O112" s="2">
        <v>1</v>
      </c>
      <c r="P112" s="2">
        <v>1</v>
      </c>
      <c r="Q112" s="2" t="s">
        <v>1901</v>
      </c>
      <c r="R112" s="2">
        <v>0</v>
      </c>
      <c r="S112" s="2">
        <v>2</v>
      </c>
      <c r="T112" s="2">
        <v>0</v>
      </c>
      <c r="U112" s="2">
        <v>0</v>
      </c>
      <c r="V112" s="2">
        <v>1270</v>
      </c>
      <c r="W112" s="2">
        <v>0</v>
      </c>
      <c r="X112" s="2">
        <v>0</v>
      </c>
      <c r="Y112" s="2">
        <v>1270</v>
      </c>
      <c r="Z112" s="2">
        <v>0</v>
      </c>
      <c r="AA112" s="2">
        <v>0</v>
      </c>
      <c r="AB112">
        <f>VLOOKUP(E112,'1'!V:W,2,0)</f>
        <v>291</v>
      </c>
    </row>
    <row r="113" spans="1:28">
      <c r="A113" s="1">
        <v>73</v>
      </c>
      <c r="B113" s="2">
        <v>0</v>
      </c>
      <c r="C113" s="2">
        <v>201</v>
      </c>
      <c r="D113" s="2" t="s">
        <v>1943</v>
      </c>
      <c r="E113" s="2" t="s">
        <v>1237</v>
      </c>
      <c r="F113" s="2" t="str">
        <f>VLOOKUP(E113,Sheet1!E:G,3,0)</f>
        <v>室间隔缺损直视修补术</v>
      </c>
      <c r="G113" s="3"/>
      <c r="H113" s="2">
        <v>3850</v>
      </c>
      <c r="I113" s="2">
        <v>3465</v>
      </c>
      <c r="J113" s="2">
        <v>2770</v>
      </c>
      <c r="K113" s="3"/>
      <c r="L113" s="2">
        <v>4190</v>
      </c>
      <c r="M113" s="2">
        <v>3770</v>
      </c>
      <c r="N113" s="2">
        <v>3200</v>
      </c>
      <c r="O113" s="2">
        <v>1</v>
      </c>
      <c r="P113" s="2">
        <v>1</v>
      </c>
      <c r="Q113" s="2" t="s">
        <v>1901</v>
      </c>
      <c r="R113" s="2">
        <v>0</v>
      </c>
      <c r="S113" s="2">
        <v>4.5</v>
      </c>
      <c r="T113" s="2">
        <v>0</v>
      </c>
      <c r="U113" s="2">
        <v>0</v>
      </c>
      <c r="V113" s="2">
        <v>1530</v>
      </c>
      <c r="W113" s="2">
        <v>0</v>
      </c>
      <c r="X113" s="2">
        <v>0</v>
      </c>
      <c r="Y113" s="2">
        <v>1530</v>
      </c>
      <c r="Z113" s="2">
        <v>0</v>
      </c>
      <c r="AA113" s="2">
        <v>0</v>
      </c>
      <c r="AB113">
        <f>VLOOKUP(E113,'1'!V:W,2,0)</f>
        <v>300</v>
      </c>
    </row>
    <row r="114" spans="1:28">
      <c r="A114" s="1">
        <v>56</v>
      </c>
      <c r="B114" s="2">
        <v>0</v>
      </c>
      <c r="C114" s="2">
        <v>201</v>
      </c>
      <c r="D114" s="2" t="s">
        <v>1943</v>
      </c>
      <c r="E114" s="2" t="s">
        <v>1252</v>
      </c>
      <c r="F114" s="2" t="str">
        <f>VLOOKUP(E114,Sheet1!E:G,3,0)</f>
        <v>小儿室间隔缺损直视修补术</v>
      </c>
      <c r="G114" s="3"/>
      <c r="H114" s="2">
        <v>5005</v>
      </c>
      <c r="I114" s="2">
        <v>4505</v>
      </c>
      <c r="J114" s="2">
        <v>3600</v>
      </c>
      <c r="K114" s="3"/>
      <c r="L114" s="2">
        <v>5445</v>
      </c>
      <c r="M114" s="2">
        <v>4900</v>
      </c>
      <c r="N114" s="2">
        <v>4160</v>
      </c>
      <c r="O114" s="2">
        <v>1</v>
      </c>
      <c r="P114" s="2">
        <v>1</v>
      </c>
      <c r="Q114" s="2" t="s">
        <v>1901</v>
      </c>
      <c r="R114" s="2">
        <v>0</v>
      </c>
      <c r="S114" s="2">
        <v>2</v>
      </c>
      <c r="T114" s="2">
        <v>0</v>
      </c>
      <c r="U114" s="2">
        <v>0</v>
      </c>
      <c r="V114" s="2">
        <v>880</v>
      </c>
      <c r="W114" s="2">
        <v>0</v>
      </c>
      <c r="X114" s="2">
        <v>0</v>
      </c>
      <c r="Y114" s="2">
        <v>880</v>
      </c>
      <c r="Z114" s="2">
        <v>0</v>
      </c>
      <c r="AA114" s="2">
        <v>0</v>
      </c>
      <c r="AB114">
        <f>VLOOKUP(E114,'1'!V:W,2,0)</f>
        <v>304</v>
      </c>
    </row>
    <row r="115" spans="1:28">
      <c r="A115" s="1">
        <v>50</v>
      </c>
      <c r="B115" s="2">
        <v>0</v>
      </c>
      <c r="C115" s="2">
        <v>201</v>
      </c>
      <c r="D115" s="2" t="s">
        <v>1943</v>
      </c>
      <c r="E115" s="2" t="s">
        <v>1298</v>
      </c>
      <c r="F115" s="2" t="str">
        <f>VLOOKUP(E115,Sheet1!E:G,3,0)</f>
        <v>小儿动脉导管闭合术</v>
      </c>
      <c r="G115" s="3"/>
      <c r="H115" s="2">
        <v>3005</v>
      </c>
      <c r="I115" s="2">
        <v>2810</v>
      </c>
      <c r="J115" s="2">
        <v>2385</v>
      </c>
      <c r="K115" s="3"/>
      <c r="L115" s="2">
        <v>3005</v>
      </c>
      <c r="M115" s="2">
        <v>2810</v>
      </c>
      <c r="N115" s="2">
        <v>2386</v>
      </c>
      <c r="O115" s="2">
        <v>1</v>
      </c>
      <c r="P115" s="2">
        <v>1</v>
      </c>
      <c r="Q115" s="2" t="s">
        <v>1901</v>
      </c>
      <c r="R115" s="2">
        <v>0</v>
      </c>
      <c r="S115" s="2">
        <v>3.5</v>
      </c>
      <c r="T115" s="2">
        <v>0</v>
      </c>
      <c r="U115" s="2">
        <v>0</v>
      </c>
      <c r="V115" s="2">
        <v>0</v>
      </c>
      <c r="W115" s="2">
        <v>0</v>
      </c>
      <c r="X115" s="2">
        <v>0</v>
      </c>
      <c r="Y115" s="2">
        <v>0</v>
      </c>
      <c r="Z115" s="2">
        <v>0</v>
      </c>
      <c r="AA115" s="2">
        <v>0</v>
      </c>
      <c r="AB115">
        <f>VLOOKUP(E115,'1'!V:W,2,0)</f>
        <v>318</v>
      </c>
    </row>
    <row r="116" spans="1:28">
      <c r="A116" s="1">
        <v>20</v>
      </c>
      <c r="B116" s="2">
        <v>0</v>
      </c>
      <c r="C116" s="2">
        <v>201</v>
      </c>
      <c r="D116" s="2" t="s">
        <v>1943</v>
      </c>
      <c r="E116" s="2" t="s">
        <v>1387</v>
      </c>
      <c r="F116" s="2" t="str">
        <f>VLOOKUP(E116,Sheet1!E:G,3,0)</f>
        <v>二尖瓣直视成形术</v>
      </c>
      <c r="G116" s="3"/>
      <c r="H116" s="2">
        <v>5500</v>
      </c>
      <c r="I116" s="2">
        <v>4950</v>
      </c>
      <c r="J116" s="2">
        <v>3960</v>
      </c>
      <c r="K116" s="3"/>
      <c r="L116" s="2">
        <v>5500</v>
      </c>
      <c r="M116" s="2">
        <v>4950</v>
      </c>
      <c r="N116" s="2">
        <v>4200</v>
      </c>
      <c r="O116" s="2">
        <v>1</v>
      </c>
      <c r="P116" s="2">
        <v>1</v>
      </c>
      <c r="Q116" s="2" t="s">
        <v>1901</v>
      </c>
      <c r="R116" s="2">
        <v>0</v>
      </c>
      <c r="S116" s="2">
        <v>18.5</v>
      </c>
      <c r="T116" s="2">
        <v>0</v>
      </c>
      <c r="U116" s="2">
        <v>0</v>
      </c>
      <c r="V116" s="2">
        <v>0</v>
      </c>
      <c r="W116" s="2">
        <v>0</v>
      </c>
      <c r="X116" s="2">
        <v>0</v>
      </c>
      <c r="Y116" s="2">
        <v>0</v>
      </c>
      <c r="Z116" s="2">
        <v>0</v>
      </c>
      <c r="AA116" s="2">
        <v>0</v>
      </c>
      <c r="AB116">
        <f>VLOOKUP(E116,'1'!V:W,2,0)</f>
        <v>342</v>
      </c>
    </row>
    <row r="117" spans="1:28">
      <c r="A117" s="1">
        <v>112</v>
      </c>
      <c r="B117" s="2">
        <v>0</v>
      </c>
      <c r="C117" s="2">
        <v>201</v>
      </c>
      <c r="D117" s="2" t="s">
        <v>1943</v>
      </c>
      <c r="E117" s="2" t="s">
        <v>1408</v>
      </c>
      <c r="F117" s="2" t="str">
        <f>VLOOKUP(E117,Sheet1!E:G,3,0)</f>
        <v>三尖瓣直视成形术</v>
      </c>
      <c r="G117" s="3"/>
      <c r="H117" s="2">
        <v>4750</v>
      </c>
      <c r="I117" s="2">
        <v>4275</v>
      </c>
      <c r="J117" s="2">
        <v>3420</v>
      </c>
      <c r="K117" s="3"/>
      <c r="L117" s="2">
        <v>4750</v>
      </c>
      <c r="M117" s="2">
        <v>4275</v>
      </c>
      <c r="N117" s="2">
        <v>3650</v>
      </c>
      <c r="O117" s="2">
        <v>1</v>
      </c>
      <c r="P117" s="2">
        <v>1</v>
      </c>
      <c r="Q117" s="2" t="s">
        <v>1901</v>
      </c>
      <c r="R117" s="2">
        <v>0</v>
      </c>
      <c r="S117" s="2">
        <v>26</v>
      </c>
      <c r="T117" s="2">
        <v>0</v>
      </c>
      <c r="U117" s="2">
        <v>0</v>
      </c>
      <c r="V117" s="2">
        <v>0</v>
      </c>
      <c r="W117" s="2">
        <v>0</v>
      </c>
      <c r="X117" s="2">
        <v>0</v>
      </c>
      <c r="Y117" s="2">
        <v>0</v>
      </c>
      <c r="Z117" s="2">
        <v>0</v>
      </c>
      <c r="AA117" s="2">
        <v>0</v>
      </c>
      <c r="AB117">
        <f>VLOOKUP(E117,'1'!V:W,2,0)</f>
        <v>348</v>
      </c>
    </row>
    <row r="118" spans="1:28">
      <c r="A118" s="1">
        <v>30</v>
      </c>
      <c r="B118" s="2">
        <v>0</v>
      </c>
      <c r="C118" s="2">
        <v>201</v>
      </c>
      <c r="D118" s="2" t="s">
        <v>1943</v>
      </c>
      <c r="E118" s="2" t="s">
        <v>1417</v>
      </c>
      <c r="F118" s="2" t="str">
        <f>VLOOKUP(E118,Sheet1!E:G,3,0)</f>
        <v>经胸腔镜三尖瓣直视成形术</v>
      </c>
      <c r="G118" s="3"/>
      <c r="H118" s="2">
        <v>5375</v>
      </c>
      <c r="I118" s="2">
        <v>4875</v>
      </c>
      <c r="J118" s="2">
        <v>3930</v>
      </c>
      <c r="K118" s="3"/>
      <c r="L118" s="2">
        <v>720</v>
      </c>
      <c r="M118" s="2">
        <v>650</v>
      </c>
      <c r="N118" s="2">
        <v>550</v>
      </c>
      <c r="O118" s="2">
        <v>1</v>
      </c>
      <c r="P118" s="2">
        <v>1</v>
      </c>
      <c r="Q118" s="2" t="s">
        <v>1901</v>
      </c>
      <c r="R118" s="2">
        <v>0</v>
      </c>
      <c r="S118" s="2">
        <v>1</v>
      </c>
      <c r="T118" s="2">
        <v>0</v>
      </c>
      <c r="U118" s="2">
        <v>0</v>
      </c>
      <c r="V118" s="2">
        <v>-4655</v>
      </c>
      <c r="W118" s="2">
        <v>0</v>
      </c>
      <c r="X118" s="2">
        <v>0</v>
      </c>
      <c r="Y118" s="2">
        <v>-4655</v>
      </c>
      <c r="Z118" s="2">
        <v>0</v>
      </c>
      <c r="AA118" s="2">
        <v>0</v>
      </c>
      <c r="AB118">
        <f>VLOOKUP(E118,'1'!V:W,2,0)</f>
        <v>350</v>
      </c>
    </row>
    <row r="119" spans="1:28">
      <c r="A119" s="1">
        <v>108</v>
      </c>
      <c r="B119" s="2">
        <v>0</v>
      </c>
      <c r="C119" s="2">
        <v>201</v>
      </c>
      <c r="D119" s="2" t="s">
        <v>1943</v>
      </c>
      <c r="E119" s="2" t="s">
        <v>1425</v>
      </c>
      <c r="F119" s="2" t="str">
        <f>VLOOKUP(E119,Sheet1!E:G,3,0)</f>
        <v>肺动脉瓣狭窄矫治术</v>
      </c>
      <c r="G119" s="3"/>
      <c r="H119" s="2">
        <v>2875</v>
      </c>
      <c r="I119" s="2">
        <v>2760</v>
      </c>
      <c r="J119" s="2">
        <v>2346</v>
      </c>
      <c r="K119" s="3"/>
      <c r="L119" s="2">
        <v>2875</v>
      </c>
      <c r="M119" s="2">
        <v>2760</v>
      </c>
      <c r="N119" s="2">
        <v>2346</v>
      </c>
      <c r="O119" s="2">
        <v>1</v>
      </c>
      <c r="P119" s="2">
        <v>1</v>
      </c>
      <c r="Q119" s="2" t="s">
        <v>1901</v>
      </c>
      <c r="R119" s="2">
        <v>0</v>
      </c>
      <c r="S119" s="2">
        <v>1.5</v>
      </c>
      <c r="T119" s="2">
        <v>0</v>
      </c>
      <c r="U119" s="2">
        <v>0</v>
      </c>
      <c r="V119" s="2">
        <v>0</v>
      </c>
      <c r="W119" s="2">
        <v>0</v>
      </c>
      <c r="X119" s="2">
        <v>0</v>
      </c>
      <c r="Y119" s="2">
        <v>0</v>
      </c>
      <c r="Z119" s="2">
        <v>0</v>
      </c>
      <c r="AA119" s="2">
        <v>0</v>
      </c>
      <c r="AB119">
        <f>VLOOKUP(E119,'1'!V:W,2,0)</f>
        <v>352</v>
      </c>
    </row>
    <row r="120" spans="1:28">
      <c r="A120" s="1">
        <v>107</v>
      </c>
      <c r="B120" s="2">
        <v>0</v>
      </c>
      <c r="C120" s="2">
        <v>201</v>
      </c>
      <c r="D120" s="2" t="s">
        <v>1943</v>
      </c>
      <c r="E120" s="2" t="s">
        <v>1437</v>
      </c>
      <c r="F120" s="2" t="str">
        <f>VLOOKUP(E120,Sheet1!E:G,3,0)</f>
        <v>主动脉瓣置换术</v>
      </c>
      <c r="G120" s="3"/>
      <c r="H120" s="2">
        <v>5500</v>
      </c>
      <c r="I120" s="2">
        <v>4950</v>
      </c>
      <c r="J120" s="2">
        <v>3960</v>
      </c>
      <c r="K120" s="3"/>
      <c r="L120" s="2">
        <v>5500</v>
      </c>
      <c r="M120" s="2">
        <v>4950</v>
      </c>
      <c r="N120" s="2">
        <v>4200</v>
      </c>
      <c r="O120" s="2">
        <v>1</v>
      </c>
      <c r="P120" s="2">
        <v>1</v>
      </c>
      <c r="Q120" s="2" t="s">
        <v>1901</v>
      </c>
      <c r="R120" s="2">
        <v>0</v>
      </c>
      <c r="S120" s="2">
        <v>23.5</v>
      </c>
      <c r="T120" s="2">
        <v>0</v>
      </c>
      <c r="U120" s="2">
        <v>0</v>
      </c>
      <c r="V120" s="2">
        <v>0</v>
      </c>
      <c r="W120" s="2">
        <v>0</v>
      </c>
      <c r="X120" s="2">
        <v>0</v>
      </c>
      <c r="Y120" s="2">
        <v>0</v>
      </c>
      <c r="Z120" s="2">
        <v>0</v>
      </c>
      <c r="AA120" s="2">
        <v>0</v>
      </c>
      <c r="AB120">
        <f>VLOOKUP(E120,'1'!V:W,2,0)</f>
        <v>354</v>
      </c>
    </row>
    <row r="121" spans="1:28">
      <c r="A121" s="1">
        <v>33</v>
      </c>
      <c r="B121" s="2">
        <v>0</v>
      </c>
      <c r="C121" s="2">
        <v>201</v>
      </c>
      <c r="D121" s="2" t="s">
        <v>1943</v>
      </c>
      <c r="E121" s="2" t="s">
        <v>1442</v>
      </c>
      <c r="F121" s="2" t="str">
        <f>VLOOKUP(E121,Sheet1!E:G,3,0)</f>
        <v>双瓣置换术</v>
      </c>
      <c r="G121" s="3"/>
      <c r="H121" s="2">
        <v>10400</v>
      </c>
      <c r="I121" s="2">
        <v>9280</v>
      </c>
      <c r="J121" s="2">
        <v>7890</v>
      </c>
      <c r="K121" s="3"/>
      <c r="L121" s="2">
        <v>11000</v>
      </c>
      <c r="M121" s="2">
        <v>9900</v>
      </c>
      <c r="N121" s="2">
        <v>8400</v>
      </c>
      <c r="O121" s="2">
        <v>1</v>
      </c>
      <c r="P121" s="2">
        <v>1</v>
      </c>
      <c r="Q121" s="2" t="s">
        <v>1901</v>
      </c>
      <c r="R121" s="2">
        <v>0</v>
      </c>
      <c r="S121" s="2">
        <v>9</v>
      </c>
      <c r="T121" s="2">
        <v>0</v>
      </c>
      <c r="U121" s="2">
        <v>0</v>
      </c>
      <c r="V121" s="2">
        <v>5400</v>
      </c>
      <c r="W121" s="2">
        <v>0</v>
      </c>
      <c r="X121" s="2">
        <v>0</v>
      </c>
      <c r="Y121" s="2">
        <v>6210</v>
      </c>
      <c r="Z121" s="2">
        <v>0</v>
      </c>
      <c r="AA121" s="2">
        <v>0</v>
      </c>
      <c r="AB121">
        <f>VLOOKUP(E121,'1'!V:W,2,0)</f>
        <v>355</v>
      </c>
    </row>
    <row r="122" spans="1:28">
      <c r="A122" s="1">
        <v>96</v>
      </c>
      <c r="B122" s="2">
        <v>0</v>
      </c>
      <c r="C122" s="2">
        <v>201</v>
      </c>
      <c r="D122" s="2" t="s">
        <v>1943</v>
      </c>
      <c r="E122" s="2" t="s">
        <v>1469</v>
      </c>
      <c r="F122" s="2" t="str">
        <f>VLOOKUP(E122,Sheet1!E:G,3,0)</f>
        <v>细小主动脉根部加宽补片成形术</v>
      </c>
      <c r="G122" s="3"/>
      <c r="H122" s="2">
        <v>6190</v>
      </c>
      <c r="I122" s="2">
        <v>5570</v>
      </c>
      <c r="J122" s="2">
        <v>4730</v>
      </c>
      <c r="K122" s="3"/>
      <c r="L122" s="2">
        <v>6975</v>
      </c>
      <c r="M122" s="2">
        <v>6278</v>
      </c>
      <c r="N122" s="2">
        <v>5327</v>
      </c>
      <c r="O122" s="2">
        <v>1</v>
      </c>
      <c r="P122" s="2">
        <v>1</v>
      </c>
      <c r="Q122" s="2" t="s">
        <v>1901</v>
      </c>
      <c r="R122" s="2">
        <v>0</v>
      </c>
      <c r="S122" s="2">
        <v>6</v>
      </c>
      <c r="T122" s="2">
        <v>0</v>
      </c>
      <c r="U122" s="2">
        <v>0</v>
      </c>
      <c r="V122" s="2">
        <v>4710</v>
      </c>
      <c r="W122" s="2">
        <v>0</v>
      </c>
      <c r="X122" s="2">
        <v>0</v>
      </c>
      <c r="Y122" s="2">
        <v>4710</v>
      </c>
      <c r="Z122" s="2">
        <v>0</v>
      </c>
      <c r="AA122" s="2">
        <v>0</v>
      </c>
      <c r="AB122">
        <f>VLOOKUP(E122,'1'!V:W,2,0)</f>
        <v>364</v>
      </c>
    </row>
    <row r="123" spans="1:28">
      <c r="A123" s="1">
        <v>48</v>
      </c>
      <c r="B123" s="2">
        <v>0</v>
      </c>
      <c r="C123" s="2">
        <v>201</v>
      </c>
      <c r="D123" s="2" t="s">
        <v>1943</v>
      </c>
      <c r="E123" s="2" t="s">
        <v>1489</v>
      </c>
      <c r="F123" s="2" t="str">
        <f>VLOOKUP(E123,Sheet1!E:G,3,0)</f>
        <v>二尖瓣替换术</v>
      </c>
      <c r="G123" s="3"/>
      <c r="H123" s="2">
        <v>5300</v>
      </c>
      <c r="I123" s="2">
        <v>4770</v>
      </c>
      <c r="J123" s="2">
        <v>3815</v>
      </c>
      <c r="K123" s="3"/>
      <c r="L123" s="2">
        <v>5300</v>
      </c>
      <c r="M123" s="2">
        <v>4770</v>
      </c>
      <c r="N123" s="2">
        <v>4050</v>
      </c>
      <c r="O123" s="2">
        <v>1</v>
      </c>
      <c r="P123" s="2">
        <v>1</v>
      </c>
      <c r="Q123" s="2" t="s">
        <v>1901</v>
      </c>
      <c r="R123" s="2">
        <v>0</v>
      </c>
      <c r="S123" s="2">
        <v>54.5</v>
      </c>
      <c r="T123" s="2">
        <v>0</v>
      </c>
      <c r="U123" s="2">
        <v>0</v>
      </c>
      <c r="V123" s="2">
        <v>0</v>
      </c>
      <c r="W123" s="2">
        <v>0</v>
      </c>
      <c r="X123" s="2">
        <v>0</v>
      </c>
      <c r="Y123" s="2">
        <v>0</v>
      </c>
      <c r="Z123" s="2">
        <v>0</v>
      </c>
      <c r="AA123" s="2">
        <v>0</v>
      </c>
      <c r="AB123">
        <f>VLOOKUP(E123,'1'!V:W,2,0)</f>
        <v>372</v>
      </c>
    </row>
    <row r="124" spans="1:28">
      <c r="A124" s="1">
        <v>2</v>
      </c>
      <c r="B124" s="2">
        <v>0</v>
      </c>
      <c r="C124" s="2">
        <v>201</v>
      </c>
      <c r="D124" s="2" t="s">
        <v>1943</v>
      </c>
      <c r="E124" s="2" t="s">
        <v>1499</v>
      </c>
      <c r="F124" s="2" t="str">
        <f>VLOOKUP(E124,Sheet1!E:G,3,0)</f>
        <v>经胸腔镜二尖瓣替换术</v>
      </c>
      <c r="G124" s="3"/>
      <c r="H124" s="2">
        <v>5925</v>
      </c>
      <c r="I124" s="2">
        <v>5370</v>
      </c>
      <c r="J124" s="2">
        <v>4325</v>
      </c>
      <c r="K124" s="3"/>
      <c r="L124" s="2">
        <v>6020</v>
      </c>
      <c r="M124" s="2">
        <v>5420</v>
      </c>
      <c r="N124" s="2">
        <v>4600</v>
      </c>
      <c r="O124" s="2">
        <v>1</v>
      </c>
      <c r="P124" s="2">
        <v>1</v>
      </c>
      <c r="Q124" s="2" t="s">
        <v>1901</v>
      </c>
      <c r="R124" s="2">
        <v>0</v>
      </c>
      <c r="S124" s="2">
        <v>6.5</v>
      </c>
      <c r="T124" s="2">
        <v>0</v>
      </c>
      <c r="U124" s="2">
        <v>0</v>
      </c>
      <c r="V124" s="2">
        <v>617.5</v>
      </c>
      <c r="W124" s="2">
        <v>0</v>
      </c>
      <c r="X124" s="2">
        <v>0</v>
      </c>
      <c r="Y124" s="2">
        <v>617.5</v>
      </c>
      <c r="Z124" s="2">
        <v>0</v>
      </c>
      <c r="AA124" s="2">
        <v>0</v>
      </c>
      <c r="AB124">
        <f>VLOOKUP(E124,'1'!V:W,2,0)</f>
        <v>374</v>
      </c>
    </row>
    <row r="125" spans="1:28">
      <c r="A125" s="1">
        <v>46</v>
      </c>
      <c r="B125" s="2">
        <v>0</v>
      </c>
      <c r="C125" s="2">
        <v>201</v>
      </c>
      <c r="D125" s="2" t="s">
        <v>1943</v>
      </c>
      <c r="E125" s="2" t="s">
        <v>1509</v>
      </c>
      <c r="F125" s="2" t="str">
        <f>VLOOKUP(E125,Sheet1!E:G,3,0)</f>
        <v>三尖瓣置换术</v>
      </c>
      <c r="G125" s="3"/>
      <c r="H125" s="2">
        <v>5060</v>
      </c>
      <c r="I125" s="2">
        <v>4550</v>
      </c>
      <c r="J125" s="2">
        <v>3870</v>
      </c>
      <c r="K125" s="3"/>
      <c r="L125" s="2">
        <v>5800</v>
      </c>
      <c r="M125" s="2">
        <v>5200</v>
      </c>
      <c r="N125" s="2">
        <v>4400</v>
      </c>
      <c r="O125" s="2">
        <v>1</v>
      </c>
      <c r="P125" s="2">
        <v>1</v>
      </c>
      <c r="Q125" s="2" t="s">
        <v>1901</v>
      </c>
      <c r="R125" s="2">
        <v>0</v>
      </c>
      <c r="S125" s="2">
        <v>3</v>
      </c>
      <c r="T125" s="2">
        <v>0</v>
      </c>
      <c r="U125" s="2">
        <v>0</v>
      </c>
      <c r="V125" s="2">
        <v>2220</v>
      </c>
      <c r="W125" s="2">
        <v>0</v>
      </c>
      <c r="X125" s="2">
        <v>0</v>
      </c>
      <c r="Y125" s="2">
        <v>2220</v>
      </c>
      <c r="Z125" s="2">
        <v>0</v>
      </c>
      <c r="AA125" s="2">
        <v>0</v>
      </c>
      <c r="AB125">
        <f>VLOOKUP(E125,'1'!V:W,2,0)</f>
        <v>378</v>
      </c>
    </row>
    <row r="126" spans="1:28">
      <c r="A126" s="1">
        <v>106</v>
      </c>
      <c r="B126" s="2">
        <v>0</v>
      </c>
      <c r="C126" s="2">
        <v>201</v>
      </c>
      <c r="D126" s="2" t="s">
        <v>1943</v>
      </c>
      <c r="E126" s="2" t="s">
        <v>1512</v>
      </c>
      <c r="F126" s="2" t="str">
        <f>VLOOKUP(E126,Sheet1!E:G,3,0)</f>
        <v>经胸腔镜三尖瓣置换术</v>
      </c>
      <c r="G126" s="3"/>
      <c r="H126" s="2">
        <v>5685</v>
      </c>
      <c r="I126" s="2">
        <v>5150</v>
      </c>
      <c r="J126" s="2">
        <v>4380</v>
      </c>
      <c r="K126" s="3"/>
      <c r="L126" s="2">
        <v>5800</v>
      </c>
      <c r="M126" s="2">
        <v>5200</v>
      </c>
      <c r="N126" s="2">
        <v>4400</v>
      </c>
      <c r="O126" s="2">
        <v>1</v>
      </c>
      <c r="P126" s="2">
        <v>1</v>
      </c>
      <c r="Q126" s="2" t="s">
        <v>1901</v>
      </c>
      <c r="R126" s="2">
        <v>0</v>
      </c>
      <c r="S126" s="2">
        <v>1</v>
      </c>
      <c r="T126" s="2">
        <v>0</v>
      </c>
      <c r="U126" s="2">
        <v>0</v>
      </c>
      <c r="V126" s="2">
        <v>115</v>
      </c>
      <c r="W126" s="2">
        <v>0</v>
      </c>
      <c r="X126" s="2">
        <v>0</v>
      </c>
      <c r="Y126" s="2">
        <v>115</v>
      </c>
      <c r="Z126" s="2">
        <v>0</v>
      </c>
      <c r="AA126" s="2">
        <v>0</v>
      </c>
      <c r="AB126">
        <f>VLOOKUP(E126,'1'!V:W,2,0)</f>
        <v>379</v>
      </c>
    </row>
    <row r="127" spans="1:28">
      <c r="A127" s="1">
        <v>34</v>
      </c>
      <c r="B127" s="2">
        <v>0</v>
      </c>
      <c r="C127" s="2">
        <v>201</v>
      </c>
      <c r="D127" s="2" t="s">
        <v>1943</v>
      </c>
      <c r="E127" s="2" t="s">
        <v>1536</v>
      </c>
      <c r="F127" s="2" t="str">
        <f>VLOOKUP(E127,Sheet1!E:G,3,0)</f>
        <v>冠状动静脉瘘修补术</v>
      </c>
      <c r="G127" s="3"/>
      <c r="H127" s="2">
        <v>5160</v>
      </c>
      <c r="I127" s="2">
        <v>4640</v>
      </c>
      <c r="J127" s="2">
        <v>3940</v>
      </c>
      <c r="K127" s="3"/>
      <c r="L127" s="2">
        <v>5400</v>
      </c>
      <c r="M127" s="2">
        <v>4850</v>
      </c>
      <c r="N127" s="2">
        <v>4100</v>
      </c>
      <c r="O127" s="2">
        <v>1</v>
      </c>
      <c r="P127" s="2">
        <v>1</v>
      </c>
      <c r="Q127" s="2" t="s">
        <v>1901</v>
      </c>
      <c r="R127" s="2">
        <v>0</v>
      </c>
      <c r="S127" s="2">
        <v>0.5</v>
      </c>
      <c r="T127" s="2">
        <v>0</v>
      </c>
      <c r="U127" s="2">
        <v>0</v>
      </c>
      <c r="V127" s="2">
        <v>120</v>
      </c>
      <c r="W127" s="2">
        <v>0</v>
      </c>
      <c r="X127" s="2">
        <v>0</v>
      </c>
      <c r="Y127" s="2">
        <v>120</v>
      </c>
      <c r="Z127" s="2">
        <v>0</v>
      </c>
      <c r="AA127" s="2">
        <v>0</v>
      </c>
      <c r="AB127">
        <f>VLOOKUP(E127,'1'!V:W,2,0)</f>
        <v>384</v>
      </c>
    </row>
    <row r="128" spans="1:28">
      <c r="A128" s="1">
        <v>14</v>
      </c>
      <c r="B128" s="2">
        <v>0</v>
      </c>
      <c r="C128" s="2">
        <v>201</v>
      </c>
      <c r="D128" s="2" t="s">
        <v>1943</v>
      </c>
      <c r="E128" s="2" t="s">
        <v>1557</v>
      </c>
      <c r="F128" s="2" t="str">
        <f>VLOOKUP(E128,Sheet1!E:G,3,0)</f>
        <v>主动脉缩窄矫治术</v>
      </c>
      <c r="G128" s="3"/>
      <c r="H128" s="2">
        <v>6840</v>
      </c>
      <c r="I128" s="2">
        <v>6155</v>
      </c>
      <c r="J128" s="2">
        <v>4920</v>
      </c>
      <c r="K128" s="3"/>
      <c r="L128" s="2">
        <v>6840</v>
      </c>
      <c r="M128" s="2">
        <v>6155</v>
      </c>
      <c r="N128" s="2">
        <v>5230</v>
      </c>
      <c r="O128" s="2">
        <v>1</v>
      </c>
      <c r="P128" s="2">
        <v>1</v>
      </c>
      <c r="Q128" s="2" t="s">
        <v>1901</v>
      </c>
      <c r="R128" s="2">
        <v>0</v>
      </c>
      <c r="S128" s="2">
        <v>1</v>
      </c>
      <c r="T128" s="2">
        <v>0</v>
      </c>
      <c r="U128" s="2">
        <v>0</v>
      </c>
      <c r="V128" s="2">
        <v>0</v>
      </c>
      <c r="W128" s="2">
        <v>0</v>
      </c>
      <c r="X128" s="2">
        <v>0</v>
      </c>
      <c r="Y128" s="2">
        <v>0</v>
      </c>
      <c r="Z128" s="2">
        <v>0</v>
      </c>
      <c r="AA128" s="2">
        <v>0</v>
      </c>
      <c r="AB128">
        <f>VLOOKUP(E128,'1'!V:W,2,0)</f>
        <v>388</v>
      </c>
    </row>
    <row r="129" spans="1:28">
      <c r="A129" s="1">
        <v>11</v>
      </c>
      <c r="B129" s="2">
        <v>0</v>
      </c>
      <c r="C129" s="2">
        <v>201</v>
      </c>
      <c r="D129" s="2" t="s">
        <v>1943</v>
      </c>
      <c r="E129" s="2" t="s">
        <v>1587</v>
      </c>
      <c r="F129" s="2" t="str">
        <f>VLOOKUP(E129,Sheet1!E:G,3,0)</f>
        <v>主动脉弓置换术</v>
      </c>
      <c r="G129" s="3"/>
      <c r="H129" s="2">
        <v>9600</v>
      </c>
      <c r="I129" s="2">
        <v>8640</v>
      </c>
      <c r="J129" s="2">
        <v>6900</v>
      </c>
      <c r="K129" s="3"/>
      <c r="L129" s="2">
        <v>9400</v>
      </c>
      <c r="M129" s="2">
        <v>8450</v>
      </c>
      <c r="N129" s="2">
        <v>7180</v>
      </c>
      <c r="O129" s="2">
        <v>1</v>
      </c>
      <c r="P129" s="2">
        <v>1</v>
      </c>
      <c r="Q129" s="2" t="s">
        <v>1901</v>
      </c>
      <c r="R129" s="2">
        <v>0</v>
      </c>
      <c r="S129" s="2">
        <v>11</v>
      </c>
      <c r="T129" s="2">
        <v>0</v>
      </c>
      <c r="U129" s="2">
        <v>0</v>
      </c>
      <c r="V129" s="2">
        <v>-2200</v>
      </c>
      <c r="W129" s="2">
        <v>0</v>
      </c>
      <c r="X129" s="2">
        <v>0</v>
      </c>
      <c r="Y129" s="2">
        <v>-2200</v>
      </c>
      <c r="Z129" s="2">
        <v>0</v>
      </c>
      <c r="AA129" s="2">
        <v>0</v>
      </c>
      <c r="AB129">
        <f>VLOOKUP(E129,'1'!V:W,2,0)</f>
        <v>394</v>
      </c>
    </row>
    <row r="130" spans="1:28">
      <c r="A130" s="1">
        <v>83</v>
      </c>
      <c r="B130" s="2">
        <v>0</v>
      </c>
      <c r="C130" s="2">
        <v>201</v>
      </c>
      <c r="D130" s="2" t="s">
        <v>1943</v>
      </c>
      <c r="E130" s="2" t="s">
        <v>1590</v>
      </c>
      <c r="F130" s="2" t="str">
        <f>VLOOKUP(E130,Sheet1!E:G,3,0)</f>
        <v>“象鼻子”技术</v>
      </c>
      <c r="G130" s="3"/>
      <c r="H130" s="2">
        <v>8660</v>
      </c>
      <c r="I130" s="2">
        <v>7790</v>
      </c>
      <c r="J130" s="2">
        <v>6620</v>
      </c>
      <c r="K130" s="3"/>
      <c r="L130" s="2">
        <v>9400</v>
      </c>
      <c r="M130" s="2">
        <v>8450</v>
      </c>
      <c r="N130" s="2">
        <v>7180</v>
      </c>
      <c r="O130" s="2">
        <v>1</v>
      </c>
      <c r="P130" s="2">
        <v>1</v>
      </c>
      <c r="Q130" s="2" t="s">
        <v>1901</v>
      </c>
      <c r="R130" s="2">
        <v>0</v>
      </c>
      <c r="S130" s="2">
        <v>4.5</v>
      </c>
      <c r="T130" s="2">
        <v>0</v>
      </c>
      <c r="U130" s="2">
        <v>0</v>
      </c>
      <c r="V130" s="2">
        <v>3330</v>
      </c>
      <c r="W130" s="2">
        <v>0</v>
      </c>
      <c r="X130" s="2">
        <v>0</v>
      </c>
      <c r="Y130" s="2">
        <v>3330</v>
      </c>
      <c r="Z130" s="2">
        <v>0</v>
      </c>
      <c r="AA130" s="2">
        <v>0</v>
      </c>
      <c r="AB130">
        <f>VLOOKUP(E130,'1'!V:W,2,0)</f>
        <v>395</v>
      </c>
    </row>
    <row r="131" spans="1:28">
      <c r="A131" s="1">
        <v>54</v>
      </c>
      <c r="B131" s="2">
        <v>0</v>
      </c>
      <c r="C131" s="2">
        <v>201</v>
      </c>
      <c r="D131" s="2" t="s">
        <v>1943</v>
      </c>
      <c r="E131" s="2" t="s">
        <v>1616</v>
      </c>
      <c r="F131" s="2" t="str">
        <f>VLOOKUP(E131,Sheet1!E:G,3,0)</f>
        <v>主动脉根部替换术</v>
      </c>
      <c r="G131" s="3"/>
      <c r="H131" s="2">
        <v>9900</v>
      </c>
      <c r="I131" s="2">
        <v>8910</v>
      </c>
      <c r="J131" s="2">
        <v>7570</v>
      </c>
      <c r="K131" s="3"/>
      <c r="L131" s="2">
        <v>10500</v>
      </c>
      <c r="M131" s="2">
        <v>9500</v>
      </c>
      <c r="N131" s="2">
        <v>8100</v>
      </c>
      <c r="O131" s="2">
        <v>1</v>
      </c>
      <c r="P131" s="2">
        <v>1</v>
      </c>
      <c r="Q131" s="2" t="s">
        <v>1901</v>
      </c>
      <c r="R131" s="2">
        <v>0</v>
      </c>
      <c r="S131" s="2">
        <v>2.5</v>
      </c>
      <c r="T131" s="2">
        <v>0</v>
      </c>
      <c r="U131" s="2">
        <v>0</v>
      </c>
      <c r="V131" s="2">
        <v>1500</v>
      </c>
      <c r="W131" s="2">
        <v>0</v>
      </c>
      <c r="X131" s="2">
        <v>0</v>
      </c>
      <c r="Y131" s="2">
        <v>1500</v>
      </c>
      <c r="Z131" s="2">
        <v>0</v>
      </c>
      <c r="AA131" s="2">
        <v>0</v>
      </c>
      <c r="AB131">
        <f>VLOOKUP(E131,'1'!V:W,2,0)</f>
        <v>401</v>
      </c>
    </row>
    <row r="132" spans="1:28">
      <c r="A132" s="1">
        <v>127</v>
      </c>
      <c r="B132" s="2">
        <v>0</v>
      </c>
      <c r="C132" s="2">
        <v>201</v>
      </c>
      <c r="D132" s="2" t="s">
        <v>1943</v>
      </c>
      <c r="E132" s="2" t="s">
        <v>1634</v>
      </c>
      <c r="F132" s="2" t="str">
        <f>VLOOKUP(E132,Sheet1!E:G,3,0)</f>
        <v>升主动脉替换术</v>
      </c>
      <c r="G132" s="3"/>
      <c r="H132" s="2">
        <v>8665</v>
      </c>
      <c r="I132" s="2">
        <v>7800</v>
      </c>
      <c r="J132" s="2">
        <v>6240</v>
      </c>
      <c r="K132" s="3"/>
      <c r="L132" s="2">
        <v>8665</v>
      </c>
      <c r="M132" s="2">
        <v>7800</v>
      </c>
      <c r="N132" s="2">
        <v>6630</v>
      </c>
      <c r="O132" s="2">
        <v>1</v>
      </c>
      <c r="P132" s="2">
        <v>1</v>
      </c>
      <c r="Q132" s="2" t="s">
        <v>1901</v>
      </c>
      <c r="R132" s="2">
        <v>0</v>
      </c>
      <c r="S132" s="2">
        <v>5</v>
      </c>
      <c r="T132" s="2">
        <v>0</v>
      </c>
      <c r="U132" s="2">
        <v>0</v>
      </c>
      <c r="V132" s="2">
        <v>0</v>
      </c>
      <c r="W132" s="2">
        <v>0</v>
      </c>
      <c r="X132" s="2">
        <v>0</v>
      </c>
      <c r="Y132" s="2">
        <v>0</v>
      </c>
      <c r="Z132" s="2">
        <v>0</v>
      </c>
      <c r="AA132" s="2">
        <v>0</v>
      </c>
      <c r="AB132">
        <f>VLOOKUP(E132,'1'!V:W,2,0)</f>
        <v>406</v>
      </c>
    </row>
    <row r="133" spans="1:28">
      <c r="A133" s="1">
        <v>57</v>
      </c>
      <c r="B133" s="2">
        <v>0</v>
      </c>
      <c r="C133" s="2">
        <v>201</v>
      </c>
      <c r="D133" s="2" t="s">
        <v>1943</v>
      </c>
      <c r="E133" s="2" t="s">
        <v>1659</v>
      </c>
      <c r="F133" s="2" t="str">
        <f>VLOOKUP(E133,Sheet1!E:G,3,0)</f>
        <v>主动脉窦瘤破裂修补术</v>
      </c>
      <c r="G133" s="3"/>
      <c r="H133" s="2">
        <v>5570</v>
      </c>
      <c r="I133" s="2">
        <v>5010</v>
      </c>
      <c r="J133" s="2">
        <v>4260</v>
      </c>
      <c r="K133" s="3"/>
      <c r="L133" s="2">
        <v>5700</v>
      </c>
      <c r="M133" s="2">
        <v>5150</v>
      </c>
      <c r="N133" s="2">
        <v>4400</v>
      </c>
      <c r="O133" s="2">
        <v>1</v>
      </c>
      <c r="P133" s="2">
        <v>1</v>
      </c>
      <c r="Q133" s="2" t="s">
        <v>1901</v>
      </c>
      <c r="R133" s="2">
        <v>0</v>
      </c>
      <c r="S133" s="2">
        <v>1</v>
      </c>
      <c r="T133" s="2">
        <v>0</v>
      </c>
      <c r="U133" s="2">
        <v>0</v>
      </c>
      <c r="V133" s="2">
        <v>130</v>
      </c>
      <c r="W133" s="2">
        <v>0</v>
      </c>
      <c r="X133" s="2">
        <v>0</v>
      </c>
      <c r="Y133" s="2">
        <v>130</v>
      </c>
      <c r="Z133" s="2">
        <v>0</v>
      </c>
      <c r="AA133" s="2">
        <v>0</v>
      </c>
      <c r="AB133">
        <f>VLOOKUP(E133,'1'!V:W,2,0)</f>
        <v>412</v>
      </c>
    </row>
    <row r="134" spans="1:28">
      <c r="A134" s="1">
        <v>52</v>
      </c>
      <c r="B134" s="2">
        <v>0</v>
      </c>
      <c r="C134" s="2">
        <v>201</v>
      </c>
      <c r="D134" s="2" t="s">
        <v>1943</v>
      </c>
      <c r="E134" s="2" t="s">
        <v>1806</v>
      </c>
      <c r="F134" s="2" t="str">
        <f>VLOOKUP(E134,Sheet1!E:G,3,0)</f>
        <v>体静脉引流入肺静脉侧心房矫治术</v>
      </c>
      <c r="G134" s="3"/>
      <c r="H134" s="2">
        <v>5060</v>
      </c>
      <c r="I134" s="2">
        <v>4550</v>
      </c>
      <c r="J134" s="2">
        <v>3870</v>
      </c>
      <c r="K134" s="3"/>
      <c r="L134" s="2">
        <v>735</v>
      </c>
      <c r="M134" s="2">
        <v>665</v>
      </c>
      <c r="N134" s="2">
        <v>565</v>
      </c>
      <c r="O134" s="2">
        <v>1</v>
      </c>
      <c r="P134" s="2">
        <v>1</v>
      </c>
      <c r="Q134" s="2" t="s">
        <v>1901</v>
      </c>
      <c r="R134" s="2">
        <v>0</v>
      </c>
      <c r="S134" s="2">
        <v>0</v>
      </c>
      <c r="T134" s="2">
        <v>2</v>
      </c>
      <c r="U134" s="2">
        <v>0</v>
      </c>
      <c r="V134" s="2">
        <v>0</v>
      </c>
      <c r="W134" s="2">
        <v>-7770</v>
      </c>
      <c r="X134" s="2">
        <v>0</v>
      </c>
      <c r="Y134" s="2">
        <v>0</v>
      </c>
      <c r="Z134" s="2">
        <v>-7770</v>
      </c>
      <c r="AA134" s="2">
        <v>0</v>
      </c>
      <c r="AB134">
        <f>VLOOKUP(E134,'1'!V:W,2,0)</f>
        <v>444</v>
      </c>
    </row>
  </sheetData>
  <autoFilter ref="A2:AB134">
    <sortState ref="A3:AB134">
      <sortCondition ref="AB2"/>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1</vt:lpstr>
      <vt:lpstr>1 (2)</vt:lpstr>
      <vt:lpstr>改变收费方式</vt: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吴华春</dc:creator>
  <cp:lastModifiedBy>QHTF</cp:lastModifiedBy>
  <dcterms:created xsi:type="dcterms:W3CDTF">2025-12-25T02:19:00Z</dcterms:created>
  <dcterms:modified xsi:type="dcterms:W3CDTF">2026-04-07T16:53:40Z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2052-11.8.2.12219</vt:lpwstr>
  </property>
  <property fmtid="{D5CDD505-2E9C-101B-9397-08002B2CF9AE}" pid="3" name="ICV">
    <vt:lpwstr>0C9268D494BC9DF42BC2AF693F1D5230</vt:lpwstr>
  </property>
  <property fmtid="{D5CDD505-2E9C-101B-9397-08002B2CF9AE}" pid="4" name="CalculationRule">
    <vt:i4>0</vt:i4>
  </property>
</Properties>
</file>