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35" activeTab="2"/>
  </bookViews>
  <sheets>
    <sheet name="理顺比价" sheetId="1" r:id="rId1"/>
    <sheet name="医院意见" sheetId="2" r:id="rId2"/>
    <sheet name="Sheet1" sheetId="3" r:id="rId3"/>
    <sheet name="Sheet2" sheetId="4" r:id="rId4"/>
  </sheets>
  <definedNames>
    <definedName name="_xlnm._FilterDatabase" localSheetId="1" hidden="1">医院意见!$A$3:$U$105</definedName>
    <definedName name="_xlnm._FilterDatabase" localSheetId="0" hidden="1">理顺比价!$B$3:$T$150</definedName>
    <definedName name="_xlnm.Print_Titles" localSheetId="0">理顺比价!$3:$3</definedName>
    <definedName name="_xlnm.Print_Titles" localSheetId="1">医院意见!$3:$3</definedName>
  </definedNames>
  <calcPr calcId="144525"/>
</workbook>
</file>

<file path=xl/sharedStrings.xml><?xml version="1.0" encoding="utf-8"?>
<sst xmlns="http://schemas.openxmlformats.org/spreadsheetml/2006/main" count="3393" uniqueCount="656">
  <si>
    <t>附件1</t>
  </si>
  <si>
    <t>拟调整项目价格拟定情况（理顺比价关系）</t>
  </si>
  <si>
    <t>序号</t>
  </si>
  <si>
    <t>国家结算编码</t>
  </si>
  <si>
    <t>项目编码</t>
  </si>
  <si>
    <t>项目名称</t>
  </si>
  <si>
    <t>项目内涵</t>
  </si>
  <si>
    <t>除外内容</t>
  </si>
  <si>
    <t>说明</t>
  </si>
  <si>
    <t>计价
单位</t>
  </si>
  <si>
    <t>价格
(市级)</t>
  </si>
  <si>
    <t>价格
(县级)</t>
  </si>
  <si>
    <t>价格
(基层)</t>
  </si>
  <si>
    <t>省三甲</t>
  </si>
  <si>
    <t>省三甲以下</t>
  </si>
  <si>
    <t>拟定价格（市）</t>
  </si>
  <si>
    <t>拟定价格（县）</t>
  </si>
  <si>
    <t>拟定价格（基层）</t>
  </si>
  <si>
    <t>调整前排名排名</t>
  </si>
  <si>
    <t>调整前与省比价</t>
  </si>
  <si>
    <t>调整后排名</t>
  </si>
  <si>
    <t>调整后与省比价</t>
  </si>
  <si>
    <t>归类</t>
  </si>
  <si>
    <t>001211000010000-121100001</t>
  </si>
  <si>
    <t>一般物理降温</t>
  </si>
  <si>
    <t>包括酒精擦浴及冰袋等方法</t>
  </si>
  <si>
    <t/>
  </si>
  <si>
    <t>次</t>
  </si>
  <si>
    <t>综合类-调低</t>
  </si>
  <si>
    <t>001211000010100-12110000101</t>
  </si>
  <si>
    <t>酒精擦浴降温</t>
  </si>
  <si>
    <t>001211000010200-12110000102</t>
  </si>
  <si>
    <t>冰袋降温</t>
  </si>
  <si>
    <t>001211000020000-121100002</t>
  </si>
  <si>
    <t>特殊物理降温</t>
  </si>
  <si>
    <t>指使用专用降温设备等方法</t>
  </si>
  <si>
    <t>001213000010000-121300001</t>
  </si>
  <si>
    <t>冷热湿敷</t>
  </si>
  <si>
    <t>药物</t>
  </si>
  <si>
    <t>001216000030000-121600003</t>
  </si>
  <si>
    <t>持续膀胱冲洗</t>
  </si>
  <si>
    <t>包括加压持续冲洗</t>
  </si>
  <si>
    <t>不再收取引流管冲洗。六岁及以下儿童在原价基础上加收30%。</t>
  </si>
  <si>
    <t>日</t>
  </si>
  <si>
    <t>001216000030100-12160000301</t>
  </si>
  <si>
    <t>膀胱冲洗(持续加压)</t>
  </si>
  <si>
    <t>加压持续冲洗</t>
  </si>
  <si>
    <t>001216000020000-12160000302</t>
  </si>
  <si>
    <t>小儿膀胱冲洗(持续)</t>
  </si>
  <si>
    <t>003109050030000-310905003</t>
  </si>
  <si>
    <t>肝穿刺术</t>
  </si>
  <si>
    <t>含活检</t>
  </si>
  <si>
    <t>穿刺针</t>
  </si>
  <si>
    <t>经皮肝穿刺引流术市级按270元/次收取，县级按245元/次收取，基层按210元/次收取；六岁及以下儿童在原价基础上加收30%。</t>
  </si>
  <si>
    <t>临床各系统诊疗</t>
  </si>
  <si>
    <t>003109050030000-31090500301</t>
  </si>
  <si>
    <t>小儿肝穿刺术</t>
  </si>
  <si>
    <t>003101000280000-310100028</t>
  </si>
  <si>
    <t>经皮穿刺三叉神经半月节注射治疗术</t>
  </si>
  <si>
    <t>含神经感觉定位、注射药物、测定疗效范围、局部加压；不含术中影像学检查</t>
  </si>
  <si>
    <t>六岁及以下儿童在原价基础上加收30%</t>
  </si>
  <si>
    <t>003101000280000-31010002801</t>
  </si>
  <si>
    <t>小儿经皮穿刺三叉神经半月节注射治疗术</t>
  </si>
  <si>
    <t>003101000290000-310100029</t>
  </si>
  <si>
    <t>经皮穿刺三叉神经半月节射频温控热凝术</t>
  </si>
  <si>
    <t>含神经感觉定位、射频温控治疗、测定疗效范围、局部加压；包括感觉根射频温控热凝，不含术中影像学检查、全麻</t>
  </si>
  <si>
    <t>003101000290000-31010002901</t>
  </si>
  <si>
    <t>小儿经皮穿刺三叉神经半月节射频温控热凝术</t>
  </si>
  <si>
    <t>003101000300000-310100030</t>
  </si>
  <si>
    <t>经皮穿刺三叉神经干注射术</t>
  </si>
  <si>
    <t>003101000300000-31010003001</t>
  </si>
  <si>
    <t>小儿经皮穿刺三叉神经干注射术</t>
  </si>
  <si>
    <t>003108000040000-310800004</t>
  </si>
  <si>
    <t>采自体血及保存</t>
  </si>
  <si>
    <t>含麻醉下手术采集和低温保存</t>
  </si>
  <si>
    <t>回收装置</t>
  </si>
  <si>
    <t>长期低温保存以每天３元计价；手工自采成分血加收30元。回收装置含回收罐、回收滤器和回收管路。</t>
  </si>
  <si>
    <t>采血次数</t>
  </si>
  <si>
    <t>003108000040000-31080000402</t>
  </si>
  <si>
    <t>采自体血及保存(手工自采成分血)</t>
  </si>
  <si>
    <t>手工自采成分血</t>
  </si>
  <si>
    <t>003108000170000-310800017</t>
  </si>
  <si>
    <t>血细胞分化簇抗原(CD)34阳性造血干细胞分选</t>
  </si>
  <si>
    <t>一次性免疫磁珠柱</t>
  </si>
  <si>
    <t>003108000180000-310800018</t>
  </si>
  <si>
    <t>血细胞分化簇抗原(CD)34阳性造血干细胞移植</t>
  </si>
  <si>
    <t>003108000200000-310800020</t>
  </si>
  <si>
    <t>骨髓移植术</t>
  </si>
  <si>
    <t>含严格无菌消毒隔离措施，包括异体基因、自体基因</t>
  </si>
  <si>
    <t>供体</t>
  </si>
  <si>
    <t>003108000210000-310800021</t>
  </si>
  <si>
    <t>外周血干细胞移植术</t>
  </si>
  <si>
    <t>003108000220000-310800022</t>
  </si>
  <si>
    <t>自体骨髓或外周血干细胞支持治疗</t>
  </si>
  <si>
    <t>指大剂量化疗后，含严格无菌消毒隔离措施</t>
  </si>
  <si>
    <t>003108000230000-310800023</t>
  </si>
  <si>
    <t>脐血移植术</t>
  </si>
  <si>
    <t>脐血</t>
  </si>
  <si>
    <t>003204000020000-320400002</t>
  </si>
  <si>
    <t>经皮心内膜心肌活检术</t>
  </si>
  <si>
    <t>不含病理诊断及其它特殊检查</t>
  </si>
  <si>
    <t>经血管介入诊疗</t>
  </si>
  <si>
    <t>003204000020000-32040000201</t>
  </si>
  <si>
    <t>小儿经皮心内膜心肌活检术</t>
  </si>
  <si>
    <t>003205000020000-320500002</t>
  </si>
  <si>
    <t>经皮冠状动脉腔内成形术(PTCA)</t>
  </si>
  <si>
    <t>含PTCA前的靶血管造影</t>
  </si>
  <si>
    <t>以扩张一支冠脉血管为基价，扩张多支血管加收20%</t>
  </si>
  <si>
    <t>003205000020001-32050000201</t>
  </si>
  <si>
    <t>使用经皮冠状动脉腔内成形术(扩张多支血管加收)</t>
  </si>
  <si>
    <t>以扩张一支冠脉血管为基价，扩张多支血管加收</t>
  </si>
  <si>
    <t>003205000020000-32050000202</t>
  </si>
  <si>
    <t>小儿经皮冠状动脉腔内成形术(PTCA)</t>
  </si>
  <si>
    <t>003205000020001-32050000203</t>
  </si>
  <si>
    <t>小儿使用经皮冠状动脉腔内成形术(扩张多支血管加收)</t>
  </si>
  <si>
    <t>扩张多支血管加收</t>
  </si>
  <si>
    <t>003205000070000-320500007</t>
  </si>
  <si>
    <t>冠脉血管内超声检查术(IVUS)</t>
  </si>
  <si>
    <t>含术前的靶血管造影</t>
  </si>
  <si>
    <t>同时做冠状血管内多普勒血流测量术加收20%</t>
  </si>
  <si>
    <t>003205000070000-32050000701</t>
  </si>
  <si>
    <t>冠脉血管内超声检查术(多普勒血流测量术)</t>
  </si>
  <si>
    <t>同时做冠状血管内多普勒血流测量术</t>
  </si>
  <si>
    <t>003205000070000-32050000702</t>
  </si>
  <si>
    <t>小儿冠脉血管内超声检查术(IVUS)</t>
  </si>
  <si>
    <t>003205000070000-32050000703</t>
  </si>
  <si>
    <t>小儿冠脉血管内超声检查术(多普勒血流测量术)</t>
  </si>
  <si>
    <t>003205000140000-320500014</t>
  </si>
  <si>
    <t>冠脉内局部放射治疗术</t>
  </si>
  <si>
    <t>含冠脉造影、同位素放射源及放疗装置的使用</t>
  </si>
  <si>
    <t>003205000140000-32050001401</t>
  </si>
  <si>
    <t>小儿冠脉内局部放射治疗术</t>
  </si>
  <si>
    <t>003206000020000-320600002</t>
  </si>
  <si>
    <t>单纯脑动静脉瘘栓塞术</t>
  </si>
  <si>
    <t>003206000020000-32060000201</t>
  </si>
  <si>
    <t>小儿单纯脑动静脉瘘栓塞术</t>
  </si>
  <si>
    <t>003206000030000-320600003</t>
  </si>
  <si>
    <t>经皮穿刺脑血管腔内球囊成形术</t>
  </si>
  <si>
    <t>003206000030000-32060000301</t>
  </si>
  <si>
    <t>小儿经皮穿刺脑血管腔内球囊成形术</t>
  </si>
  <si>
    <t>003206000050000-320600005</t>
  </si>
  <si>
    <t>经皮穿刺脑血管腔内溶栓术</t>
  </si>
  <si>
    <t>003206000050000-32060000501</t>
  </si>
  <si>
    <t>小儿经皮穿刺脑血管腔内溶栓术</t>
  </si>
  <si>
    <t>003206000060000-320600006</t>
  </si>
  <si>
    <t>经皮穿刺脑血管腔内化疗术</t>
  </si>
  <si>
    <t>003206000060000-32060000601</t>
  </si>
  <si>
    <t>小儿经皮穿刺脑血管腔内化疗术</t>
  </si>
  <si>
    <t>003206000070000-320600007</t>
  </si>
  <si>
    <t>颈内动脉海绵窦瘘栓塞术</t>
  </si>
  <si>
    <t>003206000070000-32060000701</t>
  </si>
  <si>
    <t>小儿颈内动脉海绵窦瘘栓塞术</t>
  </si>
  <si>
    <t>003206000090000-320600009</t>
  </si>
  <si>
    <t>脑及颅内血管畸形栓塞术</t>
  </si>
  <si>
    <t>003206000090000-32060000901</t>
  </si>
  <si>
    <t>小儿脑及颅内血管畸形栓塞术</t>
  </si>
  <si>
    <t>003206000100000-320600010</t>
  </si>
  <si>
    <t>脊髓动脉造影术</t>
  </si>
  <si>
    <t>003206000100000-32060001001</t>
  </si>
  <si>
    <t>小儿脊髓动脉造影术</t>
  </si>
  <si>
    <t>003206000110000-320600011</t>
  </si>
  <si>
    <t>脊髓血管畸形栓塞术</t>
  </si>
  <si>
    <t>003206000110000-32060001101</t>
  </si>
  <si>
    <t>小儿脊髓血管畸形栓塞术</t>
  </si>
  <si>
    <t>003302020100000-330202010</t>
  </si>
  <si>
    <t>面神经跨面移植术</t>
  </si>
  <si>
    <t>移植材料</t>
  </si>
  <si>
    <t>手术治疗类</t>
  </si>
  <si>
    <t>003302020100000-33020201001</t>
  </si>
  <si>
    <t>小儿面神经跨面移植术</t>
  </si>
  <si>
    <t>003302020110000-330202011</t>
  </si>
  <si>
    <t>面神经松解减压术</t>
  </si>
  <si>
    <t>含腮腺浅叶切除；包括面神经周围支支配的外周部分</t>
  </si>
  <si>
    <t>003302020110000-33020201101</t>
  </si>
  <si>
    <t>小儿面神经松解减压术</t>
  </si>
  <si>
    <t>003302020120000-330202012</t>
  </si>
  <si>
    <t>经耳面神经梳理术</t>
  </si>
  <si>
    <t>003302020120000-33020201201</t>
  </si>
  <si>
    <t>小儿经耳面神经梳理术</t>
  </si>
  <si>
    <t>003302020130000-330202013</t>
  </si>
  <si>
    <t>面神经周围神经移植术</t>
  </si>
  <si>
    <t>003302020130000-33020201301</t>
  </si>
  <si>
    <t>小儿面神经周围神经移植术</t>
  </si>
  <si>
    <t>003302040080000-330204008</t>
  </si>
  <si>
    <t>脊髓硬膜外病变切除术</t>
  </si>
  <si>
    <t>包括硬脊膜外肿瘤、血肿、结核瘤、转移瘤、黄韧带增厚、椎间盘突出；不含硬脊膜下、脊髓内肿瘤</t>
  </si>
  <si>
    <t>003302040080000-33020400801</t>
  </si>
  <si>
    <t>小儿脊髓硬膜外病变切除术</t>
  </si>
  <si>
    <t>003302040090000-330204009</t>
  </si>
  <si>
    <t>髓外硬脊膜下病变切除术</t>
  </si>
  <si>
    <t>包括硬脊膜下肿瘤、血肿；不含脊髓内肿瘤</t>
  </si>
  <si>
    <t>肿瘤长度超过5cm加收15%</t>
  </si>
  <si>
    <t>003302040090001-33020400901</t>
  </si>
  <si>
    <t>髓外硬脊膜下病变切除术（肿瘤长度超过5cm）</t>
  </si>
  <si>
    <t>肿瘤长度超过5cm</t>
  </si>
  <si>
    <t>003302040090000-33020400902</t>
  </si>
  <si>
    <t>小儿髓外硬脊膜下病变切除术</t>
  </si>
  <si>
    <t>003302040090001-33020400903</t>
  </si>
  <si>
    <t>小儿髓外硬脊膜下病变切除术（肿瘤长度超过5cm）</t>
  </si>
  <si>
    <t>003302040170000-330204017</t>
  </si>
  <si>
    <t>腰骶部潜毛窦切除术</t>
  </si>
  <si>
    <t>003302040170000-33020401701</t>
  </si>
  <si>
    <t>小儿腰骶部潜毛窦切除术</t>
  </si>
  <si>
    <t>003302040180000-330204018</t>
  </si>
  <si>
    <t>经皮穿刺骶神经囊肿治疗术</t>
  </si>
  <si>
    <t>003302040180000-33020401801</t>
  </si>
  <si>
    <t>小儿经皮穿刺骶神经囊肿治疗术</t>
  </si>
  <si>
    <t>003305010180000-330501018</t>
  </si>
  <si>
    <t>耳廓再造术</t>
  </si>
  <si>
    <t>含部分再造；不含皮肤扩张术</t>
  </si>
  <si>
    <t>003305010180000-33050101801</t>
  </si>
  <si>
    <t>小儿耳廓再造术</t>
  </si>
  <si>
    <t>003307020060000-330702006</t>
  </si>
  <si>
    <t>肺叶切除术</t>
  </si>
  <si>
    <t>包括同侧肺两叶切除术</t>
  </si>
  <si>
    <r>
      <rPr>
        <sz val="10"/>
        <rFont val="仿宋"/>
        <charset val="134"/>
      </rPr>
      <t>双侧手术市级医院</t>
    </r>
    <r>
      <rPr>
        <strike/>
        <sz val="10"/>
        <rFont val="仿宋"/>
        <charset val="134"/>
      </rPr>
      <t>3240</t>
    </r>
    <r>
      <rPr>
        <sz val="10"/>
        <rFont val="仿宋"/>
        <charset val="134"/>
      </rPr>
      <t>4665元，县级医院</t>
    </r>
    <r>
      <rPr>
        <strike/>
        <sz val="10"/>
        <rFont val="仿宋"/>
        <charset val="134"/>
      </rPr>
      <t>2920</t>
    </r>
    <r>
      <rPr>
        <sz val="10"/>
        <rFont val="仿宋"/>
        <charset val="134"/>
      </rPr>
      <t>4200元，基层</t>
    </r>
    <r>
      <rPr>
        <strike/>
        <sz val="10"/>
        <rFont val="仿宋"/>
        <charset val="134"/>
      </rPr>
      <t>2480</t>
    </r>
    <r>
      <rPr>
        <sz val="10"/>
        <rFont val="仿宋"/>
        <charset val="134"/>
      </rPr>
      <t>3570元。</t>
    </r>
  </si>
  <si>
    <t>003307020060000-33070200601</t>
  </si>
  <si>
    <t>肺叶切除术（双侧）</t>
  </si>
  <si>
    <t>双侧</t>
  </si>
  <si>
    <t>003307020060000-33070200602</t>
  </si>
  <si>
    <t>小儿肺叶切除术</t>
  </si>
  <si>
    <t>003307020060000-33070200603</t>
  </si>
  <si>
    <t>小儿肺叶切除术（双侧）</t>
  </si>
  <si>
    <t>003307020060001-33070200604</t>
  </si>
  <si>
    <t>经胸腔镜肺叶切除术</t>
  </si>
  <si>
    <t>003307020060001-33070200605</t>
  </si>
  <si>
    <t>经胸腔镜肺叶切除术(双侧)</t>
  </si>
  <si>
    <t>003307020060001-33070200606</t>
  </si>
  <si>
    <t>小儿经胸腔镜肺叶切除术</t>
  </si>
  <si>
    <t>003307020060001-33070200607</t>
  </si>
  <si>
    <t>小儿经胸腔镜肺叶切除术(双侧)</t>
  </si>
  <si>
    <t>003308010260000-330801026</t>
  </si>
  <si>
    <t>复合性先天性心脏畸形矫治术</t>
  </si>
  <si>
    <t>包括完全型心内膜垫缺损合并右室双出口或法鲁氏四联症的根治术等</t>
  </si>
  <si>
    <t>003308010260000-33080102601</t>
  </si>
  <si>
    <t>小儿复合性先天性心脏畸形矫治术</t>
  </si>
  <si>
    <t>003310030200000-331003020</t>
  </si>
  <si>
    <t>结肠癌根治术</t>
  </si>
  <si>
    <t>包括左、右半横结肠切除、淋巴清扫</t>
  </si>
  <si>
    <t>吻合器</t>
  </si>
  <si>
    <t>003310030200000-33100302001</t>
  </si>
  <si>
    <t>小儿结肠癌根治术</t>
  </si>
  <si>
    <t>003310030200001-33100302002</t>
  </si>
  <si>
    <t>经腹腔镜结肠癌根治术</t>
  </si>
  <si>
    <t>003310030200001-33100302003</t>
  </si>
  <si>
    <t>小儿经腹腔镜结肠癌根治术</t>
  </si>
  <si>
    <t>003310060040000-331006004</t>
  </si>
  <si>
    <t>高位胆管癌根治术</t>
  </si>
  <si>
    <t>含肝部分切除、肝胆管—肠吻合术</t>
  </si>
  <si>
    <t>003310060040000-33100600401</t>
  </si>
  <si>
    <t>小儿高位胆管癌根治术</t>
  </si>
  <si>
    <t>003310060040000-33100600402</t>
  </si>
  <si>
    <t>经腹腔镜高位胆管癌根治术</t>
  </si>
  <si>
    <t>003310060040000-33100600403</t>
  </si>
  <si>
    <t>小儿经腹腔镜高位胆管癌根治术</t>
  </si>
  <si>
    <t>003312010060000-331201006</t>
  </si>
  <si>
    <t>经尿道前列腺电切术</t>
  </si>
  <si>
    <r>
      <rPr>
        <sz val="10"/>
        <rFont val="仿宋"/>
        <charset val="134"/>
      </rPr>
      <t>电切法市级医院</t>
    </r>
    <r>
      <rPr>
        <strike/>
        <sz val="10"/>
        <rFont val="仿宋"/>
        <charset val="134"/>
      </rPr>
      <t>3020</t>
    </r>
    <r>
      <rPr>
        <sz val="10"/>
        <rFont val="仿宋"/>
        <charset val="134"/>
      </rPr>
      <t>3635元，县级医院</t>
    </r>
    <r>
      <rPr>
        <strike/>
        <sz val="10"/>
        <rFont val="仿宋"/>
        <charset val="134"/>
      </rPr>
      <t>2720</t>
    </r>
    <r>
      <rPr>
        <sz val="10"/>
        <rFont val="仿宋"/>
        <charset val="134"/>
      </rPr>
      <t>3270元，基层</t>
    </r>
    <r>
      <rPr>
        <strike/>
        <sz val="10"/>
        <rFont val="仿宋"/>
        <charset val="134"/>
      </rPr>
      <t>2310</t>
    </r>
    <r>
      <rPr>
        <sz val="10"/>
        <rFont val="仿宋"/>
        <charset val="134"/>
      </rPr>
      <t>2780元；等离子法市级医院3310元，县级医院2980元，基层2530元</t>
    </r>
  </si>
  <si>
    <t>主项调整说明，不涉及价格调整</t>
  </si>
  <si>
    <t>003312010060000-33120100601</t>
  </si>
  <si>
    <t>经尿道前列腺电切术（电切法）</t>
  </si>
  <si>
    <t>电切法</t>
  </si>
  <si>
    <t>003312010060000-33120100604</t>
  </si>
  <si>
    <t>小儿经尿道前列腺电切术（电切法）</t>
  </si>
  <si>
    <t>003315010360000-331501036</t>
  </si>
  <si>
    <t>椎管扩大减压术</t>
  </si>
  <si>
    <t>含全椎板切除；包括多节段椎管狭窄减压</t>
  </si>
  <si>
    <r>
      <rPr>
        <sz val="10"/>
        <rFont val="仿宋"/>
        <charset val="134"/>
      </rPr>
      <t>增加神经根管减压市级医院加收</t>
    </r>
    <r>
      <rPr>
        <strike/>
        <sz val="10"/>
        <rFont val="仿宋"/>
        <charset val="134"/>
      </rPr>
      <t>720</t>
    </r>
    <r>
      <rPr>
        <sz val="10"/>
        <rFont val="仿宋"/>
        <charset val="134"/>
      </rPr>
      <t>830元，县级医院加收</t>
    </r>
    <r>
      <rPr>
        <strike/>
        <sz val="10"/>
        <rFont val="仿宋"/>
        <charset val="134"/>
      </rPr>
      <t>650</t>
    </r>
    <r>
      <rPr>
        <sz val="10"/>
        <rFont val="仿宋"/>
        <charset val="134"/>
      </rPr>
      <t>745元，基层加收</t>
    </r>
    <r>
      <rPr>
        <strike/>
        <sz val="10"/>
        <rFont val="仿宋"/>
        <charset val="134"/>
      </rPr>
      <t>555</t>
    </r>
    <r>
      <rPr>
        <sz val="10"/>
        <rFont val="仿宋"/>
        <charset val="134"/>
      </rPr>
      <t>635元；多节段椎管狭窄减压市级医院收</t>
    </r>
    <r>
      <rPr>
        <strike/>
        <sz val="10"/>
        <rFont val="仿宋"/>
        <charset val="134"/>
      </rPr>
      <t>2530</t>
    </r>
    <r>
      <rPr>
        <sz val="10"/>
        <rFont val="仿宋"/>
        <charset val="134"/>
      </rPr>
      <t>2760元，县级医院收</t>
    </r>
    <r>
      <rPr>
        <strike/>
        <sz val="10"/>
        <rFont val="仿宋"/>
        <charset val="134"/>
      </rPr>
      <t>2280</t>
    </r>
    <r>
      <rPr>
        <sz val="10"/>
        <rFont val="仿宋"/>
        <charset val="134"/>
      </rPr>
      <t>2485元，基层医院收19402115元</t>
    </r>
  </si>
  <si>
    <t>每节椎板</t>
  </si>
  <si>
    <t>003315010360001-33150103601</t>
  </si>
  <si>
    <t>椎管扩大减压术（增加神经根管减压）</t>
  </si>
  <si>
    <t>增加神经根管减压</t>
  </si>
  <si>
    <t>003315010360100-33150103602</t>
  </si>
  <si>
    <t>椎管扩大减压术（多节段椎管狭窄减压）</t>
  </si>
  <si>
    <t>多节段椎管狭窄减压</t>
  </si>
  <si>
    <t>003315010360000-33150103603</t>
  </si>
  <si>
    <t>小儿椎管扩大减压术</t>
  </si>
  <si>
    <t>003315010360001-33150103604</t>
  </si>
  <si>
    <t>小儿椎管扩大减压术（增加神经根管减压）</t>
  </si>
  <si>
    <t>003315010360100-33150103605</t>
  </si>
  <si>
    <t>小儿椎管扩大减压术（多节段椎管狭窄减压）</t>
  </si>
  <si>
    <t>003315010370000-331501037</t>
  </si>
  <si>
    <t>椎管扩大成形术</t>
  </si>
  <si>
    <r>
      <rPr>
        <sz val="10"/>
        <rFont val="仿宋"/>
        <charset val="134"/>
      </rPr>
      <t>两节市级医院收34604770元，县级医院收</t>
    </r>
    <r>
      <rPr>
        <strike/>
        <sz val="10"/>
        <rFont val="仿宋"/>
        <charset val="134"/>
      </rPr>
      <t>3110</t>
    </r>
    <r>
      <rPr>
        <sz val="10"/>
        <rFont val="仿宋"/>
        <charset val="134"/>
      </rPr>
      <t>4295元，基层收</t>
    </r>
    <r>
      <rPr>
        <strike/>
        <sz val="10"/>
        <rFont val="仿宋"/>
        <charset val="134"/>
      </rPr>
      <t>2640</t>
    </r>
    <r>
      <rPr>
        <sz val="10"/>
        <rFont val="仿宋"/>
        <charset val="134"/>
      </rPr>
      <t>3650元；三节市级医院收</t>
    </r>
    <r>
      <rPr>
        <strike/>
        <sz val="10"/>
        <rFont val="仿宋"/>
        <charset val="134"/>
      </rPr>
      <t>3920</t>
    </r>
    <r>
      <rPr>
        <sz val="10"/>
        <rFont val="仿宋"/>
        <charset val="134"/>
      </rPr>
      <t>5400元，县级医院收</t>
    </r>
    <r>
      <rPr>
        <strike/>
        <sz val="10"/>
        <rFont val="仿宋"/>
        <charset val="134"/>
      </rPr>
      <t>3530</t>
    </r>
    <r>
      <rPr>
        <sz val="10"/>
        <rFont val="仿宋"/>
        <charset val="134"/>
      </rPr>
      <t>4860元，基层收</t>
    </r>
    <r>
      <rPr>
        <strike/>
        <sz val="10"/>
        <rFont val="仿宋"/>
        <charset val="134"/>
      </rPr>
      <t>3000</t>
    </r>
    <r>
      <rPr>
        <sz val="10"/>
        <rFont val="仿宋"/>
        <charset val="134"/>
      </rPr>
      <t>4130元；四节以上不再加收。</t>
    </r>
  </si>
  <si>
    <t>003315010370000-33150103701</t>
  </si>
  <si>
    <t>椎管扩大成形术(两节)</t>
  </si>
  <si>
    <t>两节</t>
  </si>
  <si>
    <t>两节椎板</t>
  </si>
  <si>
    <t>003315010370000-33150103702</t>
  </si>
  <si>
    <t>椎管扩大成形术(三节及以上)</t>
  </si>
  <si>
    <t>三节及以上</t>
  </si>
  <si>
    <t>三节椎板</t>
  </si>
  <si>
    <t>003315010370000-33150103703</t>
  </si>
  <si>
    <t>小儿椎管扩大成形术</t>
  </si>
  <si>
    <t>003315010370000-33150103704</t>
  </si>
  <si>
    <t>小儿椎管扩大成形术(两节)</t>
  </si>
  <si>
    <t>003315010370000-33150103705</t>
  </si>
  <si>
    <t>小儿椎管扩大成形术(三节及以上)</t>
  </si>
  <si>
    <t>三节</t>
  </si>
  <si>
    <t>003315010380000-331501038</t>
  </si>
  <si>
    <t>腰椎间盘突出摘除术</t>
  </si>
  <si>
    <t>含椎板开窗间盘切除；不含极外侧突出</t>
  </si>
  <si>
    <t>两节加收50%；三节再加收20%；四节以上不再加收。</t>
  </si>
  <si>
    <t>每节间盘</t>
  </si>
  <si>
    <t>003315010380000-33150103801</t>
  </si>
  <si>
    <t>腰椎间盘突出摘除术（两节）</t>
  </si>
  <si>
    <t>二节间盘</t>
  </si>
  <si>
    <t>003315010380000-33150103802</t>
  </si>
  <si>
    <t>腰椎间盘突出摘除术（三节及以上）</t>
  </si>
  <si>
    <t>三节间盘</t>
  </si>
  <si>
    <t>003315010380000-33150103803</t>
  </si>
  <si>
    <t>小儿腰椎间盘突出摘除术</t>
  </si>
  <si>
    <t>003315010380000-33150103804</t>
  </si>
  <si>
    <t>小儿腰椎间盘突出摘除术（两节）</t>
  </si>
  <si>
    <t>003315010380000-33150103805</t>
  </si>
  <si>
    <t>小儿腰椎间盘突出摘除术（三节及以上）</t>
  </si>
  <si>
    <t>三节以上</t>
  </si>
  <si>
    <t>003315010470000-331501047</t>
  </si>
  <si>
    <t>强直性脊柱炎多椎截骨矫正术</t>
  </si>
  <si>
    <t>含植骨融合；包括后方入路、截骨矫形，先天性脊柱畸形、截骨矫正术，创伤性脊柱畸形、截骨矫正术，TB性脊柱畸形、截骨矫正术</t>
  </si>
  <si>
    <r>
      <rPr>
        <sz val="10"/>
        <rFont val="仿宋"/>
        <charset val="134"/>
      </rPr>
      <t>前方入路松解手术、增加内固定市级医院加收</t>
    </r>
    <r>
      <rPr>
        <strike/>
        <sz val="10"/>
        <rFont val="仿宋"/>
        <charset val="134"/>
      </rPr>
      <t>1030</t>
    </r>
    <r>
      <rPr>
        <sz val="10"/>
        <rFont val="仿宋"/>
        <charset val="134"/>
      </rPr>
      <t>1300元，县级医院加收</t>
    </r>
    <r>
      <rPr>
        <strike/>
        <sz val="10"/>
        <rFont val="仿宋"/>
        <charset val="134"/>
      </rPr>
      <t>925</t>
    </r>
    <r>
      <rPr>
        <sz val="10"/>
        <rFont val="仿宋"/>
        <charset val="134"/>
      </rPr>
      <t>1170元，基层加收</t>
    </r>
    <r>
      <rPr>
        <strike/>
        <sz val="10"/>
        <rFont val="仿宋"/>
        <charset val="134"/>
      </rPr>
      <t>785</t>
    </r>
    <r>
      <rPr>
        <sz val="10"/>
        <rFont val="仿宋"/>
        <charset val="134"/>
      </rPr>
      <t>995元</t>
    </r>
  </si>
  <si>
    <t>003315010470001-33150104701</t>
  </si>
  <si>
    <t>强直性脊柱炎多椎截骨矫正术（前方入路松解手术加收）</t>
  </si>
  <si>
    <t>前方入路松解手术加收</t>
  </si>
  <si>
    <t>003315010470002-33150104702</t>
  </si>
  <si>
    <t>强直性脊柱炎多椎截骨矫正术（增加内固定加收）</t>
  </si>
  <si>
    <t>增加内固定加收</t>
  </si>
  <si>
    <t>003315010470000-33150104703</t>
  </si>
  <si>
    <t>小儿强直性脊柱炎多椎截骨矫正术</t>
  </si>
  <si>
    <t>003315010470001-33150104704</t>
  </si>
  <si>
    <t>小儿强直性脊柱炎多椎截骨矫正术（前方入路松解手术加收）</t>
  </si>
  <si>
    <t>003315010470002-33150104705</t>
  </si>
  <si>
    <t>小儿强直性脊柱炎多椎截骨矫正术（增加内固定加收）</t>
  </si>
  <si>
    <t>003315020090000-331502009</t>
  </si>
  <si>
    <t>周围神经嵌压松解术</t>
  </si>
  <si>
    <t>003315020090000-33150200901</t>
  </si>
  <si>
    <t>小儿周围神经嵌压松解术</t>
  </si>
  <si>
    <t>003315020100000-331502010</t>
  </si>
  <si>
    <t>坐骨神经松解术</t>
  </si>
  <si>
    <t>003315020100000-33150201001</t>
  </si>
  <si>
    <t>小儿坐骨神经松解术</t>
  </si>
  <si>
    <t>003315030050000-331503005</t>
  </si>
  <si>
    <t>髋臼肿瘤切除及髋关节融合术</t>
  </si>
  <si>
    <t>包括成形术</t>
  </si>
  <si>
    <t>003315030050000-33150300501</t>
  </si>
  <si>
    <t>小儿髋臼肿瘤切除及髋关节融合术</t>
  </si>
  <si>
    <t>003316020050000-331602005</t>
  </si>
  <si>
    <t>海绵状血管瘤切除术（大）</t>
  </si>
  <si>
    <t>指面积＞10cm2达到肢体一周及超过肢体1/4长度，包括体表血管瘤、脂肪血管瘤、淋巴血管瘤、纤维血管瘤、神经纤维血管瘤；不含皮瓣或组织移植</t>
  </si>
  <si>
    <t>植皮术加收20%；激光手术加收37.5%</t>
  </si>
  <si>
    <t>003316020050001-33160200501</t>
  </si>
  <si>
    <t>海绵状血管瘤切除术（大）-植皮术加收</t>
  </si>
  <si>
    <t>植皮术加收</t>
  </si>
  <si>
    <t>003316020050002-33160200502</t>
  </si>
  <si>
    <t>海绵状血管瘤切除术（大）-激光手术</t>
  </si>
  <si>
    <t>激光手术</t>
  </si>
  <si>
    <t>003316020050000-33160200503</t>
  </si>
  <si>
    <t>小儿海绵状血管瘤切除术（大）</t>
  </si>
  <si>
    <t>003316020050001-33160200504</t>
  </si>
  <si>
    <t>小儿海绵状血管瘤切除术（大）-植皮术加收</t>
  </si>
  <si>
    <t>003316020050002-33160200505</t>
  </si>
  <si>
    <t>小儿海绵状血管瘤切除术（大）-激光手术</t>
  </si>
  <si>
    <t>003316020060000-331602006</t>
  </si>
  <si>
    <t>海绵状血管瘤切除术（中）</t>
  </si>
  <si>
    <t>指面积小于10cm2，未达肢体一周及肢体1／4长度，包括体表血管瘤、脂肪血管瘤、淋巴血管瘤、纤维血管瘤、神经纤维血管瘤；不含皮瓣或组织移植</t>
  </si>
  <si>
    <r>
      <rPr>
        <sz val="10"/>
        <rFont val="仿宋"/>
        <charset val="134"/>
      </rPr>
      <t>植皮术加收20%；激光手术基层医院收</t>
    </r>
    <r>
      <rPr>
        <strike/>
        <sz val="10"/>
        <rFont val="仿宋"/>
        <charset val="134"/>
      </rPr>
      <t>1020</t>
    </r>
    <r>
      <rPr>
        <sz val="10"/>
        <rFont val="仿宋"/>
        <charset val="134"/>
      </rPr>
      <t>1480元，县级医院收</t>
    </r>
    <r>
      <rPr>
        <strike/>
        <sz val="10"/>
        <rFont val="仿宋"/>
        <charset val="134"/>
      </rPr>
      <t>1200</t>
    </r>
    <r>
      <rPr>
        <sz val="10"/>
        <rFont val="仿宋"/>
        <charset val="134"/>
      </rPr>
      <t>1330元，市级医院收</t>
    </r>
    <r>
      <rPr>
        <strike/>
        <sz val="10"/>
        <rFont val="仿宋"/>
        <charset val="134"/>
      </rPr>
      <t>1250</t>
    </r>
    <r>
      <rPr>
        <sz val="10"/>
        <rFont val="仿宋"/>
        <charset val="134"/>
      </rPr>
      <t>1130元</t>
    </r>
  </si>
  <si>
    <t>003316020060002-33160200601</t>
  </si>
  <si>
    <t>海绵状血管瘤切除术（中）-激光手术</t>
  </si>
  <si>
    <t>003316020060001-33160200602</t>
  </si>
  <si>
    <t>海绵状血管瘤切除术（中）-植皮术加收</t>
  </si>
  <si>
    <t>003316020060000-33160200603</t>
  </si>
  <si>
    <t>小儿海绵状血管瘤切除术（中）</t>
  </si>
  <si>
    <t>003316020060002-33160200604</t>
  </si>
  <si>
    <t>小儿海绵状血管瘤切除术（中）-激光手术</t>
  </si>
  <si>
    <t>003316020060001-33160200605</t>
  </si>
  <si>
    <t>小儿海绵状血管瘤切除术（中）-植皮术加收</t>
  </si>
  <si>
    <t>003316020070000-331602007</t>
  </si>
  <si>
    <t>海绵状血管瘤切除术（小）</t>
  </si>
  <si>
    <t>指面积在3cm2以下，包括体表血管瘤、脂肪血管瘤、淋巴血管瘤、纤维血管瘤、神经纤维血管瘤，位于躯干、四肢体表、侵犯皮肤脂肪层、浅筋膜未达深筋膜；不含皮瓣或组织移植</t>
  </si>
  <si>
    <t>植皮术加收20%；激光手术加收75%</t>
  </si>
  <si>
    <t>003316020070001-33160200701</t>
  </si>
  <si>
    <t>海绵状血管瘤切除术（小）-植皮术加收</t>
  </si>
  <si>
    <t>003316020070002-33160200702</t>
  </si>
  <si>
    <t>海绵状血管瘤切除术（小）-激光手术</t>
  </si>
  <si>
    <t>003316020070000-33160200703</t>
  </si>
  <si>
    <t>小儿海绵状血管瘤切除术（小）</t>
  </si>
  <si>
    <t>003316020070001-33160200704</t>
  </si>
  <si>
    <t>小儿海绵状血管瘤切除术（小）-植皮术加收</t>
  </si>
  <si>
    <t>003316020070002-33160200705</t>
  </si>
  <si>
    <t>小儿海绵状血管瘤切除术（小）-激光手术</t>
  </si>
  <si>
    <t>003316020130000-331602013</t>
  </si>
  <si>
    <t>皮肤恶性肿瘤切除术</t>
  </si>
  <si>
    <t>植皮加收50%；头面颈部＞5cm2，躯干四肢&gt;20cm2的加收20%</t>
  </si>
  <si>
    <t>003316020130001-33160201301</t>
  </si>
  <si>
    <t>皮肤恶性肿瘤切除术（植皮加收）</t>
  </si>
  <si>
    <t>植皮加收</t>
  </si>
  <si>
    <t>003316020130000-33160201302</t>
  </si>
  <si>
    <t>皮肤恶性肿瘤切除术（头面颈部＞5cm2，躯干四肢&gt;2cm2）</t>
  </si>
  <si>
    <t>头面颈部＞5cm2，躯干四肢&gt;20cm2</t>
  </si>
  <si>
    <t>003316020130000-33160201303</t>
  </si>
  <si>
    <t>小儿皮肤恶性肿瘤切除术</t>
  </si>
  <si>
    <t>003316020130001-33160201304</t>
  </si>
  <si>
    <t>小儿皮肤恶性肿瘤切除术（植皮加收）</t>
  </si>
  <si>
    <t>003316020130000-33160201305</t>
  </si>
  <si>
    <t>小儿皮肤恶性肿瘤切除术（头面颈部＞5cm2，躯干四肢&gt;2cm2）</t>
  </si>
  <si>
    <t>拟调整项目价格拟定情况（医院意见）</t>
  </si>
  <si>
    <t>003301000180000-330100018</t>
  </si>
  <si>
    <t>镇痛泵体内置入术</t>
  </si>
  <si>
    <t>包括化疗泵、植入式给药装置、植入式输液港的置入和取出。</t>
  </si>
  <si>
    <t>泵、植入式给药装置、植入式输液港</t>
  </si>
  <si>
    <t>取出术市级按98元/次收费；县级按96元/次收费；基层按90元/次收费</t>
  </si>
  <si>
    <t>003301000180100-33010001802</t>
  </si>
  <si>
    <t>化疗泵置入术</t>
  </si>
  <si>
    <t>353301000280000-33010001804</t>
  </si>
  <si>
    <t>植入式给药装置置入术</t>
  </si>
  <si>
    <t>003301000180000-33010001806</t>
  </si>
  <si>
    <t>植入式输液港置入术</t>
  </si>
  <si>
    <t>003301000180000-33010001808</t>
  </si>
  <si>
    <t>小儿镇痛泵体内置入术</t>
  </si>
  <si>
    <t>353300000010000-33000000006</t>
  </si>
  <si>
    <t>关节镜辅助操作</t>
  </si>
  <si>
    <t>关节镜加收</t>
  </si>
  <si>
    <t>手术治疗类-涉及关节镜</t>
  </si>
  <si>
    <t>003315010560000-331501056</t>
  </si>
  <si>
    <t>经皮穿刺颈腰椎间盘切除术</t>
  </si>
  <si>
    <t>含造影、超声定位</t>
  </si>
  <si>
    <t>003315010560000-33150105601</t>
  </si>
  <si>
    <t>小儿经皮穿刺颈腰椎间盘切除术</t>
  </si>
  <si>
    <t>003315010560000-33150105602</t>
  </si>
  <si>
    <t>经关节镜经皮穿刺颈腰椎间盘切除术</t>
  </si>
  <si>
    <t>003315010560000-33150105603</t>
  </si>
  <si>
    <t>小儿经关节镜经皮穿刺颈腰椎间盘切除术</t>
  </si>
  <si>
    <t>003315060090100-33150600901</t>
  </si>
  <si>
    <t>髌骨半脱位外侧切开松解术-髌韧带挛缩松解</t>
  </si>
  <si>
    <t>髌韧带挛缩松解</t>
  </si>
  <si>
    <t>主项不涉及价格调整</t>
  </si>
  <si>
    <t>003315060090000-33150600903</t>
  </si>
  <si>
    <t>小儿髌骨半脱位外侧切开松解术</t>
  </si>
  <si>
    <t>003315060090000-33150600904</t>
  </si>
  <si>
    <t>经关节镜髌骨半脱位外侧切开松解术</t>
  </si>
  <si>
    <t>003315060090000-33150600905</t>
  </si>
  <si>
    <t>小儿经关节镜髌骨半脱位外侧切开松解术</t>
  </si>
  <si>
    <t>003315060100000-331506010</t>
  </si>
  <si>
    <t>髌骨脱位成形术</t>
  </si>
  <si>
    <t>003315060100000-33150601001</t>
  </si>
  <si>
    <t>小儿髌骨脱位成形术</t>
  </si>
  <si>
    <t>003315060100000-33150601002</t>
  </si>
  <si>
    <t>经关节镜髌骨脱位成形术</t>
  </si>
  <si>
    <t>003315060100000-33150601003</t>
  </si>
  <si>
    <t>小儿经关节镜髌骨脱位成形术</t>
  </si>
  <si>
    <t>003315060110000-331506011</t>
  </si>
  <si>
    <t>急性膝关节前后十字韧带破裂修补术</t>
  </si>
  <si>
    <r>
      <rPr>
        <sz val="10"/>
        <rFont val="仿宋"/>
        <charset val="134"/>
      </rPr>
      <t>经膝关节镜市级医院收3140元，县级医院收2820元，基层收</t>
    </r>
    <r>
      <rPr>
        <strike/>
        <sz val="10"/>
        <rFont val="仿宋"/>
        <charset val="134"/>
      </rPr>
      <t>2255</t>
    </r>
    <r>
      <rPr>
        <sz val="10"/>
        <rFont val="仿宋"/>
        <charset val="134"/>
      </rPr>
      <t>2280元</t>
    </r>
  </si>
  <si>
    <t>003315060110001-33150601101</t>
  </si>
  <si>
    <t>经膝关节镜急性膝关节前后十字韧带破裂修补术</t>
  </si>
  <si>
    <t>经膝关节镜</t>
  </si>
  <si>
    <t>003315060110000-33150601102</t>
  </si>
  <si>
    <t>小儿急性膝关节前后十字韧带破裂修补术</t>
  </si>
  <si>
    <t>003315060110001-33150601103</t>
  </si>
  <si>
    <t>小儿经膝关节镜急性膝关节前后十字韧带破裂修补术</t>
  </si>
  <si>
    <t>003315060120000-331506012</t>
  </si>
  <si>
    <t>膝关节陈旧性前十字韧带重建术</t>
  </si>
  <si>
    <r>
      <rPr>
        <sz val="10"/>
        <rFont val="仿宋"/>
        <charset val="134"/>
      </rPr>
      <t>经膝关节镜市级医院收3315元，县级医院收2980元，基层收</t>
    </r>
    <r>
      <rPr>
        <strike/>
        <sz val="10"/>
        <rFont val="仿宋"/>
        <charset val="134"/>
      </rPr>
      <t>2385</t>
    </r>
    <r>
      <rPr>
        <sz val="10"/>
        <rFont val="仿宋"/>
        <charset val="134"/>
      </rPr>
      <t>2410元</t>
    </r>
  </si>
  <si>
    <t>003315060120001-33150601201</t>
  </si>
  <si>
    <t>经膝关节镜膝关节陈旧性前十字韧带重建术</t>
  </si>
  <si>
    <t>003315060120000-33150601202</t>
  </si>
  <si>
    <t>小儿膝关节陈旧性前十字韧带重建术</t>
  </si>
  <si>
    <t>003315060120001-33150601203</t>
  </si>
  <si>
    <t>小儿经膝关节镜膝关节陈旧性前十字韧带重建术</t>
  </si>
  <si>
    <t>003315060130000-331506013</t>
  </si>
  <si>
    <t>膝关节陈旧性后十字韧带重建术</t>
  </si>
  <si>
    <t>003315060130001-33150601301</t>
  </si>
  <si>
    <t>经膝关节镜膝关节陈旧性后十字韧带重建术</t>
  </si>
  <si>
    <t>003315060130000-33150601302</t>
  </si>
  <si>
    <t>小儿膝关节陈旧性后十字韧带重建术</t>
  </si>
  <si>
    <t>003315060130001-33150601303</t>
  </si>
  <si>
    <t>小儿经膝关节镜膝关节陈旧性后十字韧带重建术</t>
  </si>
  <si>
    <t>003315060140000-331506014</t>
  </si>
  <si>
    <t>膝关节陈旧性内外侧副韧带重建术</t>
  </si>
  <si>
    <t>003315060140000-33150601401</t>
  </si>
  <si>
    <t>小儿膝关节陈旧性内外侧副韧带重建术</t>
  </si>
  <si>
    <t>003315060140000-33150601402</t>
  </si>
  <si>
    <t>经关节镜膝关节陈旧性内外侧副韧带重建术</t>
  </si>
  <si>
    <t>003315060140000-33150601403</t>
  </si>
  <si>
    <t>小儿经关节镜膝关节陈旧性内外侧副韧带重建术</t>
  </si>
  <si>
    <t>003315060150000-331506015</t>
  </si>
  <si>
    <t>膝关节单纯游离体摘除术</t>
  </si>
  <si>
    <t>包括踝关节游离体摘除术</t>
  </si>
  <si>
    <t>003315060150000-33150601501</t>
  </si>
  <si>
    <t>小儿膝关节单纯游离体摘除术</t>
  </si>
  <si>
    <t>003315060150001-33150601502</t>
  </si>
  <si>
    <t>踝关节单纯游离体摘除术</t>
  </si>
  <si>
    <t>003315060150001-33150601503</t>
  </si>
  <si>
    <t>小儿踝关节单纯游离体摘除术</t>
  </si>
  <si>
    <t>003315060150001-33150601504</t>
  </si>
  <si>
    <t>经关节镜膝关节单纯游离体摘除术</t>
  </si>
  <si>
    <t>003315060150001-33150601505</t>
  </si>
  <si>
    <t>小儿经关节镜膝关节单纯游离体摘除术</t>
  </si>
  <si>
    <t>003315060150000-33150601506</t>
  </si>
  <si>
    <t>经关节镜踝关节单纯游离体摘除术</t>
  </si>
  <si>
    <t>003315060150000-33150601507</t>
  </si>
  <si>
    <t>小儿经关节镜踝关节单纯游离体摘除术</t>
  </si>
  <si>
    <t>003315060160000-331506016</t>
  </si>
  <si>
    <t>关节滑膜切除术(大)</t>
  </si>
  <si>
    <t>包括膝、肩、髋</t>
  </si>
  <si>
    <t>激光加收10%</t>
  </si>
  <si>
    <t>003315060160002-33150601601</t>
  </si>
  <si>
    <t>关节滑膜切除术(大、激光)</t>
  </si>
  <si>
    <t>激光</t>
  </si>
  <si>
    <t>003315060160000-33150601602</t>
  </si>
  <si>
    <t>小儿关节滑膜切除术(大)</t>
  </si>
  <si>
    <t>003315060160002-33150601603</t>
  </si>
  <si>
    <t>小儿关节滑膜切除术(大、激光)</t>
  </si>
  <si>
    <t>003315060160001-33150601604</t>
  </si>
  <si>
    <t>经关节镜关节滑膜切除术(大)</t>
  </si>
  <si>
    <t>003315060160001-33150601605</t>
  </si>
  <si>
    <t>经关节镜关节滑膜切除术(大、激光)</t>
  </si>
  <si>
    <t>003315060160001-33150601606</t>
  </si>
  <si>
    <t>小儿经关节镜关节滑膜切除术(大)</t>
  </si>
  <si>
    <t>003315060160001-33150601607</t>
  </si>
  <si>
    <t>小儿经关节镜关节滑膜切除术(大、激光)</t>
  </si>
  <si>
    <t>003315060170000-331506017</t>
  </si>
  <si>
    <t>关节滑膜切除术(中)</t>
  </si>
  <si>
    <t>包括肘、腕、踝</t>
  </si>
  <si>
    <t>003315060170002-33150601701</t>
  </si>
  <si>
    <t>关节滑膜切除术(中、激光)</t>
  </si>
  <si>
    <t>003315060170000-33150601702</t>
  </si>
  <si>
    <t>小儿关节滑膜切除术(中)</t>
  </si>
  <si>
    <t>003315060170002-33150601703</t>
  </si>
  <si>
    <t>小儿关节滑膜切除术(中、激光)</t>
  </si>
  <si>
    <t>003315060170001-33150601704</t>
  </si>
  <si>
    <t>经关节镜关节滑膜切除术(中)</t>
  </si>
  <si>
    <t>003315060170001-33150601705</t>
  </si>
  <si>
    <t>经关节镜关节滑膜切除术(中、激光)</t>
  </si>
  <si>
    <t>003315060170001-33150601706</t>
  </si>
  <si>
    <t>小儿经关节镜关节滑膜切除术(中)</t>
  </si>
  <si>
    <t>003315060170001-33150601707</t>
  </si>
  <si>
    <t>小儿经关节镜关节滑膜切除术(中、激光)</t>
  </si>
  <si>
    <t>003315060180000-331506018</t>
  </si>
  <si>
    <t>关节滑膜切除术(小)</t>
  </si>
  <si>
    <t>包括掌指、指间、趾间关节</t>
  </si>
  <si>
    <t>003315060180002-33150601801</t>
  </si>
  <si>
    <t>关节滑膜切除术(小、激光)</t>
  </si>
  <si>
    <t>003315060180000-33150601802</t>
  </si>
  <si>
    <t>小儿关节滑膜切除术(小)</t>
  </si>
  <si>
    <t>003315060180002-33150601803</t>
  </si>
  <si>
    <t>小儿关节滑膜切除术(小、激光)</t>
  </si>
  <si>
    <t>003315060180001-33150601804</t>
  </si>
  <si>
    <t>经关节镜关节滑膜切除术(小)</t>
  </si>
  <si>
    <t>003315060180001-33150601805</t>
  </si>
  <si>
    <t>经关节镜关节滑膜切除术(小、激光)</t>
  </si>
  <si>
    <t>003315060180001-33150601806</t>
  </si>
  <si>
    <t>小儿经关节镜关节滑膜切除术(小)</t>
  </si>
  <si>
    <t>003315060180001-33150601807</t>
  </si>
  <si>
    <t>小儿经关节镜关节滑膜切除术(小、激光)</t>
  </si>
  <si>
    <t>003315060190000-331506019</t>
  </si>
  <si>
    <t>半月板切除术</t>
  </si>
  <si>
    <t>003315060190002-33150601901</t>
  </si>
  <si>
    <t>半月板切除术(激光)</t>
  </si>
  <si>
    <t>003315060190000-33150601902</t>
  </si>
  <si>
    <t>小儿半月板切除术</t>
  </si>
  <si>
    <t>003315060190002-33150601903</t>
  </si>
  <si>
    <t>小儿半月板切除术(激光)</t>
  </si>
  <si>
    <t>003315060190001-33150601904</t>
  </si>
  <si>
    <t>经关节镜半月板切除术</t>
  </si>
  <si>
    <t>003315060190001-33150601905</t>
  </si>
  <si>
    <t>经关节镜半月板切除术(激光)</t>
  </si>
  <si>
    <t>003315060190001-33150601906</t>
  </si>
  <si>
    <t>小儿经关节镜半月板切除术</t>
  </si>
  <si>
    <t>003315060190001-33150601907</t>
  </si>
  <si>
    <t>小儿经关节镜半月板切除术(激光)</t>
  </si>
  <si>
    <t>003315060200000-331506020</t>
  </si>
  <si>
    <t>膝关节清理术</t>
  </si>
  <si>
    <t>包括直视下滑膜切除、软骨下骨修整、游离体摘除、骨质增生清除及踝、肩、肘、髋、足等关节清理术</t>
  </si>
  <si>
    <t>003315060200000-33150602001</t>
  </si>
  <si>
    <t>膝关节清理术(激光)</t>
  </si>
  <si>
    <t>003315060200000-33150602007</t>
  </si>
  <si>
    <t>小儿膝关节清理术</t>
  </si>
  <si>
    <t>003315060200000-33150602008</t>
  </si>
  <si>
    <t>小儿膝关节清理术(激光)</t>
  </si>
  <si>
    <t>003315060200000-33150602009</t>
  </si>
  <si>
    <t>经关节镜膝关节清理术</t>
  </si>
  <si>
    <t>003315060200000-33150602010</t>
  </si>
  <si>
    <t>经关节镜膝关节清理术(激光)</t>
  </si>
  <si>
    <t>003315060200000-33150602011</t>
  </si>
  <si>
    <t>小儿经关节镜膝关节清理术</t>
  </si>
  <si>
    <t>003315060200000-33150602012</t>
  </si>
  <si>
    <t>小儿经关节镜膝关节清理术(激光)</t>
  </si>
  <si>
    <t>003315060220000-331506022</t>
  </si>
  <si>
    <t>腘窝囊肿切除术</t>
  </si>
  <si>
    <t>双侧加收50%</t>
  </si>
  <si>
    <t>003315060220001-33150602201</t>
  </si>
  <si>
    <t>腘窝囊肿切除术(双侧)</t>
  </si>
  <si>
    <t>003315060220000-33150602202</t>
  </si>
  <si>
    <t>小儿腘窝囊肿切除术</t>
  </si>
  <si>
    <t>003315060220001-33150602203</t>
  </si>
  <si>
    <t>小儿腘窝囊肿切除术(双侧)</t>
  </si>
  <si>
    <t>003315060220000-33150602204</t>
  </si>
  <si>
    <t>经关节镜腘窝囊肿切除术</t>
  </si>
  <si>
    <t>003315060220001-33150602205</t>
  </si>
  <si>
    <t>经关节镜腘窝囊肿切除术(双侧)</t>
  </si>
  <si>
    <t>003315060220000-33150602206</t>
  </si>
  <si>
    <t>小儿经关节镜腘窝囊肿切除术</t>
  </si>
  <si>
    <t>003315060220001-33150602207</t>
  </si>
  <si>
    <t>小儿经关节镜腘窝囊肿切除术(双侧)</t>
  </si>
  <si>
    <t>003315060240000-331506024</t>
  </si>
  <si>
    <t>关节骨软骨损伤修复术</t>
  </si>
  <si>
    <t>包括骨软骨移植、骨膜移植、微骨折术</t>
  </si>
  <si>
    <t>003315060240000-33150602404</t>
  </si>
  <si>
    <t>小儿关节骨软骨损伤修复术</t>
  </si>
  <si>
    <t>003315060240000-33150602405</t>
  </si>
  <si>
    <t>经关节镜关节骨软骨损伤修复术</t>
  </si>
  <si>
    <t>003315060240000-33150602406</t>
  </si>
  <si>
    <t>小儿经关节镜关节骨软骨损伤修复术</t>
  </si>
  <si>
    <t>003315220070000-331522007</t>
  </si>
  <si>
    <t>岗上肌腱钙化沉淀物取出术</t>
  </si>
  <si>
    <t>003315220070000-33152200701</t>
  </si>
  <si>
    <t>小儿岗上肌腱钙化沉淀物取出术</t>
  </si>
  <si>
    <t>003315220070000-33152200702</t>
  </si>
  <si>
    <t>经关节镜岗上肌腱钙化沉淀物取出术</t>
  </si>
  <si>
    <t>003315220070000-33152200703</t>
  </si>
  <si>
    <t>小儿经关节镜岗上肌腱钙化沉淀物取出术</t>
  </si>
  <si>
    <t>003315220080000-331522008</t>
  </si>
  <si>
    <t>肩袖破裂修补术</t>
  </si>
  <si>
    <t>包括前盂唇损伤修补术(BANKART)、上盂唇撕裂修复术(SLAP)、盂唇修复术</t>
  </si>
  <si>
    <t>003315220080000-33152200804</t>
  </si>
  <si>
    <t>小儿肩袖破裂修补术</t>
  </si>
  <si>
    <t>003315220080000-33152200805</t>
  </si>
  <si>
    <t>经关节镜肩袖破裂修补术</t>
  </si>
  <si>
    <t>003315220080000-33152200806</t>
  </si>
  <si>
    <t>小儿经关节镜肩袖破裂修补术</t>
  </si>
  <si>
    <t>id</t>
  </si>
  <si>
    <t>code</t>
  </si>
  <si>
    <t>sever_type</t>
  </si>
  <si>
    <t>change_time</t>
  </si>
  <si>
    <t>old_hilist_code</t>
  </si>
  <si>
    <t>new_hilist_code</t>
  </si>
  <si>
    <t>hilist_name</t>
  </si>
  <si>
    <t>selfpay_prop</t>
  </si>
  <si>
    <t>old_price</t>
  </si>
  <si>
    <t>old_price_city</t>
  </si>
  <si>
    <t>old_price_town</t>
  </si>
  <si>
    <t>old_price_village</t>
  </si>
  <si>
    <t>new_price</t>
  </si>
  <si>
    <t>new_price_city</t>
  </si>
  <si>
    <t>new_price_town</t>
  </si>
  <si>
    <t>new_price_village</t>
  </si>
  <si>
    <t>unit</t>
  </si>
  <si>
    <t>batch</t>
  </si>
  <si>
    <t>is_use_old</t>
  </si>
  <si>
    <t>merge_type</t>
  </si>
  <si>
    <t>cnt_change_model</t>
  </si>
  <si>
    <t>cnt_change_value</t>
  </si>
  <si>
    <t>null</t>
  </si>
  <si>
    <t>2025-11-27 00:00:00</t>
  </si>
  <si>
    <t>normal</t>
  </si>
</sst>
</file>

<file path=xl/styles.xml><?xml version="1.0" encoding="utf-8"?>
<styleSheet xmlns="http://schemas.openxmlformats.org/spreadsheetml/2006/main">
  <numFmts count="5">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 numFmtId="176" formatCode="0_);[Red]\(0\)"/>
  </numFmts>
  <fonts count="34">
    <font>
      <sz val="11"/>
      <color theme="1"/>
      <name val="宋体"/>
      <charset val="134"/>
      <scheme val="minor"/>
    </font>
    <font>
      <b/>
      <sz val="10"/>
      <color theme="1"/>
      <name val="Arial Unicode MS"/>
      <charset val="134"/>
    </font>
    <font>
      <sz val="11"/>
      <name val="宋体"/>
      <charset val="134"/>
      <scheme val="minor"/>
    </font>
    <font>
      <b/>
      <sz val="9"/>
      <name val="宋体"/>
      <charset val="134"/>
      <scheme val="minor"/>
    </font>
    <font>
      <sz val="14"/>
      <name val="黑体"/>
      <charset val="134"/>
    </font>
    <font>
      <sz val="18"/>
      <name val="方正小标宋简体"/>
      <charset val="134"/>
    </font>
    <font>
      <b/>
      <sz val="10"/>
      <name val="仿宋"/>
      <charset val="134"/>
    </font>
    <font>
      <sz val="11"/>
      <name val="仿宋"/>
      <charset val="134"/>
    </font>
    <font>
      <sz val="10"/>
      <name val="仿宋"/>
      <charset val="134"/>
    </font>
    <font>
      <sz val="11"/>
      <color rgb="FFFF0000"/>
      <name val="仿宋"/>
      <charset val="134"/>
    </font>
    <font>
      <sz val="10"/>
      <color rgb="FFFF0000"/>
      <name val="仿宋"/>
      <charset val="134"/>
    </font>
    <font>
      <b/>
      <sz val="10"/>
      <name val="宋体"/>
      <charset val="134"/>
    </font>
    <font>
      <sz val="11"/>
      <color rgb="FFFA7D00"/>
      <name val="宋体"/>
      <charset val="0"/>
      <scheme val="minor"/>
    </font>
    <font>
      <sz val="11"/>
      <color theme="1"/>
      <name val="宋体"/>
      <charset val="0"/>
      <scheme val="minor"/>
    </font>
    <font>
      <b/>
      <sz val="11"/>
      <color theme="3"/>
      <name val="宋体"/>
      <charset val="134"/>
      <scheme val="minor"/>
    </font>
    <font>
      <sz val="11"/>
      <color theme="0"/>
      <name val="宋体"/>
      <charset val="0"/>
      <scheme val="minor"/>
    </font>
    <font>
      <sz val="11"/>
      <color rgb="FFFF0000"/>
      <name val="宋体"/>
      <charset val="0"/>
      <scheme val="minor"/>
    </font>
    <font>
      <b/>
      <sz val="18"/>
      <color theme="3"/>
      <name val="宋体"/>
      <charset val="134"/>
      <scheme val="minor"/>
    </font>
    <font>
      <u/>
      <sz val="11"/>
      <color rgb="FF800080"/>
      <name val="宋体"/>
      <charset val="0"/>
      <scheme val="minor"/>
    </font>
    <font>
      <sz val="10"/>
      <name val="Arial"/>
      <charset val="134"/>
    </font>
    <font>
      <b/>
      <sz val="13"/>
      <color theme="3"/>
      <name val="宋体"/>
      <charset val="134"/>
      <scheme val="minor"/>
    </font>
    <font>
      <b/>
      <sz val="11"/>
      <color rgb="FFFA7D00"/>
      <name val="宋体"/>
      <charset val="0"/>
      <scheme val="minor"/>
    </font>
    <font>
      <b/>
      <sz val="11"/>
      <color theme="1"/>
      <name val="宋体"/>
      <charset val="0"/>
      <scheme val="minor"/>
    </font>
    <font>
      <b/>
      <sz val="11"/>
      <color rgb="FFFFFFFF"/>
      <name val="宋体"/>
      <charset val="0"/>
      <scheme val="minor"/>
    </font>
    <font>
      <i/>
      <sz val="11"/>
      <color rgb="FF7F7F7F"/>
      <name val="宋体"/>
      <charset val="0"/>
      <scheme val="minor"/>
    </font>
    <font>
      <b/>
      <sz val="15"/>
      <color theme="3"/>
      <name val="宋体"/>
      <charset val="134"/>
      <scheme val="minor"/>
    </font>
    <font>
      <sz val="11"/>
      <color rgb="FF006100"/>
      <name val="宋体"/>
      <charset val="0"/>
      <scheme val="minor"/>
    </font>
    <font>
      <b/>
      <sz val="11"/>
      <color rgb="FF3F3F3F"/>
      <name val="宋体"/>
      <charset val="0"/>
      <scheme val="minor"/>
    </font>
    <font>
      <sz val="11"/>
      <color rgb="FF9C0006"/>
      <name val="宋体"/>
      <charset val="0"/>
      <scheme val="minor"/>
    </font>
    <font>
      <sz val="11"/>
      <color rgb="FF9C6500"/>
      <name val="宋体"/>
      <charset val="0"/>
      <scheme val="minor"/>
    </font>
    <font>
      <sz val="11"/>
      <color rgb="FF3F3F76"/>
      <name val="宋体"/>
      <charset val="0"/>
      <scheme val="minor"/>
    </font>
    <font>
      <u/>
      <sz val="11"/>
      <color rgb="FF0000FF"/>
      <name val="宋体"/>
      <charset val="0"/>
      <scheme val="minor"/>
    </font>
    <font>
      <sz val="12"/>
      <name val="宋体"/>
      <charset val="134"/>
    </font>
    <font>
      <strike/>
      <sz val="10"/>
      <name val="仿宋"/>
      <charset val="134"/>
    </font>
  </fonts>
  <fills count="35">
    <fill>
      <patternFill patternType="none"/>
    </fill>
    <fill>
      <patternFill patternType="gray125"/>
    </fill>
    <fill>
      <patternFill patternType="solid">
        <fgColor theme="5" tint="0.8"/>
        <bgColor indexed="64"/>
      </patternFill>
    </fill>
    <fill>
      <patternFill patternType="solid">
        <fgColor theme="7" tint="0.8"/>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rgb="FFFFFFCC"/>
        <bgColor indexed="64"/>
      </patternFill>
    </fill>
    <fill>
      <patternFill patternType="solid">
        <fgColor theme="7" tint="0.599993896298105"/>
        <bgColor indexed="64"/>
      </patternFill>
    </fill>
    <fill>
      <patternFill patternType="solid">
        <fgColor rgb="FFF2F2F2"/>
        <bgColor indexed="64"/>
      </patternFill>
    </fill>
    <fill>
      <patternFill patternType="solid">
        <fgColor rgb="FFA5A5A5"/>
        <bgColor indexed="64"/>
      </patternFill>
    </fill>
    <fill>
      <patternFill patternType="solid">
        <fgColor theme="7" tint="0.399975585192419"/>
        <bgColor indexed="64"/>
      </patternFill>
    </fill>
    <fill>
      <patternFill patternType="solid">
        <fgColor rgb="FFC6EFCE"/>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theme="9"/>
        <bgColor indexed="64"/>
      </patternFill>
    </fill>
    <fill>
      <patternFill patternType="solid">
        <fgColor rgb="FFFFC7CE"/>
        <bgColor indexed="64"/>
      </patternFill>
    </fill>
    <fill>
      <patternFill patternType="solid">
        <fgColor theme="5"/>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6"/>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8"/>
        <bgColor indexed="64"/>
      </patternFill>
    </fill>
    <fill>
      <patternFill patternType="solid">
        <fgColor rgb="FFFFEB9C"/>
        <bgColor indexed="64"/>
      </patternFill>
    </fill>
    <fill>
      <patternFill patternType="solid">
        <fgColor theme="4"/>
        <bgColor indexed="64"/>
      </patternFill>
    </fill>
    <fill>
      <patternFill patternType="solid">
        <fgColor theme="8" tint="0.799981688894314"/>
        <bgColor indexed="64"/>
      </patternFill>
    </fill>
    <fill>
      <patternFill patternType="solid">
        <fgColor theme="7"/>
        <bgColor indexed="64"/>
      </patternFill>
    </fill>
    <fill>
      <patternFill patternType="solid">
        <fgColor theme="7" tint="0.799981688894314"/>
        <bgColor indexed="64"/>
      </patternFill>
    </fill>
    <fill>
      <patternFill patternType="solid">
        <fgColor rgb="FFFFCC99"/>
        <bgColor indexed="64"/>
      </patternFill>
    </fill>
    <fill>
      <patternFill patternType="solid">
        <fgColor theme="5" tint="0.399975585192419"/>
        <bgColor indexed="64"/>
      </patternFill>
    </fill>
    <fill>
      <patternFill patternType="solid">
        <fgColor theme="5"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s>
  <cellStyleXfs count="52">
    <xf numFmtId="0" fontId="0" fillId="0" borderId="0">
      <alignment vertical="center"/>
    </xf>
    <xf numFmtId="0" fontId="32" fillId="0" borderId="0" applyProtection="0">
      <alignment vertical="center"/>
    </xf>
    <xf numFmtId="0" fontId="15" fillId="15" borderId="0" applyNumberFormat="0" applyBorder="0" applyAlignment="0" applyProtection="0">
      <alignment vertical="center"/>
    </xf>
    <xf numFmtId="0" fontId="13" fillId="31" borderId="0" applyNumberFormat="0" applyBorder="0" applyAlignment="0" applyProtection="0">
      <alignment vertical="center"/>
    </xf>
    <xf numFmtId="0" fontId="15" fillId="30" borderId="0" applyNumberFormat="0" applyBorder="0" applyAlignment="0" applyProtection="0">
      <alignment vertical="center"/>
    </xf>
    <xf numFmtId="0" fontId="30" fillId="32" borderId="6" applyNumberFormat="0" applyAlignment="0" applyProtection="0">
      <alignment vertical="center"/>
    </xf>
    <xf numFmtId="0" fontId="13" fillId="25" borderId="0" applyNumberFormat="0" applyBorder="0" applyAlignment="0" applyProtection="0">
      <alignment vertical="center"/>
    </xf>
    <xf numFmtId="0" fontId="13" fillId="21" borderId="0" applyNumberFormat="0" applyBorder="0" applyAlignment="0" applyProtection="0">
      <alignment vertical="center"/>
    </xf>
    <xf numFmtId="44" fontId="0" fillId="0" borderId="0" applyFont="0" applyFill="0" applyBorder="0" applyAlignment="0" applyProtection="0">
      <alignment vertical="center"/>
    </xf>
    <xf numFmtId="0" fontId="15" fillId="23" borderId="0" applyNumberFormat="0" applyBorder="0" applyAlignment="0" applyProtection="0">
      <alignment vertical="center"/>
    </xf>
    <xf numFmtId="9" fontId="0" fillId="0" borderId="0" applyFont="0" applyFill="0" applyBorder="0" applyAlignment="0" applyProtection="0">
      <alignment vertical="center"/>
    </xf>
    <xf numFmtId="0" fontId="15" fillId="33" borderId="0" applyNumberFormat="0" applyBorder="0" applyAlignment="0" applyProtection="0">
      <alignment vertical="center"/>
    </xf>
    <xf numFmtId="0" fontId="15" fillId="22" borderId="0" applyNumberFormat="0" applyBorder="0" applyAlignment="0" applyProtection="0">
      <alignment vertical="center"/>
    </xf>
    <xf numFmtId="0" fontId="15" fillId="20" borderId="0" applyNumberFormat="0" applyBorder="0" applyAlignment="0" applyProtection="0">
      <alignment vertical="center"/>
    </xf>
    <xf numFmtId="0" fontId="15" fillId="16" borderId="0" applyNumberFormat="0" applyBorder="0" applyAlignment="0" applyProtection="0">
      <alignment vertical="center"/>
    </xf>
    <xf numFmtId="0" fontId="15" fillId="12" borderId="0" applyNumberFormat="0" applyBorder="0" applyAlignment="0" applyProtection="0">
      <alignment vertical="center"/>
    </xf>
    <xf numFmtId="0" fontId="21" fillId="10" borderId="6" applyNumberFormat="0" applyAlignment="0" applyProtection="0">
      <alignment vertical="center"/>
    </xf>
    <xf numFmtId="0" fontId="15" fillId="28" borderId="0" applyNumberFormat="0" applyBorder="0" applyAlignment="0" applyProtection="0">
      <alignment vertical="center"/>
    </xf>
    <xf numFmtId="0" fontId="29" fillId="27" borderId="0" applyNumberFormat="0" applyBorder="0" applyAlignment="0" applyProtection="0">
      <alignment vertical="center"/>
    </xf>
    <xf numFmtId="0" fontId="13" fillId="29" borderId="0" applyNumberFormat="0" applyBorder="0" applyAlignment="0" applyProtection="0">
      <alignment vertical="center"/>
    </xf>
    <xf numFmtId="0" fontId="19" fillId="0" borderId="0"/>
    <xf numFmtId="0" fontId="26" fillId="13" borderId="0" applyNumberFormat="0" applyBorder="0" applyAlignment="0" applyProtection="0">
      <alignment vertical="center"/>
    </xf>
    <xf numFmtId="0" fontId="13" fillId="14" borderId="0" applyNumberFormat="0" applyBorder="0" applyAlignment="0" applyProtection="0">
      <alignment vertical="center"/>
    </xf>
    <xf numFmtId="0" fontId="22" fillId="0" borderId="7" applyNumberFormat="0" applyFill="0" applyAlignment="0" applyProtection="0">
      <alignment vertical="center"/>
    </xf>
    <xf numFmtId="0" fontId="28" fillId="19" borderId="0" applyNumberFormat="0" applyBorder="0" applyAlignment="0" applyProtection="0">
      <alignment vertical="center"/>
    </xf>
    <xf numFmtId="0" fontId="23" fillId="11" borderId="8" applyNumberFormat="0" applyAlignment="0" applyProtection="0">
      <alignment vertical="center"/>
    </xf>
    <xf numFmtId="0" fontId="27" fillId="10" borderId="9" applyNumberFormat="0" applyAlignment="0" applyProtection="0">
      <alignment vertical="center"/>
    </xf>
    <xf numFmtId="0" fontId="25" fillId="0" borderId="5" applyNumberFormat="0" applyFill="0" applyAlignment="0" applyProtection="0">
      <alignment vertical="center"/>
    </xf>
    <xf numFmtId="0" fontId="24" fillId="0" borderId="0" applyNumberFormat="0" applyFill="0" applyBorder="0" applyAlignment="0" applyProtection="0">
      <alignment vertical="center"/>
    </xf>
    <xf numFmtId="0" fontId="13" fillId="34" borderId="0" applyNumberFormat="0" applyBorder="0" applyAlignment="0" applyProtection="0">
      <alignment vertical="center"/>
    </xf>
    <xf numFmtId="0" fontId="14" fillId="0" borderId="0" applyNumberFormat="0" applyFill="0" applyBorder="0" applyAlignment="0" applyProtection="0">
      <alignment vertical="center"/>
    </xf>
    <xf numFmtId="0" fontId="19" fillId="0" borderId="0"/>
    <xf numFmtId="42" fontId="0" fillId="0" borderId="0" applyFont="0" applyFill="0" applyBorder="0" applyAlignment="0" applyProtection="0">
      <alignment vertical="center"/>
    </xf>
    <xf numFmtId="0" fontId="13" fillId="9" borderId="0" applyNumberFormat="0" applyBorder="0" applyAlignment="0" applyProtection="0">
      <alignment vertical="center"/>
    </xf>
    <xf numFmtId="43"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3" fillId="24" borderId="0" applyNumberFormat="0" applyBorder="0" applyAlignment="0" applyProtection="0">
      <alignment vertical="center"/>
    </xf>
    <xf numFmtId="0" fontId="16" fillId="0" borderId="0" applyNumberFormat="0" applyFill="0" applyBorder="0" applyAlignment="0" applyProtection="0">
      <alignment vertical="center"/>
    </xf>
    <xf numFmtId="0" fontId="15" fillId="7" borderId="0" applyNumberFormat="0" applyBorder="0" applyAlignment="0" applyProtection="0">
      <alignment vertical="center"/>
    </xf>
    <xf numFmtId="0" fontId="0" fillId="8" borderId="4" applyNumberFormat="0" applyFont="0" applyAlignment="0" applyProtection="0">
      <alignment vertical="center"/>
    </xf>
    <xf numFmtId="0" fontId="13" fillId="17" borderId="0" applyNumberFormat="0" applyBorder="0" applyAlignment="0" applyProtection="0">
      <alignment vertical="center"/>
    </xf>
    <xf numFmtId="0" fontId="15" fillId="26" borderId="0" applyNumberFormat="0" applyBorder="0" applyAlignment="0" applyProtection="0">
      <alignment vertical="center"/>
    </xf>
    <xf numFmtId="0" fontId="13" fillId="6" borderId="0" applyNumberFormat="0" applyBorder="0" applyAlignment="0" applyProtection="0">
      <alignment vertical="center"/>
    </xf>
    <xf numFmtId="0" fontId="31" fillId="0" borderId="0" applyNumberFormat="0" applyFill="0" applyBorder="0" applyAlignment="0" applyProtection="0">
      <alignment vertical="center"/>
    </xf>
    <xf numFmtId="41" fontId="0" fillId="0" borderId="0" applyFont="0" applyFill="0" applyBorder="0" applyAlignment="0" applyProtection="0">
      <alignment vertical="center"/>
    </xf>
    <xf numFmtId="0" fontId="20" fillId="0" borderId="5" applyNumberFormat="0" applyFill="0" applyAlignment="0" applyProtection="0">
      <alignment vertical="center"/>
    </xf>
    <xf numFmtId="0" fontId="13" fillId="5" borderId="0" applyNumberFormat="0" applyBorder="0" applyAlignment="0" applyProtection="0">
      <alignment vertical="center"/>
    </xf>
    <xf numFmtId="0" fontId="14" fillId="0" borderId="3" applyNumberFormat="0" applyFill="0" applyAlignment="0" applyProtection="0">
      <alignment vertical="center"/>
    </xf>
    <xf numFmtId="0" fontId="15" fillId="18" borderId="0" applyNumberFormat="0" applyBorder="0" applyAlignment="0" applyProtection="0">
      <alignment vertical="center"/>
    </xf>
    <xf numFmtId="0" fontId="13" fillId="4" borderId="0" applyNumberFormat="0" applyBorder="0" applyAlignment="0" applyProtection="0">
      <alignment vertical="center"/>
    </xf>
    <xf numFmtId="0" fontId="12" fillId="0" borderId="2" applyNumberFormat="0" applyFill="0" applyAlignment="0" applyProtection="0">
      <alignment vertical="center"/>
    </xf>
  </cellStyleXfs>
  <cellXfs count="48">
    <xf numFmtId="0" fontId="0" fillId="0" borderId="0" xfId="0">
      <alignment vertical="center"/>
    </xf>
    <xf numFmtId="0" fontId="1" fillId="0" borderId="0" xfId="0" applyFont="1" applyFill="1" applyBorder="1" applyAlignment="1">
      <alignment horizontal="center" vertical="center" wrapText="1"/>
    </xf>
    <xf numFmtId="49" fontId="1" fillId="0" borderId="0" xfId="0" applyNumberFormat="1" applyFont="1" applyFill="1" applyBorder="1" applyAlignment="1">
      <alignment horizontal="center" vertical="center" wrapText="1"/>
    </xf>
    <xf numFmtId="0" fontId="0" fillId="0" borderId="0" xfId="0" applyFill="1" applyBorder="1" applyAlignment="1">
      <alignment vertical="center"/>
    </xf>
    <xf numFmtId="49" fontId="0" fillId="0" borderId="0" xfId="0" applyNumberFormat="1" applyFill="1" applyBorder="1" applyAlignment="1">
      <alignment vertical="center"/>
    </xf>
    <xf numFmtId="0" fontId="2" fillId="0" borderId="0" xfId="0" applyFont="1" applyFill="1">
      <alignment vertical="center"/>
    </xf>
    <xf numFmtId="0" fontId="3" fillId="0" borderId="0" xfId="0" applyFont="1" applyFill="1" applyAlignment="1">
      <alignment vertical="center" wrapText="1"/>
    </xf>
    <xf numFmtId="0" fontId="2" fillId="0" borderId="0" xfId="0" applyFont="1" applyFill="1" applyAlignment="1">
      <alignment vertical="center" wrapText="1"/>
    </xf>
    <xf numFmtId="0" fontId="2" fillId="0" borderId="0" xfId="0" applyFont="1" applyFill="1" applyAlignment="1">
      <alignment vertical="center"/>
    </xf>
    <xf numFmtId="0" fontId="2" fillId="0" borderId="0" xfId="0" applyFont="1" applyFill="1" applyAlignment="1">
      <alignment horizontal="left" vertical="center"/>
    </xf>
    <xf numFmtId="10" fontId="2" fillId="0" borderId="0" xfId="0" applyNumberFormat="1" applyFont="1" applyFill="1">
      <alignment vertical="center"/>
    </xf>
    <xf numFmtId="0" fontId="2" fillId="0" borderId="0" xfId="0" applyFont="1" applyFill="1" applyAlignment="1">
      <alignment horizontal="center" vertical="center" wrapText="1"/>
    </xf>
    <xf numFmtId="0" fontId="4" fillId="0" borderId="0" xfId="0" applyFont="1" applyFill="1">
      <alignment vertical="center"/>
    </xf>
    <xf numFmtId="0" fontId="5" fillId="0" borderId="0" xfId="0" applyFont="1" applyFill="1" applyAlignment="1">
      <alignment horizontal="center" vertical="center" wrapText="1"/>
    </xf>
    <xf numFmtId="0" fontId="6" fillId="0" borderId="1" xfId="0" applyFont="1" applyFill="1" applyBorder="1" applyAlignment="1">
      <alignment horizontal="center" vertical="center" wrapText="1"/>
    </xf>
    <xf numFmtId="49" fontId="6" fillId="0" borderId="1" xfId="31" applyNumberFormat="1" applyFont="1" applyFill="1" applyBorder="1" applyAlignment="1">
      <alignment horizontal="center" vertical="center" wrapText="1"/>
    </xf>
    <xf numFmtId="0" fontId="6" fillId="0" borderId="1" xfId="31" applyFont="1" applyFill="1" applyBorder="1" applyAlignment="1">
      <alignment horizontal="center" vertical="center" wrapText="1"/>
    </xf>
    <xf numFmtId="0" fontId="7" fillId="0" borderId="1" xfId="0" applyFont="1" applyFill="1" applyBorder="1" applyAlignment="1">
      <alignment horizontal="center" vertical="center"/>
    </xf>
    <xf numFmtId="49" fontId="8" fillId="0" borderId="1" xfId="31" applyNumberFormat="1" applyFont="1" applyFill="1" applyBorder="1" applyAlignment="1">
      <alignment horizontal="center" vertical="center" wrapText="1"/>
    </xf>
    <xf numFmtId="0" fontId="8" fillId="0" borderId="1" xfId="31" applyNumberFormat="1" applyFont="1" applyFill="1" applyBorder="1" applyAlignment="1">
      <alignment horizontal="center" vertical="center" wrapText="1"/>
    </xf>
    <xf numFmtId="0" fontId="8" fillId="0" borderId="1" xfId="31" applyFont="1" applyFill="1" applyBorder="1" applyAlignment="1">
      <alignment horizontal="center" vertical="center" wrapText="1"/>
    </xf>
    <xf numFmtId="0" fontId="8"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wrapText="1"/>
    </xf>
    <xf numFmtId="0" fontId="9" fillId="0" borderId="1" xfId="0" applyFont="1" applyFill="1" applyBorder="1" applyAlignment="1">
      <alignment horizontal="center" vertical="center"/>
    </xf>
    <xf numFmtId="0" fontId="10" fillId="0" borderId="1" xfId="31" applyNumberFormat="1" applyFont="1" applyFill="1" applyBorder="1" applyAlignment="1">
      <alignment horizontal="center" vertical="center" wrapText="1"/>
    </xf>
    <xf numFmtId="0" fontId="10" fillId="0" borderId="1" xfId="31" applyFont="1" applyFill="1" applyBorder="1" applyAlignment="1">
      <alignment horizontal="center" vertical="center" wrapText="1"/>
    </xf>
    <xf numFmtId="0" fontId="11" fillId="0" borderId="1" xfId="31" applyFont="1" applyFill="1" applyBorder="1" applyAlignment="1">
      <alignment horizontal="center" vertical="center" wrapText="1"/>
    </xf>
    <xf numFmtId="0" fontId="8" fillId="0" borderId="1" xfId="31" applyFont="1" applyFill="1" applyBorder="1" applyAlignment="1">
      <alignment horizontal="left" vertical="center" wrapText="1"/>
    </xf>
    <xf numFmtId="0" fontId="10" fillId="0" borderId="1" xfId="31" applyFont="1" applyFill="1" applyBorder="1" applyAlignment="1">
      <alignment horizontal="left" vertical="center" wrapText="1"/>
    </xf>
    <xf numFmtId="0" fontId="6" fillId="2" borderId="1" xfId="31" applyFont="1" applyFill="1" applyBorder="1" applyAlignment="1">
      <alignment horizontal="center" vertical="center" wrapText="1"/>
    </xf>
    <xf numFmtId="0" fontId="8" fillId="2" borderId="1" xfId="31" applyFont="1" applyFill="1" applyBorder="1" applyAlignment="1">
      <alignment horizontal="center" vertical="center" wrapText="1"/>
    </xf>
    <xf numFmtId="0" fontId="10" fillId="2" borderId="1" xfId="31" applyFont="1" applyFill="1" applyBorder="1" applyAlignment="1">
      <alignment horizontal="center" vertical="center" wrapText="1"/>
    </xf>
    <xf numFmtId="176" fontId="8" fillId="0" borderId="1" xfId="31" applyNumberFormat="1" applyFont="1" applyFill="1" applyBorder="1" applyAlignment="1">
      <alignment horizontal="center" vertical="center" wrapText="1"/>
    </xf>
    <xf numFmtId="176" fontId="8" fillId="2" borderId="1" xfId="31" applyNumberFormat="1" applyFont="1" applyFill="1" applyBorder="1" applyAlignment="1">
      <alignment horizontal="center" vertical="center" wrapText="1"/>
    </xf>
    <xf numFmtId="0" fontId="6" fillId="3" borderId="1" xfId="31" applyFont="1" applyFill="1" applyBorder="1" applyAlignment="1">
      <alignment horizontal="center" vertical="center" wrapText="1"/>
    </xf>
    <xf numFmtId="0" fontId="8" fillId="3" borderId="1" xfId="31" applyFont="1" applyFill="1" applyBorder="1" applyAlignment="1">
      <alignment horizontal="center" vertical="center" wrapText="1"/>
    </xf>
    <xf numFmtId="0" fontId="10" fillId="3" borderId="1" xfId="31" applyFont="1" applyFill="1" applyBorder="1" applyAlignment="1">
      <alignment horizontal="center" vertical="center" wrapText="1"/>
    </xf>
    <xf numFmtId="10" fontId="6"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xf>
    <xf numFmtId="10" fontId="8" fillId="0" borderId="1" xfId="0" applyNumberFormat="1" applyFont="1" applyFill="1" applyBorder="1" applyAlignment="1">
      <alignment horizontal="center" vertical="center"/>
    </xf>
    <xf numFmtId="0" fontId="10" fillId="0" borderId="1" xfId="0" applyFont="1" applyFill="1" applyBorder="1" applyAlignment="1">
      <alignment horizontal="center" vertical="center"/>
    </xf>
    <xf numFmtId="10" fontId="10" fillId="0" borderId="1" xfId="0" applyNumberFormat="1" applyFont="1" applyFill="1" applyBorder="1" applyAlignment="1">
      <alignment horizontal="center" vertical="center"/>
    </xf>
    <xf numFmtId="0" fontId="10" fillId="0" borderId="1" xfId="0" applyFont="1" applyFill="1" applyBorder="1" applyAlignment="1">
      <alignment horizontal="center" vertical="center" wrapText="1"/>
    </xf>
    <xf numFmtId="49" fontId="10" fillId="0" borderId="1" xfId="31" applyNumberFormat="1" applyFont="1" applyFill="1" applyBorder="1" applyAlignment="1">
      <alignment horizontal="center" vertical="center" wrapText="1"/>
    </xf>
    <xf numFmtId="0" fontId="8" fillId="0" borderId="1" xfId="20" applyFont="1" applyFill="1" applyBorder="1" applyAlignment="1">
      <alignment horizontal="center" vertical="center" wrapText="1"/>
    </xf>
    <xf numFmtId="0" fontId="8" fillId="2" borderId="1" xfId="0" applyFont="1" applyFill="1" applyBorder="1" applyAlignment="1">
      <alignment horizontal="center" vertical="center"/>
    </xf>
    <xf numFmtId="0" fontId="8" fillId="3" borderId="1" xfId="0" applyFont="1" applyFill="1" applyBorder="1" applyAlignment="1">
      <alignment horizontal="center" vertical="center"/>
    </xf>
    <xf numFmtId="0" fontId="8" fillId="0" borderId="1" xfId="1" applyFont="1" applyFill="1" applyBorder="1" applyAlignment="1">
      <alignment horizontal="center" vertical="center" wrapText="1"/>
    </xf>
  </cellXfs>
  <cellStyles count="52">
    <cellStyle name="常规" xfId="0" builtinId="0"/>
    <cellStyle name="常规 5 2" xfId="1"/>
    <cellStyle name="60% - 强调文字颜色 6" xfId="2" builtinId="52"/>
    <cellStyle name="20% - 强调文字颜色 4" xfId="3" builtinId="42"/>
    <cellStyle name="强调文字颜色 4" xfId="4" builtinId="41"/>
    <cellStyle name="输入" xfId="5" builtinId="20"/>
    <cellStyle name="40% - 强调文字颜色 3" xfId="6" builtinId="39"/>
    <cellStyle name="20% - 强调文字颜色 3" xfId="7" builtinId="38"/>
    <cellStyle name="货币" xfId="8" builtinId="4"/>
    <cellStyle name="强调文字颜色 3" xfId="9" builtinId="37"/>
    <cellStyle name="百分比" xfId="10" builtinId="5"/>
    <cellStyle name="60% - 强调文字颜色 2" xfId="11" builtinId="36"/>
    <cellStyle name="60% - 强调文字颜色 5" xfId="12" builtinId="48"/>
    <cellStyle name="强调文字颜色 2" xfId="13" builtinId="33"/>
    <cellStyle name="60% - 强调文字颜色 1" xfId="14" builtinId="32"/>
    <cellStyle name="60% - 强调文字颜色 4" xfId="15" builtinId="44"/>
    <cellStyle name="计算" xfId="16" builtinId="22"/>
    <cellStyle name="强调文字颜色 1" xfId="17" builtinId="29"/>
    <cellStyle name="适中" xfId="18" builtinId="28"/>
    <cellStyle name="20% - 强调文字颜色 5" xfId="19" builtinId="46"/>
    <cellStyle name="常规 18" xfId="20"/>
    <cellStyle name="好" xfId="21" builtinId="26"/>
    <cellStyle name="20% - 强调文字颜色 1" xfId="22" builtinId="30"/>
    <cellStyle name="汇总" xfId="23" builtinId="25"/>
    <cellStyle name="差" xfId="24" builtinId="27"/>
    <cellStyle name="检查单元格" xfId="25" builtinId="23"/>
    <cellStyle name="输出" xfId="26" builtinId="21"/>
    <cellStyle name="标题 1" xfId="27" builtinId="16"/>
    <cellStyle name="解释性文本" xfId="28" builtinId="53"/>
    <cellStyle name="20% - 强调文字颜色 2" xfId="29" builtinId="34"/>
    <cellStyle name="标题 4" xfId="30" builtinId="19"/>
    <cellStyle name="常规 10" xfId="31"/>
    <cellStyle name="货币[0]" xfId="32" builtinId="7"/>
    <cellStyle name="40% - 强调文字颜色 4" xfId="33" builtinId="43"/>
    <cellStyle name="千位分隔" xfId="34" builtinId="3"/>
    <cellStyle name="已访问的超链接" xfId="35" builtinId="9"/>
    <cellStyle name="标题" xfId="36" builtinId="15"/>
    <cellStyle name="40% - 强调文字颜色 2" xfId="37" builtinId="35"/>
    <cellStyle name="警告文本" xfId="38" builtinId="11"/>
    <cellStyle name="60% - 强调文字颜色 3" xfId="39" builtinId="40"/>
    <cellStyle name="注释" xfId="40" builtinId="10"/>
    <cellStyle name="20% - 强调文字颜色 6" xfId="41" builtinId="50"/>
    <cellStyle name="强调文字颜色 5" xfId="42" builtinId="45"/>
    <cellStyle name="40% - 强调文字颜色 6" xfId="43" builtinId="51"/>
    <cellStyle name="超链接" xfId="44" builtinId="8"/>
    <cellStyle name="千位分隔[0]" xfId="45" builtinId="6"/>
    <cellStyle name="标题 2" xfId="46" builtinId="17"/>
    <cellStyle name="40% - 强调文字颜色 5" xfId="47" builtinId="47"/>
    <cellStyle name="标题 3" xfId="48" builtinId="18"/>
    <cellStyle name="强调文字颜色 6" xfId="49" builtinId="49"/>
    <cellStyle name="40% - 强调文字颜色 1" xfId="50" builtinId="31"/>
    <cellStyle name="链接单元格" xfId="51" builtinId="24"/>
  </cellStyles>
  <tableStyles count="0" defaultTableStyle="TableStyleMedium2" defaultPivotStyle="PivotStyleLight16"/>
  <colors>
    <mruColors>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U150"/>
  <sheetViews>
    <sheetView topLeftCell="D1" workbookViewId="0">
      <pane ySplit="3" topLeftCell="A91" activePane="bottomLeft" state="frozen"/>
      <selection/>
      <selection pane="bottomLeft" activeCell="D94" sqref="D94"/>
    </sheetView>
  </sheetViews>
  <sheetFormatPr defaultColWidth="9" defaultRowHeight="14.25"/>
  <cols>
    <col min="1" max="1" width="5.125" style="5" customWidth="1"/>
    <col min="2" max="2" width="22.25" style="7" customWidth="1"/>
    <col min="3" max="3" width="12.5" style="8" customWidth="1"/>
    <col min="4" max="4" width="45.875" style="8" customWidth="1"/>
    <col min="5" max="5" width="22.125" style="9" customWidth="1"/>
    <col min="6" max="6" width="9.625" style="9" customWidth="1"/>
    <col min="7" max="7" width="23" style="9" customWidth="1"/>
    <col min="8" max="8" width="5.75" style="7" customWidth="1"/>
    <col min="9" max="16" width="9.25" style="8" customWidth="1"/>
    <col min="17" max="17" width="9" style="5"/>
    <col min="18" max="18" width="9.875" style="10" customWidth="1"/>
    <col min="19" max="19" width="8" style="5" customWidth="1"/>
    <col min="20" max="20" width="9.875" style="10" customWidth="1"/>
    <col min="21" max="21" width="13.875" style="11" customWidth="1"/>
    <col min="22" max="16384" width="9" style="5"/>
  </cols>
  <sheetData>
    <row r="1" ht="18" spans="1:1">
      <c r="A1" s="12" t="s">
        <v>0</v>
      </c>
    </row>
    <row r="2" ht="39" customHeight="1" spans="1:20">
      <c r="A2" s="13" t="s">
        <v>1</v>
      </c>
      <c r="B2" s="13"/>
      <c r="C2" s="13"/>
      <c r="D2" s="13"/>
      <c r="E2" s="13"/>
      <c r="F2" s="13"/>
      <c r="G2" s="13"/>
      <c r="H2" s="13"/>
      <c r="I2" s="13"/>
      <c r="J2" s="13"/>
      <c r="K2" s="13"/>
      <c r="L2" s="13"/>
      <c r="M2" s="13"/>
      <c r="N2" s="13"/>
      <c r="O2" s="13"/>
      <c r="P2" s="13"/>
      <c r="Q2" s="13"/>
      <c r="R2" s="13"/>
      <c r="S2" s="13"/>
      <c r="T2" s="13"/>
    </row>
    <row r="3" s="6" customFormat="1" ht="30" customHeight="1" spans="1:21">
      <c r="A3" s="14" t="s">
        <v>2</v>
      </c>
      <c r="B3" s="15" t="s">
        <v>3</v>
      </c>
      <c r="C3" s="15" t="s">
        <v>4</v>
      </c>
      <c r="D3" s="16" t="s">
        <v>5</v>
      </c>
      <c r="E3" s="16" t="s">
        <v>6</v>
      </c>
      <c r="F3" s="16" t="s">
        <v>7</v>
      </c>
      <c r="G3" s="16" t="s">
        <v>8</v>
      </c>
      <c r="H3" s="16" t="s">
        <v>9</v>
      </c>
      <c r="I3" s="16" t="s">
        <v>10</v>
      </c>
      <c r="J3" s="16" t="s">
        <v>11</v>
      </c>
      <c r="K3" s="16" t="s">
        <v>12</v>
      </c>
      <c r="L3" s="29" t="s">
        <v>13</v>
      </c>
      <c r="M3" s="29" t="s">
        <v>14</v>
      </c>
      <c r="N3" s="34" t="s">
        <v>15</v>
      </c>
      <c r="O3" s="34" t="s">
        <v>16</v>
      </c>
      <c r="P3" s="34" t="s">
        <v>17</v>
      </c>
      <c r="Q3" s="14" t="s">
        <v>18</v>
      </c>
      <c r="R3" s="37" t="s">
        <v>19</v>
      </c>
      <c r="S3" s="14" t="s">
        <v>20</v>
      </c>
      <c r="T3" s="37" t="s">
        <v>21</v>
      </c>
      <c r="U3" s="14" t="s">
        <v>22</v>
      </c>
    </row>
    <row r="4" ht="25" customHeight="1" spans="1:21">
      <c r="A4" s="23">
        <v>1</v>
      </c>
      <c r="B4" s="43" t="s">
        <v>23</v>
      </c>
      <c r="C4" s="24">
        <v>121100001</v>
      </c>
      <c r="D4" s="25" t="s">
        <v>24</v>
      </c>
      <c r="E4" s="27" t="s">
        <v>25</v>
      </c>
      <c r="F4" s="27" t="s">
        <v>26</v>
      </c>
      <c r="G4" s="27" t="s">
        <v>26</v>
      </c>
      <c r="H4" s="44" t="s">
        <v>27</v>
      </c>
      <c r="I4" s="20">
        <v>6</v>
      </c>
      <c r="J4" s="20">
        <v>6</v>
      </c>
      <c r="K4" s="20">
        <v>5.1</v>
      </c>
      <c r="L4" s="30">
        <v>5</v>
      </c>
      <c r="M4" s="30">
        <v>5</v>
      </c>
      <c r="N4" s="35">
        <v>4.7</v>
      </c>
      <c r="O4" s="35">
        <v>4.2</v>
      </c>
      <c r="P4" s="35">
        <v>3.6</v>
      </c>
      <c r="Q4" s="38">
        <v>2</v>
      </c>
      <c r="R4" s="39">
        <f>I4/L4</f>
        <v>1.2</v>
      </c>
      <c r="S4" s="38">
        <v>9</v>
      </c>
      <c r="T4" s="39">
        <f>N4/L4</f>
        <v>0.94</v>
      </c>
      <c r="U4" s="42" t="s">
        <v>28</v>
      </c>
    </row>
    <row r="5" ht="25" customHeight="1" spans="1:21">
      <c r="A5" s="23">
        <v>2</v>
      </c>
      <c r="B5" s="43" t="s">
        <v>29</v>
      </c>
      <c r="C5" s="24">
        <v>12110000101</v>
      </c>
      <c r="D5" s="25" t="s">
        <v>30</v>
      </c>
      <c r="E5" s="27" t="s">
        <v>26</v>
      </c>
      <c r="F5" s="27" t="s">
        <v>26</v>
      </c>
      <c r="G5" s="27" t="s">
        <v>26</v>
      </c>
      <c r="H5" s="44" t="s">
        <v>27</v>
      </c>
      <c r="I5" s="20">
        <v>6</v>
      </c>
      <c r="J5" s="20">
        <v>6</v>
      </c>
      <c r="K5" s="20">
        <v>5.1</v>
      </c>
      <c r="L5" s="30">
        <v>5</v>
      </c>
      <c r="M5" s="30">
        <v>5</v>
      </c>
      <c r="N5" s="35">
        <v>4.7</v>
      </c>
      <c r="O5" s="35">
        <v>4.2</v>
      </c>
      <c r="P5" s="35">
        <v>3.6</v>
      </c>
      <c r="Q5" s="38">
        <v>2</v>
      </c>
      <c r="R5" s="39">
        <f t="shared" ref="R5:R68" si="0">I5/L5</f>
        <v>1.2</v>
      </c>
      <c r="S5" s="38">
        <v>9</v>
      </c>
      <c r="T5" s="39">
        <f t="shared" ref="T5:T36" si="1">N5/L5</f>
        <v>0.94</v>
      </c>
      <c r="U5" s="42" t="s">
        <v>28</v>
      </c>
    </row>
    <row r="6" ht="25" customHeight="1" spans="1:21">
      <c r="A6" s="23">
        <v>3</v>
      </c>
      <c r="B6" s="43" t="s">
        <v>31</v>
      </c>
      <c r="C6" s="24">
        <v>12110000102</v>
      </c>
      <c r="D6" s="25" t="s">
        <v>32</v>
      </c>
      <c r="E6" s="27" t="s">
        <v>26</v>
      </c>
      <c r="F6" s="27" t="s">
        <v>26</v>
      </c>
      <c r="G6" s="27" t="s">
        <v>26</v>
      </c>
      <c r="H6" s="44" t="s">
        <v>27</v>
      </c>
      <c r="I6" s="20">
        <v>6</v>
      </c>
      <c r="J6" s="20">
        <v>6</v>
      </c>
      <c r="K6" s="20">
        <v>5.1</v>
      </c>
      <c r="L6" s="30">
        <v>5</v>
      </c>
      <c r="M6" s="30">
        <v>5</v>
      </c>
      <c r="N6" s="35">
        <v>4.7</v>
      </c>
      <c r="O6" s="35">
        <v>4.2</v>
      </c>
      <c r="P6" s="35">
        <v>3.6</v>
      </c>
      <c r="Q6" s="38">
        <v>2</v>
      </c>
      <c r="R6" s="39">
        <f t="shared" si="0"/>
        <v>1.2</v>
      </c>
      <c r="S6" s="38">
        <v>9</v>
      </c>
      <c r="T6" s="39">
        <f t="shared" si="1"/>
        <v>0.94</v>
      </c>
      <c r="U6" s="42" t="s">
        <v>28</v>
      </c>
    </row>
    <row r="7" ht="25" customHeight="1" spans="1:21">
      <c r="A7" s="23">
        <v>4</v>
      </c>
      <c r="B7" s="43" t="s">
        <v>33</v>
      </c>
      <c r="C7" s="24">
        <v>121100002</v>
      </c>
      <c r="D7" s="25" t="s">
        <v>34</v>
      </c>
      <c r="E7" s="27" t="s">
        <v>35</v>
      </c>
      <c r="F7" s="27" t="s">
        <v>26</v>
      </c>
      <c r="G7" s="27" t="s">
        <v>26</v>
      </c>
      <c r="H7" s="44" t="s">
        <v>27</v>
      </c>
      <c r="I7" s="20">
        <v>20</v>
      </c>
      <c r="J7" s="20">
        <v>20</v>
      </c>
      <c r="K7" s="20">
        <v>17</v>
      </c>
      <c r="L7" s="30">
        <v>15</v>
      </c>
      <c r="M7" s="30">
        <v>14</v>
      </c>
      <c r="N7" s="35">
        <v>14</v>
      </c>
      <c r="O7" s="35">
        <v>12.5</v>
      </c>
      <c r="P7" s="35">
        <v>11</v>
      </c>
      <c r="Q7" s="38">
        <v>1</v>
      </c>
      <c r="R7" s="39">
        <f t="shared" si="0"/>
        <v>1.33333333333333</v>
      </c>
      <c r="S7" s="38">
        <v>8</v>
      </c>
      <c r="T7" s="39">
        <f t="shared" si="1"/>
        <v>0.933333333333333</v>
      </c>
      <c r="U7" s="42" t="s">
        <v>28</v>
      </c>
    </row>
    <row r="8" ht="25" customHeight="1" spans="1:21">
      <c r="A8" s="23">
        <v>5</v>
      </c>
      <c r="B8" s="43" t="s">
        <v>36</v>
      </c>
      <c r="C8" s="24">
        <v>121300001</v>
      </c>
      <c r="D8" s="25" t="s">
        <v>37</v>
      </c>
      <c r="E8" s="27" t="s">
        <v>26</v>
      </c>
      <c r="F8" s="27" t="s">
        <v>38</v>
      </c>
      <c r="G8" s="27" t="s">
        <v>26</v>
      </c>
      <c r="H8" s="44" t="s">
        <v>27</v>
      </c>
      <c r="I8" s="20">
        <v>3</v>
      </c>
      <c r="J8" s="20">
        <v>3</v>
      </c>
      <c r="K8" s="20">
        <v>2.6</v>
      </c>
      <c r="L8" s="30">
        <v>2</v>
      </c>
      <c r="M8" s="30">
        <v>2</v>
      </c>
      <c r="N8" s="35">
        <v>1.9</v>
      </c>
      <c r="O8" s="35">
        <v>1.7</v>
      </c>
      <c r="P8" s="35">
        <v>1.5</v>
      </c>
      <c r="Q8" s="38">
        <v>1</v>
      </c>
      <c r="R8" s="39">
        <f t="shared" si="0"/>
        <v>1.5</v>
      </c>
      <c r="S8" s="38">
        <v>7</v>
      </c>
      <c r="T8" s="39">
        <f t="shared" si="1"/>
        <v>0.95</v>
      </c>
      <c r="U8" s="42" t="s">
        <v>28</v>
      </c>
    </row>
    <row r="9" ht="25" customHeight="1" spans="1:21">
      <c r="A9" s="23">
        <v>6</v>
      </c>
      <c r="B9" s="43" t="s">
        <v>39</v>
      </c>
      <c r="C9" s="24">
        <v>121600003</v>
      </c>
      <c r="D9" s="25" t="s">
        <v>40</v>
      </c>
      <c r="E9" s="27" t="s">
        <v>41</v>
      </c>
      <c r="F9" s="27" t="s">
        <v>26</v>
      </c>
      <c r="G9" s="27" t="s">
        <v>42</v>
      </c>
      <c r="H9" s="44" t="s">
        <v>43</v>
      </c>
      <c r="I9" s="20">
        <v>42</v>
      </c>
      <c r="J9" s="20">
        <v>40</v>
      </c>
      <c r="K9" s="20">
        <v>34</v>
      </c>
      <c r="L9" s="30">
        <v>39</v>
      </c>
      <c r="M9" s="30">
        <v>39</v>
      </c>
      <c r="N9" s="35">
        <v>37</v>
      </c>
      <c r="O9" s="35">
        <v>33</v>
      </c>
      <c r="P9" s="35">
        <v>28</v>
      </c>
      <c r="Q9" s="38">
        <v>1</v>
      </c>
      <c r="R9" s="39">
        <f t="shared" si="0"/>
        <v>1.07692307692308</v>
      </c>
      <c r="S9" s="38">
        <v>4</v>
      </c>
      <c r="T9" s="39">
        <f t="shared" si="1"/>
        <v>0.948717948717949</v>
      </c>
      <c r="U9" s="42" t="s">
        <v>28</v>
      </c>
    </row>
    <row r="10" ht="25" customHeight="1" spans="1:21">
      <c r="A10" s="23">
        <v>7</v>
      </c>
      <c r="B10" s="43" t="s">
        <v>44</v>
      </c>
      <c r="C10" s="24">
        <v>12160000301</v>
      </c>
      <c r="D10" s="43" t="s">
        <v>45</v>
      </c>
      <c r="E10" s="27" t="s">
        <v>26</v>
      </c>
      <c r="F10" s="27" t="s">
        <v>26</v>
      </c>
      <c r="G10" s="27" t="s">
        <v>46</v>
      </c>
      <c r="H10" s="44" t="s">
        <v>43</v>
      </c>
      <c r="I10" s="20">
        <v>42</v>
      </c>
      <c r="J10" s="20">
        <v>40</v>
      </c>
      <c r="K10" s="20">
        <v>34</v>
      </c>
      <c r="L10" s="30">
        <v>39</v>
      </c>
      <c r="M10" s="30">
        <v>39</v>
      </c>
      <c r="N10" s="35">
        <v>37</v>
      </c>
      <c r="O10" s="35">
        <v>33</v>
      </c>
      <c r="P10" s="35">
        <v>28</v>
      </c>
      <c r="Q10" s="38">
        <v>1</v>
      </c>
      <c r="R10" s="39">
        <f t="shared" si="0"/>
        <v>1.07692307692308</v>
      </c>
      <c r="S10" s="38">
        <v>4</v>
      </c>
      <c r="T10" s="39">
        <f t="shared" si="1"/>
        <v>0.948717948717949</v>
      </c>
      <c r="U10" s="42" t="s">
        <v>28</v>
      </c>
    </row>
    <row r="11" ht="25" customHeight="1" spans="1:21">
      <c r="A11" s="23">
        <v>8</v>
      </c>
      <c r="B11" s="43" t="s">
        <v>47</v>
      </c>
      <c r="C11" s="24">
        <v>12160000302</v>
      </c>
      <c r="D11" s="43" t="s">
        <v>48</v>
      </c>
      <c r="E11" s="27" t="s">
        <v>26</v>
      </c>
      <c r="F11" s="27" t="s">
        <v>26</v>
      </c>
      <c r="G11" s="27" t="s">
        <v>26</v>
      </c>
      <c r="H11" s="44" t="s">
        <v>43</v>
      </c>
      <c r="I11" s="20">
        <v>55</v>
      </c>
      <c r="J11" s="20">
        <v>52</v>
      </c>
      <c r="K11" s="20">
        <v>44</v>
      </c>
      <c r="L11" s="30">
        <v>51</v>
      </c>
      <c r="M11" s="30">
        <v>51</v>
      </c>
      <c r="N11" s="35">
        <v>48</v>
      </c>
      <c r="O11" s="35">
        <v>43</v>
      </c>
      <c r="P11" s="35">
        <v>36</v>
      </c>
      <c r="Q11" s="38">
        <v>1</v>
      </c>
      <c r="R11" s="39">
        <f t="shared" si="0"/>
        <v>1.07843137254902</v>
      </c>
      <c r="S11" s="38">
        <v>3</v>
      </c>
      <c r="T11" s="39">
        <f t="shared" si="1"/>
        <v>0.941176470588235</v>
      </c>
      <c r="U11" s="42" t="s">
        <v>28</v>
      </c>
    </row>
    <row r="12" ht="25" customHeight="1" spans="1:21">
      <c r="A12" s="17">
        <v>9</v>
      </c>
      <c r="B12" s="22" t="s">
        <v>49</v>
      </c>
      <c r="C12" s="22">
        <v>310905003</v>
      </c>
      <c r="D12" s="22" t="s">
        <v>50</v>
      </c>
      <c r="E12" s="27" t="s">
        <v>51</v>
      </c>
      <c r="F12" s="27" t="s">
        <v>52</v>
      </c>
      <c r="G12" s="27" t="s">
        <v>53</v>
      </c>
      <c r="H12" s="22" t="s">
        <v>27</v>
      </c>
      <c r="I12" s="38">
        <v>108</v>
      </c>
      <c r="J12" s="38">
        <v>97</v>
      </c>
      <c r="K12" s="38">
        <v>82</v>
      </c>
      <c r="L12" s="45">
        <v>145</v>
      </c>
      <c r="M12" s="30">
        <v>130</v>
      </c>
      <c r="N12" s="46">
        <v>130</v>
      </c>
      <c r="O12" s="46">
        <v>117</v>
      </c>
      <c r="P12" s="46">
        <v>100</v>
      </c>
      <c r="Q12" s="38">
        <v>8</v>
      </c>
      <c r="R12" s="39">
        <f t="shared" si="0"/>
        <v>0.744827586206897</v>
      </c>
      <c r="S12" s="38">
        <v>3</v>
      </c>
      <c r="T12" s="39">
        <f t="shared" si="1"/>
        <v>0.896551724137931</v>
      </c>
      <c r="U12" s="22" t="s">
        <v>54</v>
      </c>
    </row>
    <row r="13" ht="25" customHeight="1" spans="1:21">
      <c r="A13" s="17">
        <v>10</v>
      </c>
      <c r="B13" s="22" t="s">
        <v>55</v>
      </c>
      <c r="C13" s="22">
        <v>31090500301</v>
      </c>
      <c r="D13" s="22" t="s">
        <v>56</v>
      </c>
      <c r="E13" s="27"/>
      <c r="F13" s="27"/>
      <c r="G13" s="27"/>
      <c r="H13" s="22" t="s">
        <v>27</v>
      </c>
      <c r="I13" s="38">
        <v>140</v>
      </c>
      <c r="J13" s="38">
        <v>125</v>
      </c>
      <c r="K13" s="38">
        <v>105</v>
      </c>
      <c r="L13" s="45">
        <v>185</v>
      </c>
      <c r="M13" s="45">
        <v>170</v>
      </c>
      <c r="N13" s="46">
        <v>170</v>
      </c>
      <c r="O13" s="46">
        <v>150</v>
      </c>
      <c r="P13" s="46">
        <f>P12*1.3</f>
        <v>130</v>
      </c>
      <c r="Q13" s="38">
        <v>6</v>
      </c>
      <c r="R13" s="39">
        <f t="shared" si="0"/>
        <v>0.756756756756757</v>
      </c>
      <c r="S13" s="38">
        <v>4</v>
      </c>
      <c r="T13" s="39">
        <f t="shared" si="1"/>
        <v>0.918918918918919</v>
      </c>
      <c r="U13" s="22" t="s">
        <v>54</v>
      </c>
    </row>
    <row r="14" ht="25" customHeight="1" spans="1:21">
      <c r="A14" s="17">
        <v>11</v>
      </c>
      <c r="B14" s="18" t="s">
        <v>57</v>
      </c>
      <c r="C14" s="19">
        <v>310100028</v>
      </c>
      <c r="D14" s="20" t="s">
        <v>58</v>
      </c>
      <c r="E14" s="27" t="s">
        <v>59</v>
      </c>
      <c r="F14" s="27" t="s">
        <v>26</v>
      </c>
      <c r="G14" s="27" t="s">
        <v>60</v>
      </c>
      <c r="H14" s="20" t="s">
        <v>27</v>
      </c>
      <c r="I14" s="20">
        <v>110</v>
      </c>
      <c r="J14" s="20">
        <v>100</v>
      </c>
      <c r="K14" s="20">
        <v>85</v>
      </c>
      <c r="L14" s="30">
        <v>390</v>
      </c>
      <c r="M14" s="30">
        <v>350</v>
      </c>
      <c r="N14" s="35">
        <v>350</v>
      </c>
      <c r="O14" s="35">
        <v>315</v>
      </c>
      <c r="P14" s="35">
        <v>265</v>
      </c>
      <c r="Q14" s="38">
        <v>9</v>
      </c>
      <c r="R14" s="39">
        <f t="shared" si="0"/>
        <v>0.282051282051282</v>
      </c>
      <c r="S14" s="38">
        <v>6</v>
      </c>
      <c r="T14" s="39">
        <f t="shared" si="1"/>
        <v>0.897435897435897</v>
      </c>
      <c r="U14" s="22" t="s">
        <v>54</v>
      </c>
    </row>
    <row r="15" ht="25" customHeight="1" spans="1:21">
      <c r="A15" s="17">
        <v>12</v>
      </c>
      <c r="B15" s="18" t="s">
        <v>61</v>
      </c>
      <c r="C15" s="19">
        <v>31010002801</v>
      </c>
      <c r="D15" s="20" t="s">
        <v>62</v>
      </c>
      <c r="E15" s="27" t="s">
        <v>26</v>
      </c>
      <c r="F15" s="27" t="s">
        <v>26</v>
      </c>
      <c r="G15" s="27" t="s">
        <v>26</v>
      </c>
      <c r="H15" s="20" t="s">
        <v>27</v>
      </c>
      <c r="I15" s="20">
        <v>145</v>
      </c>
      <c r="J15" s="20">
        <v>130</v>
      </c>
      <c r="K15" s="20">
        <v>110</v>
      </c>
      <c r="L15" s="30">
        <v>505</v>
      </c>
      <c r="M15" s="30">
        <v>455</v>
      </c>
      <c r="N15" s="35">
        <v>455</v>
      </c>
      <c r="O15" s="35">
        <v>410</v>
      </c>
      <c r="P15" s="35">
        <v>345</v>
      </c>
      <c r="Q15" s="38">
        <v>9</v>
      </c>
      <c r="R15" s="39">
        <f t="shared" si="0"/>
        <v>0.287128712871287</v>
      </c>
      <c r="S15" s="38">
        <v>5</v>
      </c>
      <c r="T15" s="39">
        <f t="shared" si="1"/>
        <v>0.900990099009901</v>
      </c>
      <c r="U15" s="22" t="s">
        <v>54</v>
      </c>
    </row>
    <row r="16" ht="25" customHeight="1" spans="1:21">
      <c r="A16" s="17">
        <v>13</v>
      </c>
      <c r="B16" s="18" t="s">
        <v>63</v>
      </c>
      <c r="C16" s="19">
        <v>310100029</v>
      </c>
      <c r="D16" s="20" t="s">
        <v>64</v>
      </c>
      <c r="E16" s="27" t="s">
        <v>65</v>
      </c>
      <c r="F16" s="27" t="s">
        <v>26</v>
      </c>
      <c r="G16" s="27" t="s">
        <v>60</v>
      </c>
      <c r="H16" s="20" t="s">
        <v>27</v>
      </c>
      <c r="I16" s="20">
        <v>110</v>
      </c>
      <c r="J16" s="20">
        <v>100</v>
      </c>
      <c r="K16" s="20">
        <v>85</v>
      </c>
      <c r="L16" s="30">
        <v>390</v>
      </c>
      <c r="M16" s="30">
        <v>350</v>
      </c>
      <c r="N16" s="35">
        <v>350</v>
      </c>
      <c r="O16" s="35">
        <v>315</v>
      </c>
      <c r="P16" s="35">
        <v>265</v>
      </c>
      <c r="Q16" s="38">
        <v>9</v>
      </c>
      <c r="R16" s="39">
        <f t="shared" si="0"/>
        <v>0.282051282051282</v>
      </c>
      <c r="S16" s="38">
        <v>6</v>
      </c>
      <c r="T16" s="39">
        <f t="shared" si="1"/>
        <v>0.897435897435897</v>
      </c>
      <c r="U16" s="22" t="s">
        <v>54</v>
      </c>
    </row>
    <row r="17" ht="25" customHeight="1" spans="1:21">
      <c r="A17" s="17">
        <v>14</v>
      </c>
      <c r="B17" s="18" t="s">
        <v>66</v>
      </c>
      <c r="C17" s="19">
        <v>31010002901</v>
      </c>
      <c r="D17" s="20" t="s">
        <v>67</v>
      </c>
      <c r="E17" s="27" t="s">
        <v>26</v>
      </c>
      <c r="F17" s="27" t="s">
        <v>26</v>
      </c>
      <c r="G17" s="27" t="s">
        <v>26</v>
      </c>
      <c r="H17" s="20" t="s">
        <v>27</v>
      </c>
      <c r="I17" s="20">
        <v>145</v>
      </c>
      <c r="J17" s="20">
        <v>130</v>
      </c>
      <c r="K17" s="20">
        <v>110</v>
      </c>
      <c r="L17" s="30">
        <v>505</v>
      </c>
      <c r="M17" s="30">
        <v>455</v>
      </c>
      <c r="N17" s="35">
        <v>455</v>
      </c>
      <c r="O17" s="35">
        <v>410</v>
      </c>
      <c r="P17" s="35">
        <v>345</v>
      </c>
      <c r="Q17" s="38">
        <v>9</v>
      </c>
      <c r="R17" s="39">
        <f t="shared" si="0"/>
        <v>0.287128712871287</v>
      </c>
      <c r="S17" s="38">
        <v>5</v>
      </c>
      <c r="T17" s="39">
        <f t="shared" si="1"/>
        <v>0.900990099009901</v>
      </c>
      <c r="U17" s="22" t="s">
        <v>54</v>
      </c>
    </row>
    <row r="18" ht="25" customHeight="1" spans="1:21">
      <c r="A18" s="17">
        <v>15</v>
      </c>
      <c r="B18" s="18" t="s">
        <v>68</v>
      </c>
      <c r="C18" s="19">
        <v>310100030</v>
      </c>
      <c r="D18" s="20" t="s">
        <v>69</v>
      </c>
      <c r="E18" s="27" t="s">
        <v>59</v>
      </c>
      <c r="F18" s="27" t="s">
        <v>26</v>
      </c>
      <c r="G18" s="27" t="s">
        <v>60</v>
      </c>
      <c r="H18" s="20" t="s">
        <v>27</v>
      </c>
      <c r="I18" s="20">
        <v>110</v>
      </c>
      <c r="J18" s="20">
        <v>100</v>
      </c>
      <c r="K18" s="20">
        <v>85</v>
      </c>
      <c r="L18" s="30">
        <v>390</v>
      </c>
      <c r="M18" s="30">
        <v>350</v>
      </c>
      <c r="N18" s="35">
        <v>350</v>
      </c>
      <c r="O18" s="35">
        <v>315</v>
      </c>
      <c r="P18" s="35">
        <v>265</v>
      </c>
      <c r="Q18" s="38">
        <v>9</v>
      </c>
      <c r="R18" s="39">
        <f t="shared" si="0"/>
        <v>0.282051282051282</v>
      </c>
      <c r="S18" s="38">
        <v>6</v>
      </c>
      <c r="T18" s="39">
        <f t="shared" si="1"/>
        <v>0.897435897435897</v>
      </c>
      <c r="U18" s="22" t="s">
        <v>54</v>
      </c>
    </row>
    <row r="19" ht="25" customHeight="1" spans="1:21">
      <c r="A19" s="17">
        <v>16</v>
      </c>
      <c r="B19" s="18" t="s">
        <v>70</v>
      </c>
      <c r="C19" s="19">
        <v>31010003001</v>
      </c>
      <c r="D19" s="20" t="s">
        <v>71</v>
      </c>
      <c r="E19" s="27" t="s">
        <v>26</v>
      </c>
      <c r="F19" s="27" t="s">
        <v>26</v>
      </c>
      <c r="G19" s="27" t="s">
        <v>26</v>
      </c>
      <c r="H19" s="20" t="s">
        <v>27</v>
      </c>
      <c r="I19" s="20">
        <v>145</v>
      </c>
      <c r="J19" s="20">
        <v>130</v>
      </c>
      <c r="K19" s="20">
        <v>110</v>
      </c>
      <c r="L19" s="30">
        <v>505</v>
      </c>
      <c r="M19" s="30">
        <v>455</v>
      </c>
      <c r="N19" s="35">
        <v>455</v>
      </c>
      <c r="O19" s="35">
        <v>410</v>
      </c>
      <c r="P19" s="35">
        <v>345</v>
      </c>
      <c r="Q19" s="38">
        <v>9</v>
      </c>
      <c r="R19" s="39">
        <f t="shared" si="0"/>
        <v>0.287128712871287</v>
      </c>
      <c r="S19" s="38">
        <v>5</v>
      </c>
      <c r="T19" s="39">
        <f t="shared" si="1"/>
        <v>0.900990099009901</v>
      </c>
      <c r="U19" s="22" t="s">
        <v>54</v>
      </c>
    </row>
    <row r="20" ht="25" customHeight="1" spans="1:21">
      <c r="A20" s="17">
        <v>17</v>
      </c>
      <c r="B20" s="18" t="s">
        <v>72</v>
      </c>
      <c r="C20" s="19">
        <v>310800004</v>
      </c>
      <c r="D20" s="20" t="s">
        <v>73</v>
      </c>
      <c r="E20" s="27" t="s">
        <v>74</v>
      </c>
      <c r="F20" s="27" t="s">
        <v>75</v>
      </c>
      <c r="G20" s="27" t="s">
        <v>76</v>
      </c>
      <c r="H20" s="20" t="s">
        <v>77</v>
      </c>
      <c r="I20" s="20">
        <v>30</v>
      </c>
      <c r="J20" s="20">
        <v>30</v>
      </c>
      <c r="K20" s="20">
        <v>25.5</v>
      </c>
      <c r="L20" s="30">
        <v>60</v>
      </c>
      <c r="M20" s="30">
        <v>54</v>
      </c>
      <c r="N20" s="35">
        <v>54</v>
      </c>
      <c r="O20" s="35">
        <v>50</v>
      </c>
      <c r="P20" s="35">
        <v>43</v>
      </c>
      <c r="Q20" s="38">
        <v>9</v>
      </c>
      <c r="R20" s="39">
        <f t="shared" si="0"/>
        <v>0.5</v>
      </c>
      <c r="S20" s="38">
        <v>7</v>
      </c>
      <c r="T20" s="39">
        <f t="shared" si="1"/>
        <v>0.9</v>
      </c>
      <c r="U20" s="22" t="s">
        <v>54</v>
      </c>
    </row>
    <row r="21" ht="25" customHeight="1" spans="1:21">
      <c r="A21" s="17">
        <v>18</v>
      </c>
      <c r="B21" s="18" t="s">
        <v>78</v>
      </c>
      <c r="C21" s="19">
        <v>31080000402</v>
      </c>
      <c r="D21" s="20" t="s">
        <v>79</v>
      </c>
      <c r="E21" s="27" t="s">
        <v>26</v>
      </c>
      <c r="F21" s="27" t="s">
        <v>26</v>
      </c>
      <c r="G21" s="27" t="s">
        <v>80</v>
      </c>
      <c r="H21" s="20" t="s">
        <v>77</v>
      </c>
      <c r="I21" s="20">
        <v>60</v>
      </c>
      <c r="J21" s="20">
        <v>60</v>
      </c>
      <c r="K21" s="20">
        <v>55.5</v>
      </c>
      <c r="L21" s="30">
        <v>120</v>
      </c>
      <c r="M21" s="30">
        <v>110</v>
      </c>
      <c r="N21" s="35">
        <v>110</v>
      </c>
      <c r="O21" s="35">
        <v>100</v>
      </c>
      <c r="P21" s="35">
        <v>85</v>
      </c>
      <c r="Q21" s="38">
        <v>9</v>
      </c>
      <c r="R21" s="39">
        <f t="shared" si="0"/>
        <v>0.5</v>
      </c>
      <c r="S21" s="38">
        <v>6</v>
      </c>
      <c r="T21" s="39">
        <f t="shared" si="1"/>
        <v>0.916666666666667</v>
      </c>
      <c r="U21" s="22" t="s">
        <v>54</v>
      </c>
    </row>
    <row r="22" ht="25" customHeight="1" spans="1:21">
      <c r="A22" s="17">
        <v>19</v>
      </c>
      <c r="B22" s="18" t="s">
        <v>81</v>
      </c>
      <c r="C22" s="19">
        <v>310800017</v>
      </c>
      <c r="D22" s="20" t="s">
        <v>82</v>
      </c>
      <c r="E22" s="27" t="s">
        <v>26</v>
      </c>
      <c r="F22" s="27" t="s">
        <v>83</v>
      </c>
      <c r="G22" s="27" t="s">
        <v>26</v>
      </c>
      <c r="H22" s="20" t="s">
        <v>27</v>
      </c>
      <c r="I22" s="20">
        <v>5000</v>
      </c>
      <c r="J22" s="20">
        <v>5000</v>
      </c>
      <c r="K22" s="20">
        <v>4250</v>
      </c>
      <c r="L22" s="30">
        <v>10000</v>
      </c>
      <c r="M22" s="30">
        <v>9000</v>
      </c>
      <c r="N22" s="35">
        <v>9000</v>
      </c>
      <c r="O22" s="35">
        <v>8100</v>
      </c>
      <c r="P22" s="35">
        <v>6885</v>
      </c>
      <c r="Q22" s="38">
        <v>9</v>
      </c>
      <c r="R22" s="39">
        <f t="shared" si="0"/>
        <v>0.5</v>
      </c>
      <c r="S22" s="38">
        <v>5</v>
      </c>
      <c r="T22" s="39">
        <f t="shared" si="1"/>
        <v>0.9</v>
      </c>
      <c r="U22" s="22" t="s">
        <v>54</v>
      </c>
    </row>
    <row r="23" ht="25" customHeight="1" spans="1:21">
      <c r="A23" s="17">
        <v>20</v>
      </c>
      <c r="B23" s="18" t="s">
        <v>84</v>
      </c>
      <c r="C23" s="19">
        <v>310800018</v>
      </c>
      <c r="D23" s="20" t="s">
        <v>85</v>
      </c>
      <c r="E23" s="27" t="s">
        <v>26</v>
      </c>
      <c r="F23" s="27" t="s">
        <v>26</v>
      </c>
      <c r="G23" s="27" t="s">
        <v>26</v>
      </c>
      <c r="H23" s="20" t="s">
        <v>27</v>
      </c>
      <c r="I23" s="20">
        <v>300</v>
      </c>
      <c r="J23" s="20">
        <v>300</v>
      </c>
      <c r="K23" s="20">
        <v>255</v>
      </c>
      <c r="L23" s="30">
        <v>600</v>
      </c>
      <c r="M23" s="30">
        <v>540</v>
      </c>
      <c r="N23" s="35">
        <v>540</v>
      </c>
      <c r="O23" s="35">
        <v>485</v>
      </c>
      <c r="P23" s="35">
        <v>415</v>
      </c>
      <c r="Q23" s="38">
        <v>9</v>
      </c>
      <c r="R23" s="39">
        <f t="shared" si="0"/>
        <v>0.5</v>
      </c>
      <c r="S23" s="38">
        <v>5</v>
      </c>
      <c r="T23" s="39">
        <f t="shared" si="1"/>
        <v>0.9</v>
      </c>
      <c r="U23" s="22" t="s">
        <v>54</v>
      </c>
    </row>
    <row r="24" ht="25" customHeight="1" spans="1:21">
      <c r="A24" s="17">
        <v>21</v>
      </c>
      <c r="B24" s="18" t="s">
        <v>86</v>
      </c>
      <c r="C24" s="19">
        <v>310800020</v>
      </c>
      <c r="D24" s="20" t="s">
        <v>87</v>
      </c>
      <c r="E24" s="27" t="s">
        <v>88</v>
      </c>
      <c r="F24" s="27" t="s">
        <v>89</v>
      </c>
      <c r="G24" s="27" t="s">
        <v>26</v>
      </c>
      <c r="H24" s="20" t="s">
        <v>27</v>
      </c>
      <c r="I24" s="20">
        <v>3500</v>
      </c>
      <c r="J24" s="20">
        <v>3500</v>
      </c>
      <c r="K24" s="20">
        <v>2975</v>
      </c>
      <c r="L24" s="30">
        <v>7000</v>
      </c>
      <c r="M24" s="30">
        <v>6300</v>
      </c>
      <c r="N24" s="35">
        <v>6300</v>
      </c>
      <c r="O24" s="35">
        <v>5670</v>
      </c>
      <c r="P24" s="35">
        <v>4820</v>
      </c>
      <c r="Q24" s="38">
        <v>9</v>
      </c>
      <c r="R24" s="39">
        <f t="shared" si="0"/>
        <v>0.5</v>
      </c>
      <c r="S24" s="38">
        <v>5</v>
      </c>
      <c r="T24" s="39">
        <f t="shared" si="1"/>
        <v>0.9</v>
      </c>
      <c r="U24" s="22" t="s">
        <v>54</v>
      </c>
    </row>
    <row r="25" ht="25" customHeight="1" spans="1:21">
      <c r="A25" s="17">
        <v>22</v>
      </c>
      <c r="B25" s="18" t="s">
        <v>90</v>
      </c>
      <c r="C25" s="19">
        <v>310800021</v>
      </c>
      <c r="D25" s="20" t="s">
        <v>91</v>
      </c>
      <c r="E25" s="27" t="s">
        <v>88</v>
      </c>
      <c r="F25" s="27" t="s">
        <v>89</v>
      </c>
      <c r="G25" s="27" t="s">
        <v>26</v>
      </c>
      <c r="H25" s="20" t="s">
        <v>27</v>
      </c>
      <c r="I25" s="20">
        <v>3500</v>
      </c>
      <c r="J25" s="20">
        <v>3500</v>
      </c>
      <c r="K25" s="20">
        <v>2975</v>
      </c>
      <c r="L25" s="30">
        <v>7000</v>
      </c>
      <c r="M25" s="30">
        <v>6300</v>
      </c>
      <c r="N25" s="35">
        <v>6300</v>
      </c>
      <c r="O25" s="35">
        <v>5670</v>
      </c>
      <c r="P25" s="35">
        <v>4820</v>
      </c>
      <c r="Q25" s="38">
        <v>9</v>
      </c>
      <c r="R25" s="39">
        <f t="shared" si="0"/>
        <v>0.5</v>
      </c>
      <c r="S25" s="38">
        <v>5</v>
      </c>
      <c r="T25" s="39">
        <f t="shared" si="1"/>
        <v>0.9</v>
      </c>
      <c r="U25" s="22" t="s">
        <v>54</v>
      </c>
    </row>
    <row r="26" ht="25" customHeight="1" spans="1:21">
      <c r="A26" s="17">
        <v>23</v>
      </c>
      <c r="B26" s="18" t="s">
        <v>92</v>
      </c>
      <c r="C26" s="19">
        <v>310800022</v>
      </c>
      <c r="D26" s="20" t="s">
        <v>93</v>
      </c>
      <c r="E26" s="27" t="s">
        <v>94</v>
      </c>
      <c r="F26" s="27" t="s">
        <v>26</v>
      </c>
      <c r="G26" s="27" t="s">
        <v>26</v>
      </c>
      <c r="H26" s="20" t="s">
        <v>27</v>
      </c>
      <c r="I26" s="20">
        <v>3500</v>
      </c>
      <c r="J26" s="20">
        <v>3500</v>
      </c>
      <c r="K26" s="20">
        <v>2975</v>
      </c>
      <c r="L26" s="30">
        <v>7000</v>
      </c>
      <c r="M26" s="30">
        <v>6300</v>
      </c>
      <c r="N26" s="35">
        <v>6300</v>
      </c>
      <c r="O26" s="35">
        <v>5670</v>
      </c>
      <c r="P26" s="35">
        <v>4820</v>
      </c>
      <c r="Q26" s="38">
        <v>9</v>
      </c>
      <c r="R26" s="39">
        <f t="shared" si="0"/>
        <v>0.5</v>
      </c>
      <c r="S26" s="38">
        <v>5</v>
      </c>
      <c r="T26" s="39">
        <f t="shared" si="1"/>
        <v>0.9</v>
      </c>
      <c r="U26" s="22" t="s">
        <v>54</v>
      </c>
    </row>
    <row r="27" ht="25" customHeight="1" spans="1:21">
      <c r="A27" s="17">
        <v>24</v>
      </c>
      <c r="B27" s="18" t="s">
        <v>95</v>
      </c>
      <c r="C27" s="19">
        <v>310800023</v>
      </c>
      <c r="D27" s="20" t="s">
        <v>96</v>
      </c>
      <c r="E27" s="27" t="s">
        <v>88</v>
      </c>
      <c r="F27" s="27" t="s">
        <v>97</v>
      </c>
      <c r="G27" s="27" t="s">
        <v>26</v>
      </c>
      <c r="H27" s="20" t="s">
        <v>27</v>
      </c>
      <c r="I27" s="20">
        <v>3500</v>
      </c>
      <c r="J27" s="20">
        <v>3500</v>
      </c>
      <c r="K27" s="20">
        <v>2975</v>
      </c>
      <c r="L27" s="30">
        <v>7000</v>
      </c>
      <c r="M27" s="30">
        <v>6300</v>
      </c>
      <c r="N27" s="35">
        <v>6300</v>
      </c>
      <c r="O27" s="35">
        <v>5670</v>
      </c>
      <c r="P27" s="35">
        <v>4820</v>
      </c>
      <c r="Q27" s="38">
        <v>9</v>
      </c>
      <c r="R27" s="39">
        <f t="shared" si="0"/>
        <v>0.5</v>
      </c>
      <c r="S27" s="38">
        <v>5</v>
      </c>
      <c r="T27" s="39">
        <f t="shared" si="1"/>
        <v>0.9</v>
      </c>
      <c r="U27" s="22" t="s">
        <v>54</v>
      </c>
    </row>
    <row r="28" ht="25" customHeight="1" spans="1:21">
      <c r="A28" s="17">
        <v>25</v>
      </c>
      <c r="B28" s="18" t="s">
        <v>98</v>
      </c>
      <c r="C28" s="19">
        <v>320400002</v>
      </c>
      <c r="D28" s="20" t="s">
        <v>99</v>
      </c>
      <c r="E28" s="27" t="s">
        <v>100</v>
      </c>
      <c r="F28" s="27" t="s">
        <v>26</v>
      </c>
      <c r="G28" s="27" t="s">
        <v>26</v>
      </c>
      <c r="H28" s="20" t="s">
        <v>27</v>
      </c>
      <c r="I28" s="20">
        <v>750</v>
      </c>
      <c r="J28" s="20">
        <v>720</v>
      </c>
      <c r="K28" s="20">
        <v>612</v>
      </c>
      <c r="L28" s="30">
        <v>1080</v>
      </c>
      <c r="M28" s="30">
        <v>970</v>
      </c>
      <c r="N28" s="35">
        <v>970</v>
      </c>
      <c r="O28" s="35">
        <v>875</v>
      </c>
      <c r="P28" s="35">
        <v>745</v>
      </c>
      <c r="Q28" s="38">
        <v>8</v>
      </c>
      <c r="R28" s="39">
        <f t="shared" si="0"/>
        <v>0.694444444444444</v>
      </c>
      <c r="S28" s="38">
        <v>6</v>
      </c>
      <c r="T28" s="39">
        <f t="shared" si="1"/>
        <v>0.898148148148148</v>
      </c>
      <c r="U28" s="22" t="s">
        <v>101</v>
      </c>
    </row>
    <row r="29" ht="25" customHeight="1" spans="1:21">
      <c r="A29" s="17">
        <v>26</v>
      </c>
      <c r="B29" s="18" t="s">
        <v>102</v>
      </c>
      <c r="C29" s="19">
        <v>32040000201</v>
      </c>
      <c r="D29" s="20" t="s">
        <v>103</v>
      </c>
      <c r="E29" s="27" t="s">
        <v>26</v>
      </c>
      <c r="F29" s="27" t="s">
        <v>26</v>
      </c>
      <c r="G29" s="27" t="s">
        <v>26</v>
      </c>
      <c r="H29" s="20" t="s">
        <v>27</v>
      </c>
      <c r="I29" s="20">
        <v>975</v>
      </c>
      <c r="J29" s="20">
        <v>935</v>
      </c>
      <c r="K29" s="20">
        <v>795</v>
      </c>
      <c r="L29" s="30">
        <v>1405</v>
      </c>
      <c r="M29" s="30">
        <v>1260</v>
      </c>
      <c r="N29" s="35">
        <v>1260</v>
      </c>
      <c r="O29" s="35">
        <v>1140</v>
      </c>
      <c r="P29" s="35">
        <v>970</v>
      </c>
      <c r="Q29" s="38">
        <v>8</v>
      </c>
      <c r="R29" s="39">
        <f t="shared" si="0"/>
        <v>0.693950177935943</v>
      </c>
      <c r="S29" s="38">
        <v>6</v>
      </c>
      <c r="T29" s="39">
        <f t="shared" si="1"/>
        <v>0.896797153024911</v>
      </c>
      <c r="U29" s="22" t="s">
        <v>101</v>
      </c>
    </row>
    <row r="30" ht="25" customHeight="1" spans="1:21">
      <c r="A30" s="17">
        <v>27</v>
      </c>
      <c r="B30" s="18" t="s">
        <v>104</v>
      </c>
      <c r="C30" s="19">
        <v>320500002</v>
      </c>
      <c r="D30" s="20" t="s">
        <v>105</v>
      </c>
      <c r="E30" s="27" t="s">
        <v>106</v>
      </c>
      <c r="F30" s="27" t="s">
        <v>26</v>
      </c>
      <c r="G30" s="27" t="s">
        <v>107</v>
      </c>
      <c r="H30" s="20" t="s">
        <v>27</v>
      </c>
      <c r="I30" s="20">
        <v>2500</v>
      </c>
      <c r="J30" s="20">
        <v>2400</v>
      </c>
      <c r="K30" s="20">
        <v>2040</v>
      </c>
      <c r="L30" s="30">
        <v>3600</v>
      </c>
      <c r="M30" s="30">
        <v>3240</v>
      </c>
      <c r="N30" s="35">
        <v>3250</v>
      </c>
      <c r="O30" s="35">
        <v>2950</v>
      </c>
      <c r="P30" s="35">
        <v>2500</v>
      </c>
      <c r="Q30" s="38">
        <v>9</v>
      </c>
      <c r="R30" s="39">
        <f t="shared" si="0"/>
        <v>0.694444444444444</v>
      </c>
      <c r="S30" s="38">
        <v>6</v>
      </c>
      <c r="T30" s="39">
        <f t="shared" si="1"/>
        <v>0.902777777777778</v>
      </c>
      <c r="U30" s="22" t="s">
        <v>101</v>
      </c>
    </row>
    <row r="31" ht="25" customHeight="1" spans="1:21">
      <c r="A31" s="17">
        <v>28</v>
      </c>
      <c r="B31" s="18" t="s">
        <v>108</v>
      </c>
      <c r="C31" s="19">
        <v>32050000201</v>
      </c>
      <c r="D31" s="20" t="s">
        <v>109</v>
      </c>
      <c r="E31" s="27" t="s">
        <v>26</v>
      </c>
      <c r="F31" s="27"/>
      <c r="G31" s="27" t="s">
        <v>110</v>
      </c>
      <c r="H31" s="20" t="s">
        <v>27</v>
      </c>
      <c r="I31" s="20">
        <v>500</v>
      </c>
      <c r="J31" s="20">
        <v>480</v>
      </c>
      <c r="K31" s="20">
        <v>408</v>
      </c>
      <c r="L31" s="30">
        <v>720</v>
      </c>
      <c r="M31" s="30">
        <v>650</v>
      </c>
      <c r="N31" s="35">
        <f>N30*0.2</f>
        <v>650</v>
      </c>
      <c r="O31" s="35">
        <f>O30*0.2</f>
        <v>590</v>
      </c>
      <c r="P31" s="35">
        <f>P30*0.2</f>
        <v>500</v>
      </c>
      <c r="Q31" s="38">
        <v>9</v>
      </c>
      <c r="R31" s="39">
        <f t="shared" si="0"/>
        <v>0.694444444444444</v>
      </c>
      <c r="S31" s="38">
        <v>6</v>
      </c>
      <c r="T31" s="39">
        <f t="shared" si="1"/>
        <v>0.902777777777778</v>
      </c>
      <c r="U31" s="22" t="s">
        <v>101</v>
      </c>
    </row>
    <row r="32" ht="25" customHeight="1" spans="1:21">
      <c r="A32" s="17">
        <v>29</v>
      </c>
      <c r="B32" s="18" t="s">
        <v>111</v>
      </c>
      <c r="C32" s="19">
        <v>32050000202</v>
      </c>
      <c r="D32" s="20" t="s">
        <v>112</v>
      </c>
      <c r="E32" s="27" t="s">
        <v>26</v>
      </c>
      <c r="F32" s="27"/>
      <c r="G32" s="27" t="s">
        <v>26</v>
      </c>
      <c r="H32" s="20" t="s">
        <v>27</v>
      </c>
      <c r="I32" s="20">
        <v>3250</v>
      </c>
      <c r="J32" s="20">
        <v>3120</v>
      </c>
      <c r="K32" s="20">
        <v>2650</v>
      </c>
      <c r="L32" s="30">
        <v>4680</v>
      </c>
      <c r="M32" s="30">
        <v>4210</v>
      </c>
      <c r="N32" s="35">
        <v>4210</v>
      </c>
      <c r="O32" s="35">
        <v>3795</v>
      </c>
      <c r="P32" s="35">
        <v>3225</v>
      </c>
      <c r="Q32" s="38">
        <v>9</v>
      </c>
      <c r="R32" s="39">
        <f t="shared" si="0"/>
        <v>0.694444444444444</v>
      </c>
      <c r="S32" s="38">
        <v>7</v>
      </c>
      <c r="T32" s="39">
        <f t="shared" si="1"/>
        <v>0.89957264957265</v>
      </c>
      <c r="U32" s="22" t="s">
        <v>101</v>
      </c>
    </row>
    <row r="33" ht="25" customHeight="1" spans="1:21">
      <c r="A33" s="17">
        <v>30</v>
      </c>
      <c r="B33" s="18" t="s">
        <v>113</v>
      </c>
      <c r="C33" s="19">
        <v>32050000203</v>
      </c>
      <c r="D33" s="20" t="s">
        <v>114</v>
      </c>
      <c r="E33" s="27" t="s">
        <v>26</v>
      </c>
      <c r="F33" s="27"/>
      <c r="G33" s="27" t="s">
        <v>115</v>
      </c>
      <c r="H33" s="20" t="s">
        <v>27</v>
      </c>
      <c r="I33" s="20">
        <v>650</v>
      </c>
      <c r="J33" s="20">
        <v>625</v>
      </c>
      <c r="K33" s="20">
        <v>530</v>
      </c>
      <c r="L33" s="30">
        <v>935</v>
      </c>
      <c r="M33" s="30">
        <v>845</v>
      </c>
      <c r="N33" s="35">
        <f>N31*1.3</f>
        <v>845</v>
      </c>
      <c r="O33" s="35">
        <f>O31*1.3</f>
        <v>767</v>
      </c>
      <c r="P33" s="35">
        <f>P31*1.3</f>
        <v>650</v>
      </c>
      <c r="Q33" s="38">
        <v>9</v>
      </c>
      <c r="R33" s="39">
        <f t="shared" si="0"/>
        <v>0.695187165775401</v>
      </c>
      <c r="S33" s="38">
        <v>5</v>
      </c>
      <c r="T33" s="39">
        <f t="shared" si="1"/>
        <v>0.903743315508021</v>
      </c>
      <c r="U33" s="22" t="s">
        <v>101</v>
      </c>
    </row>
    <row r="34" ht="25" customHeight="1" spans="1:21">
      <c r="A34" s="17">
        <v>31</v>
      </c>
      <c r="B34" s="18" t="s">
        <v>116</v>
      </c>
      <c r="C34" s="19">
        <v>320500007</v>
      </c>
      <c r="D34" s="20" t="s">
        <v>117</v>
      </c>
      <c r="E34" s="27" t="s">
        <v>118</v>
      </c>
      <c r="F34" s="27" t="s">
        <v>26</v>
      </c>
      <c r="G34" s="27" t="s">
        <v>119</v>
      </c>
      <c r="H34" s="20" t="s">
        <v>27</v>
      </c>
      <c r="I34" s="20">
        <v>3125</v>
      </c>
      <c r="J34" s="20">
        <v>3000</v>
      </c>
      <c r="K34" s="20">
        <v>2550</v>
      </c>
      <c r="L34" s="30">
        <v>4500</v>
      </c>
      <c r="M34" s="30">
        <v>4050</v>
      </c>
      <c r="N34" s="35">
        <v>4050</v>
      </c>
      <c r="O34" s="35">
        <v>3650</v>
      </c>
      <c r="P34" s="35">
        <v>3100</v>
      </c>
      <c r="Q34" s="38">
        <v>8</v>
      </c>
      <c r="R34" s="39">
        <f t="shared" si="0"/>
        <v>0.694444444444444</v>
      </c>
      <c r="S34" s="38">
        <v>6</v>
      </c>
      <c r="T34" s="39">
        <f t="shared" si="1"/>
        <v>0.9</v>
      </c>
      <c r="U34" s="22" t="s">
        <v>101</v>
      </c>
    </row>
    <row r="35" ht="25" customHeight="1" spans="1:21">
      <c r="A35" s="17">
        <v>32</v>
      </c>
      <c r="B35" s="18" t="s">
        <v>120</v>
      </c>
      <c r="C35" s="19">
        <v>32050000701</v>
      </c>
      <c r="D35" s="20" t="s">
        <v>121</v>
      </c>
      <c r="E35" s="27"/>
      <c r="F35" s="27"/>
      <c r="G35" s="27" t="s">
        <v>122</v>
      </c>
      <c r="H35" s="20" t="s">
        <v>27</v>
      </c>
      <c r="I35" s="20">
        <v>3750</v>
      </c>
      <c r="J35" s="20">
        <v>3600</v>
      </c>
      <c r="K35" s="20">
        <v>3060</v>
      </c>
      <c r="L35" s="30">
        <v>5400</v>
      </c>
      <c r="M35" s="30">
        <v>4860</v>
      </c>
      <c r="N35" s="35">
        <v>4860</v>
      </c>
      <c r="O35" s="35">
        <v>4380</v>
      </c>
      <c r="P35" s="35">
        <v>3720</v>
      </c>
      <c r="Q35" s="38">
        <v>8</v>
      </c>
      <c r="R35" s="39">
        <f t="shared" si="0"/>
        <v>0.694444444444444</v>
      </c>
      <c r="S35" s="38">
        <v>6</v>
      </c>
      <c r="T35" s="39">
        <f t="shared" si="1"/>
        <v>0.9</v>
      </c>
      <c r="U35" s="22" t="s">
        <v>101</v>
      </c>
    </row>
    <row r="36" ht="25" customHeight="1" spans="1:21">
      <c r="A36" s="17">
        <v>33</v>
      </c>
      <c r="B36" s="18" t="s">
        <v>123</v>
      </c>
      <c r="C36" s="19">
        <v>32050000702</v>
      </c>
      <c r="D36" s="20" t="s">
        <v>124</v>
      </c>
      <c r="E36" s="27" t="s">
        <v>26</v>
      </c>
      <c r="F36" s="27"/>
      <c r="G36" s="27" t="s">
        <v>26</v>
      </c>
      <c r="H36" s="20" t="s">
        <v>27</v>
      </c>
      <c r="I36" s="20">
        <v>4065</v>
      </c>
      <c r="J36" s="20">
        <v>3900</v>
      </c>
      <c r="K36" s="20">
        <v>3315</v>
      </c>
      <c r="L36" s="30">
        <v>5850</v>
      </c>
      <c r="M36" s="30">
        <v>5265</v>
      </c>
      <c r="N36" s="35">
        <v>5265</v>
      </c>
      <c r="O36" s="35">
        <v>4745</v>
      </c>
      <c r="P36" s="35">
        <v>4030</v>
      </c>
      <c r="Q36" s="38">
        <v>8</v>
      </c>
      <c r="R36" s="39">
        <f t="shared" si="0"/>
        <v>0.694871794871795</v>
      </c>
      <c r="S36" s="38">
        <v>6</v>
      </c>
      <c r="T36" s="39">
        <f t="shared" si="1"/>
        <v>0.9</v>
      </c>
      <c r="U36" s="22" t="s">
        <v>101</v>
      </c>
    </row>
    <row r="37" ht="25" customHeight="1" spans="1:21">
      <c r="A37" s="17">
        <v>34</v>
      </c>
      <c r="B37" s="18" t="s">
        <v>125</v>
      </c>
      <c r="C37" s="19">
        <v>32050000703</v>
      </c>
      <c r="D37" s="20" t="s">
        <v>126</v>
      </c>
      <c r="E37" s="27" t="s">
        <v>26</v>
      </c>
      <c r="F37" s="27"/>
      <c r="G37" s="27" t="s">
        <v>122</v>
      </c>
      <c r="H37" s="20" t="s">
        <v>27</v>
      </c>
      <c r="I37" s="20">
        <v>4875</v>
      </c>
      <c r="J37" s="20">
        <v>4680</v>
      </c>
      <c r="K37" s="20">
        <v>3980</v>
      </c>
      <c r="L37" s="30">
        <v>7020</v>
      </c>
      <c r="M37" s="30">
        <v>6320</v>
      </c>
      <c r="N37" s="35">
        <v>6320</v>
      </c>
      <c r="O37" s="35">
        <v>5695</v>
      </c>
      <c r="P37" s="35">
        <v>4835</v>
      </c>
      <c r="Q37" s="38">
        <v>8</v>
      </c>
      <c r="R37" s="39">
        <f t="shared" si="0"/>
        <v>0.694444444444444</v>
      </c>
      <c r="S37" s="38">
        <v>6</v>
      </c>
      <c r="T37" s="39">
        <f t="shared" ref="T37:T68" si="2">N37/L37</f>
        <v>0.9002849002849</v>
      </c>
      <c r="U37" s="22" t="s">
        <v>101</v>
      </c>
    </row>
    <row r="38" ht="25" customHeight="1" spans="1:21">
      <c r="A38" s="17">
        <v>35</v>
      </c>
      <c r="B38" s="18" t="s">
        <v>127</v>
      </c>
      <c r="C38" s="19">
        <v>320500014</v>
      </c>
      <c r="D38" s="20" t="s">
        <v>128</v>
      </c>
      <c r="E38" s="27" t="s">
        <v>129</v>
      </c>
      <c r="F38" s="27" t="s">
        <v>26</v>
      </c>
      <c r="G38" s="27" t="s">
        <v>26</v>
      </c>
      <c r="H38" s="20" t="s">
        <v>27</v>
      </c>
      <c r="I38" s="20">
        <v>3125</v>
      </c>
      <c r="J38" s="20">
        <v>3000</v>
      </c>
      <c r="K38" s="20">
        <v>2550</v>
      </c>
      <c r="L38" s="30">
        <v>4500</v>
      </c>
      <c r="M38" s="30">
        <v>4050</v>
      </c>
      <c r="N38" s="35">
        <v>4050</v>
      </c>
      <c r="O38" s="35">
        <v>3645</v>
      </c>
      <c r="P38" s="35">
        <v>3095</v>
      </c>
      <c r="Q38" s="38">
        <v>8</v>
      </c>
      <c r="R38" s="39">
        <f t="shared" si="0"/>
        <v>0.694444444444444</v>
      </c>
      <c r="S38" s="38">
        <v>5</v>
      </c>
      <c r="T38" s="39">
        <f t="shared" si="2"/>
        <v>0.9</v>
      </c>
      <c r="U38" s="22" t="s">
        <v>101</v>
      </c>
    </row>
    <row r="39" ht="25" customHeight="1" spans="1:21">
      <c r="A39" s="17">
        <v>36</v>
      </c>
      <c r="B39" s="18" t="s">
        <v>130</v>
      </c>
      <c r="C39" s="19">
        <v>32050001401</v>
      </c>
      <c r="D39" s="20" t="s">
        <v>131</v>
      </c>
      <c r="E39" s="27" t="s">
        <v>26</v>
      </c>
      <c r="F39" s="27" t="s">
        <v>26</v>
      </c>
      <c r="G39" s="27" t="s">
        <v>26</v>
      </c>
      <c r="H39" s="20" t="s">
        <v>27</v>
      </c>
      <c r="I39" s="20">
        <v>4065</v>
      </c>
      <c r="J39" s="20">
        <v>3900</v>
      </c>
      <c r="K39" s="20">
        <v>3315</v>
      </c>
      <c r="L39" s="30">
        <v>5850</v>
      </c>
      <c r="M39" s="30">
        <v>5265</v>
      </c>
      <c r="N39" s="35">
        <v>5265</v>
      </c>
      <c r="O39" s="35">
        <v>4740</v>
      </c>
      <c r="P39" s="35">
        <v>4025</v>
      </c>
      <c r="Q39" s="38">
        <v>8</v>
      </c>
      <c r="R39" s="39">
        <f t="shared" si="0"/>
        <v>0.694871794871795</v>
      </c>
      <c r="S39" s="38">
        <v>5</v>
      </c>
      <c r="T39" s="39">
        <f t="shared" si="2"/>
        <v>0.9</v>
      </c>
      <c r="U39" s="22" t="s">
        <v>101</v>
      </c>
    </row>
    <row r="40" ht="25" customHeight="1" spans="1:21">
      <c r="A40" s="17">
        <v>37</v>
      </c>
      <c r="B40" s="18" t="s">
        <v>132</v>
      </c>
      <c r="C40" s="19">
        <v>320600002</v>
      </c>
      <c r="D40" s="20" t="s">
        <v>133</v>
      </c>
      <c r="E40" s="27" t="s">
        <v>26</v>
      </c>
      <c r="F40" s="27" t="s">
        <v>26</v>
      </c>
      <c r="G40" s="27" t="s">
        <v>26</v>
      </c>
      <c r="H40" s="20" t="s">
        <v>27</v>
      </c>
      <c r="I40" s="20">
        <v>3500</v>
      </c>
      <c r="J40" s="20">
        <v>3360</v>
      </c>
      <c r="K40" s="20">
        <v>2856</v>
      </c>
      <c r="L40" s="30">
        <v>5040</v>
      </c>
      <c r="M40" s="30">
        <v>4540</v>
      </c>
      <c r="N40" s="35">
        <v>4535</v>
      </c>
      <c r="O40" s="35">
        <v>4080</v>
      </c>
      <c r="P40" s="35">
        <v>3470</v>
      </c>
      <c r="Q40" s="38">
        <v>9</v>
      </c>
      <c r="R40" s="39">
        <f t="shared" si="0"/>
        <v>0.694444444444444</v>
      </c>
      <c r="S40" s="38">
        <v>7</v>
      </c>
      <c r="T40" s="39">
        <f t="shared" si="2"/>
        <v>0.899801587301587</v>
      </c>
      <c r="U40" s="22" t="s">
        <v>101</v>
      </c>
    </row>
    <row r="41" ht="25" customHeight="1" spans="1:21">
      <c r="A41" s="17">
        <v>38</v>
      </c>
      <c r="B41" s="18" t="s">
        <v>134</v>
      </c>
      <c r="C41" s="19">
        <v>32060000201</v>
      </c>
      <c r="D41" s="20" t="s">
        <v>135</v>
      </c>
      <c r="E41" s="27" t="s">
        <v>26</v>
      </c>
      <c r="F41" s="27" t="s">
        <v>26</v>
      </c>
      <c r="G41" s="27" t="s">
        <v>26</v>
      </c>
      <c r="H41" s="20" t="s">
        <v>27</v>
      </c>
      <c r="I41" s="20">
        <v>4550</v>
      </c>
      <c r="J41" s="20">
        <v>4370</v>
      </c>
      <c r="K41" s="20">
        <v>3715</v>
      </c>
      <c r="L41" s="30">
        <v>6550</v>
      </c>
      <c r="M41" s="30">
        <v>5900</v>
      </c>
      <c r="N41" s="35">
        <v>5895</v>
      </c>
      <c r="O41" s="35">
        <v>5305</v>
      </c>
      <c r="P41" s="35">
        <v>4510</v>
      </c>
      <c r="Q41" s="38">
        <v>9</v>
      </c>
      <c r="R41" s="39">
        <f t="shared" si="0"/>
        <v>0.694656488549618</v>
      </c>
      <c r="S41" s="38">
        <v>6</v>
      </c>
      <c r="T41" s="39">
        <f t="shared" si="2"/>
        <v>0.9</v>
      </c>
      <c r="U41" s="22" t="s">
        <v>101</v>
      </c>
    </row>
    <row r="42" ht="25" customHeight="1" spans="1:21">
      <c r="A42" s="17">
        <v>39</v>
      </c>
      <c r="B42" s="18" t="s">
        <v>136</v>
      </c>
      <c r="C42" s="19">
        <v>320600003</v>
      </c>
      <c r="D42" s="20" t="s">
        <v>137</v>
      </c>
      <c r="E42" s="27" t="s">
        <v>26</v>
      </c>
      <c r="F42" s="27" t="s">
        <v>26</v>
      </c>
      <c r="G42" s="27" t="s">
        <v>26</v>
      </c>
      <c r="H42" s="20" t="s">
        <v>27</v>
      </c>
      <c r="I42" s="20">
        <v>2500</v>
      </c>
      <c r="J42" s="20">
        <v>2400</v>
      </c>
      <c r="K42" s="20">
        <v>2040</v>
      </c>
      <c r="L42" s="30">
        <v>3600</v>
      </c>
      <c r="M42" s="30">
        <v>3240</v>
      </c>
      <c r="N42" s="35">
        <v>3240</v>
      </c>
      <c r="O42" s="35">
        <v>2920</v>
      </c>
      <c r="P42" s="35">
        <v>2480</v>
      </c>
      <c r="Q42" s="38">
        <v>10</v>
      </c>
      <c r="R42" s="39">
        <f t="shared" si="0"/>
        <v>0.694444444444444</v>
      </c>
      <c r="S42" s="38">
        <v>6</v>
      </c>
      <c r="T42" s="39">
        <f t="shared" si="2"/>
        <v>0.9</v>
      </c>
      <c r="U42" s="22" t="s">
        <v>101</v>
      </c>
    </row>
    <row r="43" ht="25" customHeight="1" spans="1:21">
      <c r="A43" s="17">
        <v>40</v>
      </c>
      <c r="B43" s="18" t="s">
        <v>138</v>
      </c>
      <c r="C43" s="19">
        <v>32060000301</v>
      </c>
      <c r="D43" s="20" t="s">
        <v>139</v>
      </c>
      <c r="E43" s="27" t="s">
        <v>26</v>
      </c>
      <c r="F43" s="27" t="s">
        <v>26</v>
      </c>
      <c r="G43" s="27" t="s">
        <v>26</v>
      </c>
      <c r="H43" s="20" t="s">
        <v>27</v>
      </c>
      <c r="I43" s="20">
        <v>3250</v>
      </c>
      <c r="J43" s="20">
        <v>3120</v>
      </c>
      <c r="K43" s="20">
        <v>2650</v>
      </c>
      <c r="L43" s="30">
        <v>4680</v>
      </c>
      <c r="M43" s="30">
        <v>4210</v>
      </c>
      <c r="N43" s="35">
        <v>4210</v>
      </c>
      <c r="O43" s="35">
        <v>3795</v>
      </c>
      <c r="P43" s="35">
        <v>3225</v>
      </c>
      <c r="Q43" s="38">
        <v>9</v>
      </c>
      <c r="R43" s="39">
        <f t="shared" si="0"/>
        <v>0.694444444444444</v>
      </c>
      <c r="S43" s="38">
        <v>7</v>
      </c>
      <c r="T43" s="39">
        <f t="shared" si="2"/>
        <v>0.89957264957265</v>
      </c>
      <c r="U43" s="22" t="s">
        <v>101</v>
      </c>
    </row>
    <row r="44" ht="25" customHeight="1" spans="1:21">
      <c r="A44" s="17">
        <v>41</v>
      </c>
      <c r="B44" s="18" t="s">
        <v>140</v>
      </c>
      <c r="C44" s="19">
        <v>320600005</v>
      </c>
      <c r="D44" s="20" t="s">
        <v>141</v>
      </c>
      <c r="E44" s="27" t="s">
        <v>26</v>
      </c>
      <c r="F44" s="27" t="s">
        <v>26</v>
      </c>
      <c r="G44" s="27" t="s">
        <v>26</v>
      </c>
      <c r="H44" s="20" t="s">
        <v>27</v>
      </c>
      <c r="I44" s="20">
        <v>2500</v>
      </c>
      <c r="J44" s="20">
        <v>2400</v>
      </c>
      <c r="K44" s="20">
        <v>2040</v>
      </c>
      <c r="L44" s="30">
        <v>3600</v>
      </c>
      <c r="M44" s="30">
        <v>3240</v>
      </c>
      <c r="N44" s="35">
        <v>3240</v>
      </c>
      <c r="O44" s="35">
        <v>2916</v>
      </c>
      <c r="P44" s="35">
        <v>2478</v>
      </c>
      <c r="Q44" s="38">
        <v>9</v>
      </c>
      <c r="R44" s="39">
        <f t="shared" si="0"/>
        <v>0.694444444444444</v>
      </c>
      <c r="S44" s="38">
        <v>6</v>
      </c>
      <c r="T44" s="39">
        <f t="shared" si="2"/>
        <v>0.9</v>
      </c>
      <c r="U44" s="22" t="s">
        <v>101</v>
      </c>
    </row>
    <row r="45" ht="25" customHeight="1" spans="1:21">
      <c r="A45" s="17">
        <v>42</v>
      </c>
      <c r="B45" s="18" t="s">
        <v>142</v>
      </c>
      <c r="C45" s="19">
        <v>32060000501</v>
      </c>
      <c r="D45" s="20" t="s">
        <v>143</v>
      </c>
      <c r="E45" s="27" t="s">
        <v>26</v>
      </c>
      <c r="F45" s="27" t="s">
        <v>26</v>
      </c>
      <c r="G45" s="27" t="s">
        <v>26</v>
      </c>
      <c r="H45" s="20" t="s">
        <v>27</v>
      </c>
      <c r="I45" s="20">
        <v>3250</v>
      </c>
      <c r="J45" s="20">
        <v>3120</v>
      </c>
      <c r="K45" s="20">
        <v>2650</v>
      </c>
      <c r="L45" s="30">
        <v>4680</v>
      </c>
      <c r="M45" s="30">
        <v>4210</v>
      </c>
      <c r="N45" s="35">
        <v>4210</v>
      </c>
      <c r="O45" s="35">
        <v>3795</v>
      </c>
      <c r="P45" s="35">
        <v>3225</v>
      </c>
      <c r="Q45" s="38">
        <v>9</v>
      </c>
      <c r="R45" s="39">
        <f t="shared" si="0"/>
        <v>0.694444444444444</v>
      </c>
      <c r="S45" s="38">
        <v>7</v>
      </c>
      <c r="T45" s="39">
        <f t="shared" si="2"/>
        <v>0.89957264957265</v>
      </c>
      <c r="U45" s="22" t="s">
        <v>101</v>
      </c>
    </row>
    <row r="46" ht="25" customHeight="1" spans="1:21">
      <c r="A46" s="17">
        <v>43</v>
      </c>
      <c r="B46" s="18" t="s">
        <v>144</v>
      </c>
      <c r="C46" s="19">
        <v>320600006</v>
      </c>
      <c r="D46" s="20" t="s">
        <v>145</v>
      </c>
      <c r="E46" s="27" t="s">
        <v>26</v>
      </c>
      <c r="F46" s="27" t="s">
        <v>26</v>
      </c>
      <c r="G46" s="27" t="s">
        <v>26</v>
      </c>
      <c r="H46" s="20" t="s">
        <v>27</v>
      </c>
      <c r="I46" s="20">
        <v>2250</v>
      </c>
      <c r="J46" s="20">
        <v>2160</v>
      </c>
      <c r="K46" s="20">
        <v>1836</v>
      </c>
      <c r="L46" s="30">
        <v>3240</v>
      </c>
      <c r="M46" s="30">
        <v>2920</v>
      </c>
      <c r="N46" s="35">
        <v>2915</v>
      </c>
      <c r="O46" s="35">
        <v>2625</v>
      </c>
      <c r="P46" s="35">
        <v>2230</v>
      </c>
      <c r="Q46" s="38">
        <v>8</v>
      </c>
      <c r="R46" s="39">
        <f t="shared" si="0"/>
        <v>0.694444444444444</v>
      </c>
      <c r="S46" s="38">
        <v>6</v>
      </c>
      <c r="T46" s="39">
        <f t="shared" si="2"/>
        <v>0.899691358024691</v>
      </c>
      <c r="U46" s="22" t="s">
        <v>101</v>
      </c>
    </row>
    <row r="47" ht="25" customHeight="1" spans="1:21">
      <c r="A47" s="17">
        <v>44</v>
      </c>
      <c r="B47" s="18" t="s">
        <v>146</v>
      </c>
      <c r="C47" s="19">
        <v>32060000601</v>
      </c>
      <c r="D47" s="20" t="s">
        <v>147</v>
      </c>
      <c r="E47" s="27" t="s">
        <v>26</v>
      </c>
      <c r="F47" s="27" t="s">
        <v>26</v>
      </c>
      <c r="G47" s="27" t="s">
        <v>26</v>
      </c>
      <c r="H47" s="20" t="s">
        <v>27</v>
      </c>
      <c r="I47" s="20">
        <v>2925</v>
      </c>
      <c r="J47" s="20">
        <v>2810</v>
      </c>
      <c r="K47" s="20">
        <v>2390</v>
      </c>
      <c r="L47" s="30">
        <v>4210</v>
      </c>
      <c r="M47" s="30">
        <v>3795</v>
      </c>
      <c r="N47" s="35">
        <v>3790</v>
      </c>
      <c r="O47" s="35">
        <v>3415</v>
      </c>
      <c r="P47" s="35">
        <v>2900</v>
      </c>
      <c r="Q47" s="38">
        <v>8</v>
      </c>
      <c r="R47" s="39">
        <f t="shared" si="0"/>
        <v>0.694774346793349</v>
      </c>
      <c r="S47" s="38">
        <v>5</v>
      </c>
      <c r="T47" s="39">
        <f t="shared" si="2"/>
        <v>0.900237529691211</v>
      </c>
      <c r="U47" s="22" t="s">
        <v>101</v>
      </c>
    </row>
    <row r="48" ht="25" customHeight="1" spans="1:21">
      <c r="A48" s="17">
        <v>45</v>
      </c>
      <c r="B48" s="18" t="s">
        <v>148</v>
      </c>
      <c r="C48" s="19">
        <v>320600007</v>
      </c>
      <c r="D48" s="20" t="s">
        <v>149</v>
      </c>
      <c r="E48" s="27" t="s">
        <v>26</v>
      </c>
      <c r="F48" s="27" t="s">
        <v>26</v>
      </c>
      <c r="G48" s="27" t="s">
        <v>26</v>
      </c>
      <c r="H48" s="20" t="s">
        <v>27</v>
      </c>
      <c r="I48" s="20">
        <v>3125</v>
      </c>
      <c r="J48" s="20">
        <v>3000</v>
      </c>
      <c r="K48" s="20">
        <v>2550</v>
      </c>
      <c r="L48" s="30">
        <v>4500</v>
      </c>
      <c r="M48" s="30">
        <v>4050</v>
      </c>
      <c r="N48" s="35">
        <v>4050</v>
      </c>
      <c r="O48" s="35">
        <v>3645</v>
      </c>
      <c r="P48" s="35">
        <v>3095</v>
      </c>
      <c r="Q48" s="38">
        <v>8</v>
      </c>
      <c r="R48" s="39">
        <f t="shared" si="0"/>
        <v>0.694444444444444</v>
      </c>
      <c r="S48" s="38">
        <v>6</v>
      </c>
      <c r="T48" s="39">
        <f t="shared" si="2"/>
        <v>0.9</v>
      </c>
      <c r="U48" s="22" t="s">
        <v>101</v>
      </c>
    </row>
    <row r="49" ht="25" customHeight="1" spans="1:21">
      <c r="A49" s="17">
        <v>46</v>
      </c>
      <c r="B49" s="18" t="s">
        <v>150</v>
      </c>
      <c r="C49" s="19">
        <v>32060000701</v>
      </c>
      <c r="D49" s="20" t="s">
        <v>151</v>
      </c>
      <c r="E49" s="27" t="s">
        <v>26</v>
      </c>
      <c r="F49" s="27" t="s">
        <v>26</v>
      </c>
      <c r="G49" s="27" t="s">
        <v>26</v>
      </c>
      <c r="H49" s="20" t="s">
        <v>27</v>
      </c>
      <c r="I49" s="20">
        <v>4065</v>
      </c>
      <c r="J49" s="20">
        <v>3900</v>
      </c>
      <c r="K49" s="20">
        <v>3315</v>
      </c>
      <c r="L49" s="30">
        <v>5850</v>
      </c>
      <c r="M49" s="30">
        <v>5265</v>
      </c>
      <c r="N49" s="35">
        <v>5265</v>
      </c>
      <c r="O49" s="35">
        <v>4740</v>
      </c>
      <c r="P49" s="35">
        <v>4025</v>
      </c>
      <c r="Q49" s="38">
        <v>8</v>
      </c>
      <c r="R49" s="39">
        <f t="shared" si="0"/>
        <v>0.694871794871795</v>
      </c>
      <c r="S49" s="38">
        <v>6</v>
      </c>
      <c r="T49" s="39">
        <f t="shared" si="2"/>
        <v>0.9</v>
      </c>
      <c r="U49" s="22" t="s">
        <v>101</v>
      </c>
    </row>
    <row r="50" ht="25" customHeight="1" spans="1:21">
      <c r="A50" s="17">
        <v>47</v>
      </c>
      <c r="B50" s="18" t="s">
        <v>152</v>
      </c>
      <c r="C50" s="19">
        <v>320600009</v>
      </c>
      <c r="D50" s="20" t="s">
        <v>153</v>
      </c>
      <c r="E50" s="27" t="s">
        <v>26</v>
      </c>
      <c r="F50" s="27" t="s">
        <v>26</v>
      </c>
      <c r="G50" s="27" t="s">
        <v>26</v>
      </c>
      <c r="H50" s="20" t="s">
        <v>27</v>
      </c>
      <c r="I50" s="20">
        <v>2500</v>
      </c>
      <c r="J50" s="20">
        <v>2400</v>
      </c>
      <c r="K50" s="20">
        <v>2040</v>
      </c>
      <c r="L50" s="30">
        <v>3600</v>
      </c>
      <c r="M50" s="30">
        <v>3240</v>
      </c>
      <c r="N50" s="35">
        <v>3240</v>
      </c>
      <c r="O50" s="35">
        <v>2920</v>
      </c>
      <c r="P50" s="35">
        <v>2480</v>
      </c>
      <c r="Q50" s="38">
        <v>10</v>
      </c>
      <c r="R50" s="39">
        <f t="shared" si="0"/>
        <v>0.694444444444444</v>
      </c>
      <c r="S50" s="38">
        <v>6</v>
      </c>
      <c r="T50" s="39">
        <f t="shared" si="2"/>
        <v>0.9</v>
      </c>
      <c r="U50" s="22" t="s">
        <v>101</v>
      </c>
    </row>
    <row r="51" ht="25" customHeight="1" spans="1:21">
      <c r="A51" s="17">
        <v>48</v>
      </c>
      <c r="B51" s="18" t="s">
        <v>154</v>
      </c>
      <c r="C51" s="19">
        <v>32060000901</v>
      </c>
      <c r="D51" s="20" t="s">
        <v>155</v>
      </c>
      <c r="E51" s="27" t="s">
        <v>26</v>
      </c>
      <c r="F51" s="27" t="s">
        <v>26</v>
      </c>
      <c r="G51" s="27" t="s">
        <v>26</v>
      </c>
      <c r="H51" s="20" t="s">
        <v>27</v>
      </c>
      <c r="I51" s="20">
        <v>3250</v>
      </c>
      <c r="J51" s="20">
        <v>3120</v>
      </c>
      <c r="K51" s="20">
        <v>2650</v>
      </c>
      <c r="L51" s="30">
        <v>4680</v>
      </c>
      <c r="M51" s="30">
        <v>4210</v>
      </c>
      <c r="N51" s="35">
        <v>4210</v>
      </c>
      <c r="O51" s="35">
        <v>3795</v>
      </c>
      <c r="P51" s="35">
        <v>3225</v>
      </c>
      <c r="Q51" s="38">
        <v>10</v>
      </c>
      <c r="R51" s="39">
        <f t="shared" si="0"/>
        <v>0.694444444444444</v>
      </c>
      <c r="S51" s="38">
        <v>7</v>
      </c>
      <c r="T51" s="39">
        <f t="shared" si="2"/>
        <v>0.89957264957265</v>
      </c>
      <c r="U51" s="22" t="s">
        <v>101</v>
      </c>
    </row>
    <row r="52" ht="25" customHeight="1" spans="1:21">
      <c r="A52" s="17">
        <v>49</v>
      </c>
      <c r="B52" s="18" t="s">
        <v>156</v>
      </c>
      <c r="C52" s="19">
        <v>320600010</v>
      </c>
      <c r="D52" s="20" t="s">
        <v>157</v>
      </c>
      <c r="E52" s="27" t="s">
        <v>26</v>
      </c>
      <c r="F52" s="27" t="s">
        <v>26</v>
      </c>
      <c r="G52" s="27" t="s">
        <v>26</v>
      </c>
      <c r="H52" s="20" t="s">
        <v>27</v>
      </c>
      <c r="I52" s="20">
        <v>1875</v>
      </c>
      <c r="J52" s="20">
        <v>1800</v>
      </c>
      <c r="K52" s="20">
        <v>1530</v>
      </c>
      <c r="L52" s="30">
        <v>2700</v>
      </c>
      <c r="M52" s="30">
        <v>2430</v>
      </c>
      <c r="N52" s="35">
        <v>2430</v>
      </c>
      <c r="O52" s="35">
        <v>2200</v>
      </c>
      <c r="P52" s="35">
        <v>1870</v>
      </c>
      <c r="Q52" s="38">
        <v>8</v>
      </c>
      <c r="R52" s="39">
        <f t="shared" si="0"/>
        <v>0.694444444444444</v>
      </c>
      <c r="S52" s="38">
        <v>5</v>
      </c>
      <c r="T52" s="39">
        <f t="shared" si="2"/>
        <v>0.9</v>
      </c>
      <c r="U52" s="22" t="s">
        <v>101</v>
      </c>
    </row>
    <row r="53" ht="25" customHeight="1" spans="1:21">
      <c r="A53" s="17">
        <v>50</v>
      </c>
      <c r="B53" s="18" t="s">
        <v>158</v>
      </c>
      <c r="C53" s="19">
        <v>32060001001</v>
      </c>
      <c r="D53" s="20" t="s">
        <v>159</v>
      </c>
      <c r="E53" s="27" t="s">
        <v>26</v>
      </c>
      <c r="F53" s="27" t="s">
        <v>26</v>
      </c>
      <c r="G53" s="27" t="s">
        <v>26</v>
      </c>
      <c r="H53" s="20" t="s">
        <v>27</v>
      </c>
      <c r="I53" s="20">
        <v>2440</v>
      </c>
      <c r="J53" s="20">
        <v>2340</v>
      </c>
      <c r="K53" s="20">
        <v>1990</v>
      </c>
      <c r="L53" s="30">
        <v>3510</v>
      </c>
      <c r="M53" s="30">
        <v>3160</v>
      </c>
      <c r="N53" s="35">
        <v>3160</v>
      </c>
      <c r="O53" s="35">
        <v>2860</v>
      </c>
      <c r="P53" s="35">
        <v>2430</v>
      </c>
      <c r="Q53" s="38">
        <v>8</v>
      </c>
      <c r="R53" s="39">
        <f t="shared" si="0"/>
        <v>0.695156695156695</v>
      </c>
      <c r="S53" s="38">
        <v>5</v>
      </c>
      <c r="T53" s="39">
        <f t="shared" si="2"/>
        <v>0.9002849002849</v>
      </c>
      <c r="U53" s="22" t="s">
        <v>101</v>
      </c>
    </row>
    <row r="54" ht="25" customHeight="1" spans="1:21">
      <c r="A54" s="17">
        <v>51</v>
      </c>
      <c r="B54" s="18" t="s">
        <v>160</v>
      </c>
      <c r="C54" s="19">
        <v>320600011</v>
      </c>
      <c r="D54" s="20" t="s">
        <v>161</v>
      </c>
      <c r="E54" s="27" t="s">
        <v>26</v>
      </c>
      <c r="F54" s="27" t="s">
        <v>26</v>
      </c>
      <c r="G54" s="27" t="s">
        <v>26</v>
      </c>
      <c r="H54" s="20" t="s">
        <v>27</v>
      </c>
      <c r="I54" s="20">
        <v>3125</v>
      </c>
      <c r="J54" s="20">
        <v>3000</v>
      </c>
      <c r="K54" s="20">
        <v>2550</v>
      </c>
      <c r="L54" s="30">
        <v>4500</v>
      </c>
      <c r="M54" s="30">
        <v>4050</v>
      </c>
      <c r="N54" s="35">
        <v>4050</v>
      </c>
      <c r="O54" s="35">
        <v>3645</v>
      </c>
      <c r="P54" s="35">
        <v>3095</v>
      </c>
      <c r="Q54" s="38">
        <v>7</v>
      </c>
      <c r="R54" s="39">
        <f t="shared" si="0"/>
        <v>0.694444444444444</v>
      </c>
      <c r="S54" s="38">
        <v>5</v>
      </c>
      <c r="T54" s="39">
        <f t="shared" si="2"/>
        <v>0.9</v>
      </c>
      <c r="U54" s="22" t="s">
        <v>101</v>
      </c>
    </row>
    <row r="55" ht="25" customHeight="1" spans="1:21">
      <c r="A55" s="17">
        <v>52</v>
      </c>
      <c r="B55" s="18" t="s">
        <v>162</v>
      </c>
      <c r="C55" s="19">
        <v>32060001101</v>
      </c>
      <c r="D55" s="20" t="s">
        <v>163</v>
      </c>
      <c r="E55" s="27" t="s">
        <v>26</v>
      </c>
      <c r="F55" s="27" t="s">
        <v>26</v>
      </c>
      <c r="G55" s="27" t="s">
        <v>26</v>
      </c>
      <c r="H55" s="20" t="s">
        <v>27</v>
      </c>
      <c r="I55" s="20">
        <v>4065</v>
      </c>
      <c r="J55" s="20">
        <v>3900</v>
      </c>
      <c r="K55" s="20">
        <v>3315</v>
      </c>
      <c r="L55" s="30">
        <v>5850</v>
      </c>
      <c r="M55" s="30">
        <v>5265</v>
      </c>
      <c r="N55" s="35">
        <v>5265</v>
      </c>
      <c r="O55" s="35">
        <v>4740</v>
      </c>
      <c r="P55" s="35">
        <v>4025</v>
      </c>
      <c r="Q55" s="38">
        <v>7</v>
      </c>
      <c r="R55" s="39">
        <f t="shared" si="0"/>
        <v>0.694871794871795</v>
      </c>
      <c r="S55" s="38">
        <v>5</v>
      </c>
      <c r="T55" s="39">
        <f t="shared" si="2"/>
        <v>0.9</v>
      </c>
      <c r="U55" s="22" t="s">
        <v>101</v>
      </c>
    </row>
    <row r="56" ht="25" customHeight="1" spans="1:21">
      <c r="A56" s="17">
        <v>53</v>
      </c>
      <c r="B56" s="22" t="s">
        <v>164</v>
      </c>
      <c r="C56" s="22">
        <v>330202010</v>
      </c>
      <c r="D56" s="22" t="s">
        <v>165</v>
      </c>
      <c r="E56" s="27" t="s">
        <v>26</v>
      </c>
      <c r="F56" s="27" t="s">
        <v>166</v>
      </c>
      <c r="G56" s="27" t="s">
        <v>26</v>
      </c>
      <c r="H56" s="22" t="s">
        <v>27</v>
      </c>
      <c r="I56" s="38">
        <v>2190</v>
      </c>
      <c r="J56" s="38">
        <v>1970</v>
      </c>
      <c r="K56" s="38">
        <v>1670</v>
      </c>
      <c r="L56" s="45">
        <v>3130</v>
      </c>
      <c r="M56" s="30">
        <v>2800</v>
      </c>
      <c r="N56" s="46">
        <v>2815</v>
      </c>
      <c r="O56" s="46">
        <v>2535</v>
      </c>
      <c r="P56" s="46">
        <v>2155</v>
      </c>
      <c r="Q56" s="38">
        <v>4</v>
      </c>
      <c r="R56" s="39">
        <f t="shared" si="0"/>
        <v>0.699680511182109</v>
      </c>
      <c r="S56" s="38">
        <v>3</v>
      </c>
      <c r="T56" s="39">
        <f t="shared" si="2"/>
        <v>0.899361022364217</v>
      </c>
      <c r="U56" s="22" t="s">
        <v>167</v>
      </c>
    </row>
    <row r="57" ht="25" customHeight="1" spans="1:21">
      <c r="A57" s="17">
        <v>54</v>
      </c>
      <c r="B57" s="22" t="s">
        <v>168</v>
      </c>
      <c r="C57" s="22">
        <v>33020201001</v>
      </c>
      <c r="D57" s="22" t="s">
        <v>169</v>
      </c>
      <c r="E57" s="27" t="s">
        <v>26</v>
      </c>
      <c r="F57" s="27" t="s">
        <v>26</v>
      </c>
      <c r="G57" s="27" t="s">
        <v>26</v>
      </c>
      <c r="H57" s="22" t="s">
        <v>27</v>
      </c>
      <c r="I57" s="38">
        <v>2845</v>
      </c>
      <c r="J57" s="38">
        <v>2560</v>
      </c>
      <c r="K57" s="38">
        <v>2175</v>
      </c>
      <c r="L57" s="45">
        <v>4060</v>
      </c>
      <c r="M57" s="30">
        <v>3640</v>
      </c>
      <c r="N57" s="46">
        <v>3660</v>
      </c>
      <c r="O57" s="46">
        <v>3295</v>
      </c>
      <c r="P57" s="46">
        <v>2800</v>
      </c>
      <c r="Q57" s="38">
        <v>4</v>
      </c>
      <c r="R57" s="39">
        <f t="shared" si="0"/>
        <v>0.700738916256158</v>
      </c>
      <c r="S57" s="38">
        <v>2</v>
      </c>
      <c r="T57" s="39">
        <f t="shared" si="2"/>
        <v>0.901477832512315</v>
      </c>
      <c r="U57" s="22" t="s">
        <v>167</v>
      </c>
    </row>
    <row r="58" ht="25" customHeight="1" spans="1:21">
      <c r="A58" s="17">
        <v>55</v>
      </c>
      <c r="B58" s="22" t="s">
        <v>170</v>
      </c>
      <c r="C58" s="22">
        <v>330202011</v>
      </c>
      <c r="D58" s="22" t="s">
        <v>171</v>
      </c>
      <c r="E58" s="27" t="s">
        <v>172</v>
      </c>
      <c r="F58" s="27" t="s">
        <v>26</v>
      </c>
      <c r="G58" s="27" t="s">
        <v>26</v>
      </c>
      <c r="H58" s="22" t="s">
        <v>27</v>
      </c>
      <c r="I58" s="38">
        <v>1690</v>
      </c>
      <c r="J58" s="38">
        <v>1520</v>
      </c>
      <c r="K58" s="38">
        <v>1290</v>
      </c>
      <c r="L58" s="45">
        <v>2400</v>
      </c>
      <c r="M58" s="30">
        <v>2160</v>
      </c>
      <c r="N58" s="46">
        <v>2160</v>
      </c>
      <c r="O58" s="46">
        <v>1950</v>
      </c>
      <c r="P58" s="46">
        <v>1660</v>
      </c>
      <c r="Q58" s="38">
        <v>7</v>
      </c>
      <c r="R58" s="39">
        <f t="shared" si="0"/>
        <v>0.704166666666667</v>
      </c>
      <c r="S58" s="38">
        <v>3</v>
      </c>
      <c r="T58" s="39">
        <f t="shared" si="2"/>
        <v>0.9</v>
      </c>
      <c r="U58" s="22" t="s">
        <v>167</v>
      </c>
    </row>
    <row r="59" ht="25" customHeight="1" spans="1:21">
      <c r="A59" s="17">
        <v>56</v>
      </c>
      <c r="B59" s="22" t="s">
        <v>173</v>
      </c>
      <c r="C59" s="22">
        <v>33020201101</v>
      </c>
      <c r="D59" s="22" t="s">
        <v>174</v>
      </c>
      <c r="E59" s="27" t="s">
        <v>26</v>
      </c>
      <c r="F59" s="27" t="s">
        <v>26</v>
      </c>
      <c r="G59" s="27" t="s">
        <v>26</v>
      </c>
      <c r="H59" s="22" t="s">
        <v>27</v>
      </c>
      <c r="I59" s="38">
        <v>2195</v>
      </c>
      <c r="J59" s="38">
        <v>1975</v>
      </c>
      <c r="K59" s="38">
        <v>1680</v>
      </c>
      <c r="L59" s="45">
        <v>3120</v>
      </c>
      <c r="M59" s="30">
        <v>2810</v>
      </c>
      <c r="N59" s="46">
        <v>2810</v>
      </c>
      <c r="O59" s="46">
        <v>2535</v>
      </c>
      <c r="P59" s="46">
        <v>2160</v>
      </c>
      <c r="Q59" s="38">
        <v>7</v>
      </c>
      <c r="R59" s="39">
        <f t="shared" si="0"/>
        <v>0.703525641025641</v>
      </c>
      <c r="S59" s="38">
        <v>3</v>
      </c>
      <c r="T59" s="39">
        <f t="shared" si="2"/>
        <v>0.900641025641026</v>
      </c>
      <c r="U59" s="22" t="s">
        <v>167</v>
      </c>
    </row>
    <row r="60" ht="25" customHeight="1" spans="1:21">
      <c r="A60" s="17">
        <v>57</v>
      </c>
      <c r="B60" s="22" t="s">
        <v>175</v>
      </c>
      <c r="C60" s="22">
        <v>330202012</v>
      </c>
      <c r="D60" s="22" t="s">
        <v>176</v>
      </c>
      <c r="E60" s="27" t="s">
        <v>26</v>
      </c>
      <c r="F60" s="27" t="s">
        <v>26</v>
      </c>
      <c r="G60" s="27" t="s">
        <v>26</v>
      </c>
      <c r="H60" s="22" t="s">
        <v>27</v>
      </c>
      <c r="I60" s="38">
        <v>1690</v>
      </c>
      <c r="J60" s="38">
        <v>1520</v>
      </c>
      <c r="K60" s="38">
        <v>1290</v>
      </c>
      <c r="L60" s="45">
        <v>2400</v>
      </c>
      <c r="M60" s="30">
        <v>2160</v>
      </c>
      <c r="N60" s="46">
        <v>2160</v>
      </c>
      <c r="O60" s="46">
        <v>1950</v>
      </c>
      <c r="P60" s="46">
        <v>1660</v>
      </c>
      <c r="Q60" s="38">
        <v>7</v>
      </c>
      <c r="R60" s="39">
        <f t="shared" si="0"/>
        <v>0.704166666666667</v>
      </c>
      <c r="S60" s="38">
        <v>2</v>
      </c>
      <c r="T60" s="39">
        <f t="shared" si="2"/>
        <v>0.9</v>
      </c>
      <c r="U60" s="22" t="s">
        <v>167</v>
      </c>
    </row>
    <row r="61" ht="25" customHeight="1" spans="1:21">
      <c r="A61" s="17">
        <v>58</v>
      </c>
      <c r="B61" s="22" t="s">
        <v>177</v>
      </c>
      <c r="C61" s="22">
        <v>33020201201</v>
      </c>
      <c r="D61" s="22" t="s">
        <v>178</v>
      </c>
      <c r="E61" s="27" t="s">
        <v>26</v>
      </c>
      <c r="F61" s="27" t="s">
        <v>26</v>
      </c>
      <c r="G61" s="27" t="s">
        <v>26</v>
      </c>
      <c r="H61" s="22" t="s">
        <v>27</v>
      </c>
      <c r="I61" s="38">
        <v>2195</v>
      </c>
      <c r="J61" s="38">
        <v>1975</v>
      </c>
      <c r="K61" s="38">
        <v>1680</v>
      </c>
      <c r="L61" s="45">
        <v>3120</v>
      </c>
      <c r="M61" s="30">
        <v>2810</v>
      </c>
      <c r="N61" s="46">
        <v>2810</v>
      </c>
      <c r="O61" s="46">
        <v>2535</v>
      </c>
      <c r="P61" s="46">
        <v>2160</v>
      </c>
      <c r="Q61" s="38">
        <v>7</v>
      </c>
      <c r="R61" s="39">
        <f t="shared" si="0"/>
        <v>0.703525641025641</v>
      </c>
      <c r="S61" s="38">
        <v>2</v>
      </c>
      <c r="T61" s="39">
        <f t="shared" si="2"/>
        <v>0.900641025641026</v>
      </c>
      <c r="U61" s="22" t="s">
        <v>167</v>
      </c>
    </row>
    <row r="62" ht="25" customHeight="1" spans="1:21">
      <c r="A62" s="17">
        <v>59</v>
      </c>
      <c r="B62" s="22" t="s">
        <v>179</v>
      </c>
      <c r="C62" s="22">
        <v>330202013</v>
      </c>
      <c r="D62" s="22" t="s">
        <v>180</v>
      </c>
      <c r="E62" s="27" t="s">
        <v>26</v>
      </c>
      <c r="F62" s="27" t="s">
        <v>26</v>
      </c>
      <c r="G62" s="27" t="s">
        <v>26</v>
      </c>
      <c r="H62" s="22" t="s">
        <v>27</v>
      </c>
      <c r="I62" s="38">
        <v>1690</v>
      </c>
      <c r="J62" s="38">
        <v>1520</v>
      </c>
      <c r="K62" s="38">
        <v>1290</v>
      </c>
      <c r="L62" s="45">
        <v>2400</v>
      </c>
      <c r="M62" s="30">
        <v>2160</v>
      </c>
      <c r="N62" s="46">
        <v>2160</v>
      </c>
      <c r="O62" s="46">
        <v>1950</v>
      </c>
      <c r="P62" s="46">
        <v>1660</v>
      </c>
      <c r="Q62" s="38">
        <v>7</v>
      </c>
      <c r="R62" s="39">
        <f t="shared" si="0"/>
        <v>0.704166666666667</v>
      </c>
      <c r="S62" s="38">
        <v>2</v>
      </c>
      <c r="T62" s="39">
        <f t="shared" si="2"/>
        <v>0.9</v>
      </c>
      <c r="U62" s="22" t="s">
        <v>167</v>
      </c>
    </row>
    <row r="63" ht="25" customHeight="1" spans="1:21">
      <c r="A63" s="17">
        <v>60</v>
      </c>
      <c r="B63" s="22" t="s">
        <v>181</v>
      </c>
      <c r="C63" s="22">
        <v>33020201301</v>
      </c>
      <c r="D63" s="22" t="s">
        <v>182</v>
      </c>
      <c r="E63" s="27" t="s">
        <v>26</v>
      </c>
      <c r="F63" s="27" t="s">
        <v>26</v>
      </c>
      <c r="G63" s="27" t="s">
        <v>26</v>
      </c>
      <c r="H63" s="22" t="s">
        <v>27</v>
      </c>
      <c r="I63" s="38">
        <v>2195</v>
      </c>
      <c r="J63" s="38">
        <v>1975</v>
      </c>
      <c r="K63" s="38">
        <v>1680</v>
      </c>
      <c r="L63" s="45">
        <v>3120</v>
      </c>
      <c r="M63" s="30">
        <v>2810</v>
      </c>
      <c r="N63" s="46">
        <v>2810</v>
      </c>
      <c r="O63" s="46">
        <v>2535</v>
      </c>
      <c r="P63" s="46">
        <v>2160</v>
      </c>
      <c r="Q63" s="38">
        <v>7</v>
      </c>
      <c r="R63" s="39">
        <f t="shared" si="0"/>
        <v>0.703525641025641</v>
      </c>
      <c r="S63" s="38">
        <v>2</v>
      </c>
      <c r="T63" s="39">
        <f t="shared" si="2"/>
        <v>0.900641025641026</v>
      </c>
      <c r="U63" s="22" t="s">
        <v>167</v>
      </c>
    </row>
    <row r="64" ht="25" customHeight="1" spans="1:21">
      <c r="A64" s="17">
        <v>61</v>
      </c>
      <c r="B64" s="22" t="s">
        <v>183</v>
      </c>
      <c r="C64" s="22">
        <v>330204008</v>
      </c>
      <c r="D64" s="22" t="s">
        <v>184</v>
      </c>
      <c r="E64" s="27" t="s">
        <v>185</v>
      </c>
      <c r="F64" s="27" t="s">
        <v>26</v>
      </c>
      <c r="G64" s="27" t="s">
        <v>26</v>
      </c>
      <c r="H64" s="22" t="s">
        <v>27</v>
      </c>
      <c r="I64" s="38">
        <v>2500</v>
      </c>
      <c r="J64" s="38">
        <v>2400</v>
      </c>
      <c r="K64" s="38">
        <v>2040</v>
      </c>
      <c r="L64" s="45">
        <v>3510</v>
      </c>
      <c r="M64" s="30">
        <v>3160</v>
      </c>
      <c r="N64" s="46">
        <v>3160</v>
      </c>
      <c r="O64" s="46">
        <v>2850</v>
      </c>
      <c r="P64" s="46">
        <v>2420</v>
      </c>
      <c r="Q64" s="38">
        <v>7</v>
      </c>
      <c r="R64" s="39">
        <f t="shared" ref="R64:R127" si="3">I64/L64</f>
        <v>0.712250712250712</v>
      </c>
      <c r="S64" s="38">
        <v>3</v>
      </c>
      <c r="T64" s="39">
        <f t="shared" ref="T64:T93" si="4">N64/L64</f>
        <v>0.9002849002849</v>
      </c>
      <c r="U64" s="22" t="s">
        <v>167</v>
      </c>
    </row>
    <row r="65" ht="25" customHeight="1" spans="1:21">
      <c r="A65" s="17">
        <v>62</v>
      </c>
      <c r="B65" s="22" t="s">
        <v>186</v>
      </c>
      <c r="C65" s="22">
        <v>33020400801</v>
      </c>
      <c r="D65" s="22" t="s">
        <v>187</v>
      </c>
      <c r="E65" s="27" t="s">
        <v>26</v>
      </c>
      <c r="F65" s="27" t="s">
        <v>26</v>
      </c>
      <c r="G65" s="27" t="s">
        <v>26</v>
      </c>
      <c r="H65" s="22" t="s">
        <v>27</v>
      </c>
      <c r="I65" s="38">
        <v>3250</v>
      </c>
      <c r="J65" s="38">
        <v>3120</v>
      </c>
      <c r="K65" s="38">
        <v>2650</v>
      </c>
      <c r="L65" s="45">
        <v>4560</v>
      </c>
      <c r="M65" s="30">
        <v>4110</v>
      </c>
      <c r="N65" s="46">
        <v>4110</v>
      </c>
      <c r="O65" s="46">
        <v>3705</v>
      </c>
      <c r="P65" s="46">
        <v>3145</v>
      </c>
      <c r="Q65" s="38">
        <v>7</v>
      </c>
      <c r="R65" s="39">
        <f t="shared" si="3"/>
        <v>0.712719298245614</v>
      </c>
      <c r="S65" s="38">
        <v>2</v>
      </c>
      <c r="T65" s="39">
        <f t="shared" si="4"/>
        <v>0.901315789473684</v>
      </c>
      <c r="U65" s="22" t="s">
        <v>167</v>
      </c>
    </row>
    <row r="66" ht="25" customHeight="1" spans="1:21">
      <c r="A66" s="17">
        <v>63</v>
      </c>
      <c r="B66" s="22" t="s">
        <v>188</v>
      </c>
      <c r="C66" s="22">
        <v>330204009</v>
      </c>
      <c r="D66" s="22" t="s">
        <v>189</v>
      </c>
      <c r="E66" s="27" t="s">
        <v>190</v>
      </c>
      <c r="F66" s="27" t="s">
        <v>26</v>
      </c>
      <c r="G66" s="27" t="s">
        <v>191</v>
      </c>
      <c r="H66" s="22" t="s">
        <v>27</v>
      </c>
      <c r="I66" s="38">
        <v>2500</v>
      </c>
      <c r="J66" s="38">
        <v>2400</v>
      </c>
      <c r="K66" s="38">
        <v>2040</v>
      </c>
      <c r="L66" s="45">
        <v>3510</v>
      </c>
      <c r="M66" s="30">
        <v>3160</v>
      </c>
      <c r="N66" s="46">
        <v>3160</v>
      </c>
      <c r="O66" s="46">
        <v>2850</v>
      </c>
      <c r="P66" s="46">
        <v>2420</v>
      </c>
      <c r="Q66" s="38">
        <v>7</v>
      </c>
      <c r="R66" s="39">
        <f t="shared" si="3"/>
        <v>0.712250712250712</v>
      </c>
      <c r="S66" s="38">
        <v>3</v>
      </c>
      <c r="T66" s="39">
        <f t="shared" si="4"/>
        <v>0.9002849002849</v>
      </c>
      <c r="U66" s="22" t="s">
        <v>167</v>
      </c>
    </row>
    <row r="67" ht="25" customHeight="1" spans="1:21">
      <c r="A67" s="17">
        <v>64</v>
      </c>
      <c r="B67" s="22" t="s">
        <v>192</v>
      </c>
      <c r="C67" s="22">
        <v>33020400901</v>
      </c>
      <c r="D67" s="22" t="s">
        <v>193</v>
      </c>
      <c r="E67" s="27" t="s">
        <v>26</v>
      </c>
      <c r="F67" s="27" t="s">
        <v>26</v>
      </c>
      <c r="G67" s="27" t="s">
        <v>194</v>
      </c>
      <c r="H67" s="22" t="s">
        <v>27</v>
      </c>
      <c r="I67" s="38">
        <v>2875</v>
      </c>
      <c r="J67" s="38">
        <v>2760</v>
      </c>
      <c r="K67" s="38">
        <v>2346</v>
      </c>
      <c r="L67" s="45">
        <v>4030</v>
      </c>
      <c r="M67" s="30">
        <v>3630</v>
      </c>
      <c r="N67" s="46">
        <v>3630</v>
      </c>
      <c r="O67" s="46">
        <v>3270</v>
      </c>
      <c r="P67" s="46">
        <v>2780</v>
      </c>
      <c r="Q67" s="38">
        <v>8</v>
      </c>
      <c r="R67" s="39">
        <f t="shared" si="3"/>
        <v>0.713399503722084</v>
      </c>
      <c r="S67" s="38">
        <v>3</v>
      </c>
      <c r="T67" s="39">
        <f t="shared" si="4"/>
        <v>0.900744416873449</v>
      </c>
      <c r="U67" s="22" t="s">
        <v>167</v>
      </c>
    </row>
    <row r="68" ht="25" customHeight="1" spans="1:21">
      <c r="A68" s="17">
        <v>65</v>
      </c>
      <c r="B68" s="22" t="s">
        <v>195</v>
      </c>
      <c r="C68" s="22">
        <v>33020400902</v>
      </c>
      <c r="D68" s="22" t="s">
        <v>196</v>
      </c>
      <c r="E68" s="27" t="s">
        <v>26</v>
      </c>
      <c r="F68" s="27" t="s">
        <v>26</v>
      </c>
      <c r="G68" s="27" t="s">
        <v>26</v>
      </c>
      <c r="H68" s="22" t="s">
        <v>27</v>
      </c>
      <c r="I68" s="38">
        <v>3250</v>
      </c>
      <c r="J68" s="38">
        <v>3120</v>
      </c>
      <c r="K68" s="38">
        <v>2650</v>
      </c>
      <c r="L68" s="45">
        <v>4560</v>
      </c>
      <c r="M68" s="30">
        <v>4110</v>
      </c>
      <c r="N68" s="46">
        <v>4110</v>
      </c>
      <c r="O68" s="46">
        <v>3705</v>
      </c>
      <c r="P68" s="46">
        <v>3145</v>
      </c>
      <c r="Q68" s="38">
        <v>7</v>
      </c>
      <c r="R68" s="39">
        <f t="shared" si="3"/>
        <v>0.712719298245614</v>
      </c>
      <c r="S68" s="38">
        <v>2</v>
      </c>
      <c r="T68" s="39">
        <f t="shared" si="4"/>
        <v>0.901315789473684</v>
      </c>
      <c r="U68" s="22" t="s">
        <v>167</v>
      </c>
    </row>
    <row r="69" ht="25" customHeight="1" spans="1:21">
      <c r="A69" s="17">
        <v>66</v>
      </c>
      <c r="B69" s="22" t="s">
        <v>197</v>
      </c>
      <c r="C69" s="22">
        <v>33020400903</v>
      </c>
      <c r="D69" s="22" t="s">
        <v>198</v>
      </c>
      <c r="E69" s="27" t="s">
        <v>26</v>
      </c>
      <c r="F69" s="27" t="s">
        <v>26</v>
      </c>
      <c r="G69" s="27" t="s">
        <v>194</v>
      </c>
      <c r="H69" s="22" t="s">
        <v>27</v>
      </c>
      <c r="I69" s="38">
        <v>3740</v>
      </c>
      <c r="J69" s="38">
        <v>3590</v>
      </c>
      <c r="K69" s="38">
        <v>3050</v>
      </c>
      <c r="L69" s="45">
        <v>5240</v>
      </c>
      <c r="M69" s="30">
        <v>4720</v>
      </c>
      <c r="N69" s="46">
        <v>4730</v>
      </c>
      <c r="O69" s="46">
        <v>4250</v>
      </c>
      <c r="P69" s="46">
        <v>3615</v>
      </c>
      <c r="Q69" s="38">
        <v>8</v>
      </c>
      <c r="R69" s="39">
        <f t="shared" si="3"/>
        <v>0.713740458015267</v>
      </c>
      <c r="S69" s="38">
        <v>2</v>
      </c>
      <c r="T69" s="39">
        <f t="shared" si="4"/>
        <v>0.902671755725191</v>
      </c>
      <c r="U69" s="22" t="s">
        <v>167</v>
      </c>
    </row>
    <row r="70" ht="25" customHeight="1" spans="1:21">
      <c r="A70" s="17">
        <v>67</v>
      </c>
      <c r="B70" s="22" t="s">
        <v>199</v>
      </c>
      <c r="C70" s="22">
        <v>330204017</v>
      </c>
      <c r="D70" s="22" t="s">
        <v>200</v>
      </c>
      <c r="E70" s="27" t="s">
        <v>26</v>
      </c>
      <c r="F70" s="27" t="s">
        <v>26</v>
      </c>
      <c r="G70" s="27" t="s">
        <v>26</v>
      </c>
      <c r="H70" s="22" t="s">
        <v>27</v>
      </c>
      <c r="I70" s="38">
        <v>1875</v>
      </c>
      <c r="J70" s="38">
        <v>1800</v>
      </c>
      <c r="K70" s="38">
        <v>1530</v>
      </c>
      <c r="L70" s="45">
        <v>2640</v>
      </c>
      <c r="M70" s="30">
        <v>2360</v>
      </c>
      <c r="N70" s="46">
        <v>2375</v>
      </c>
      <c r="O70" s="46">
        <v>2140</v>
      </c>
      <c r="P70" s="46">
        <v>1820</v>
      </c>
      <c r="Q70" s="38">
        <v>8</v>
      </c>
      <c r="R70" s="39">
        <f t="shared" si="3"/>
        <v>0.710227272727273</v>
      </c>
      <c r="S70" s="38">
        <v>3</v>
      </c>
      <c r="T70" s="39">
        <f t="shared" si="4"/>
        <v>0.899621212121212</v>
      </c>
      <c r="U70" s="22" t="s">
        <v>167</v>
      </c>
    </row>
    <row r="71" ht="25" customHeight="1" spans="1:21">
      <c r="A71" s="17">
        <v>68</v>
      </c>
      <c r="B71" s="22" t="s">
        <v>201</v>
      </c>
      <c r="C71" s="22">
        <v>33020401701</v>
      </c>
      <c r="D71" s="22" t="s">
        <v>202</v>
      </c>
      <c r="E71" s="27" t="s">
        <v>26</v>
      </c>
      <c r="F71" s="27" t="s">
        <v>26</v>
      </c>
      <c r="G71" s="27" t="s">
        <v>26</v>
      </c>
      <c r="H71" s="22" t="s">
        <v>27</v>
      </c>
      <c r="I71" s="38">
        <v>2440</v>
      </c>
      <c r="J71" s="38">
        <v>2340</v>
      </c>
      <c r="K71" s="38">
        <v>1990</v>
      </c>
      <c r="L71" s="45">
        <v>3430</v>
      </c>
      <c r="M71" s="30">
        <v>3070</v>
      </c>
      <c r="N71" s="46">
        <v>3090</v>
      </c>
      <c r="O71" s="46">
        <v>2780</v>
      </c>
      <c r="P71" s="46">
        <v>2365</v>
      </c>
      <c r="Q71" s="38">
        <v>7</v>
      </c>
      <c r="R71" s="39">
        <f t="shared" si="3"/>
        <v>0.711370262390671</v>
      </c>
      <c r="S71" s="38">
        <v>2</v>
      </c>
      <c r="T71" s="39">
        <f t="shared" si="4"/>
        <v>0.900874635568513</v>
      </c>
      <c r="U71" s="22" t="s">
        <v>167</v>
      </c>
    </row>
    <row r="72" ht="25" customHeight="1" spans="1:21">
      <c r="A72" s="17">
        <v>69</v>
      </c>
      <c r="B72" s="22" t="s">
        <v>203</v>
      </c>
      <c r="C72" s="22">
        <v>330204018</v>
      </c>
      <c r="D72" s="22" t="s">
        <v>204</v>
      </c>
      <c r="E72" s="27" t="s">
        <v>26</v>
      </c>
      <c r="F72" s="27" t="s">
        <v>26</v>
      </c>
      <c r="G72" s="27" t="s">
        <v>26</v>
      </c>
      <c r="H72" s="22" t="s">
        <v>27</v>
      </c>
      <c r="I72" s="38">
        <v>625</v>
      </c>
      <c r="J72" s="38">
        <v>600</v>
      </c>
      <c r="K72" s="38">
        <v>510</v>
      </c>
      <c r="L72" s="45">
        <v>880</v>
      </c>
      <c r="M72" s="30">
        <v>790</v>
      </c>
      <c r="N72" s="46">
        <v>795</v>
      </c>
      <c r="O72" s="46">
        <v>715</v>
      </c>
      <c r="P72" s="46">
        <v>605</v>
      </c>
      <c r="Q72" s="38">
        <v>8</v>
      </c>
      <c r="R72" s="39">
        <f t="shared" si="3"/>
        <v>0.710227272727273</v>
      </c>
      <c r="S72" s="38">
        <v>3</v>
      </c>
      <c r="T72" s="39">
        <f t="shared" si="4"/>
        <v>0.903409090909091</v>
      </c>
      <c r="U72" s="22" t="s">
        <v>167</v>
      </c>
    </row>
    <row r="73" ht="25" customHeight="1" spans="1:21">
      <c r="A73" s="17">
        <v>70</v>
      </c>
      <c r="B73" s="22" t="s">
        <v>205</v>
      </c>
      <c r="C73" s="22">
        <v>33020401801</v>
      </c>
      <c r="D73" s="22" t="s">
        <v>206</v>
      </c>
      <c r="E73" s="27" t="s">
        <v>26</v>
      </c>
      <c r="F73" s="27" t="s">
        <v>26</v>
      </c>
      <c r="G73" s="27" t="s">
        <v>26</v>
      </c>
      <c r="H73" s="22" t="s">
        <v>27</v>
      </c>
      <c r="I73" s="38">
        <v>815</v>
      </c>
      <c r="J73" s="38">
        <v>780</v>
      </c>
      <c r="K73" s="38">
        <v>665</v>
      </c>
      <c r="L73" s="45">
        <v>1140</v>
      </c>
      <c r="M73" s="30">
        <v>1030</v>
      </c>
      <c r="N73" s="46">
        <v>1035</v>
      </c>
      <c r="O73" s="46">
        <v>930</v>
      </c>
      <c r="P73" s="46">
        <v>785</v>
      </c>
      <c r="Q73" s="38">
        <v>8</v>
      </c>
      <c r="R73" s="39">
        <f t="shared" si="3"/>
        <v>0.714912280701754</v>
      </c>
      <c r="S73" s="38">
        <v>2</v>
      </c>
      <c r="T73" s="39">
        <f t="shared" si="4"/>
        <v>0.907894736842105</v>
      </c>
      <c r="U73" s="22" t="s">
        <v>167</v>
      </c>
    </row>
    <row r="74" ht="25" customHeight="1" spans="1:21">
      <c r="A74" s="17">
        <v>71</v>
      </c>
      <c r="B74" s="22" t="s">
        <v>207</v>
      </c>
      <c r="C74" s="22">
        <v>330501018</v>
      </c>
      <c r="D74" s="22" t="s">
        <v>208</v>
      </c>
      <c r="E74" s="27" t="s">
        <v>209</v>
      </c>
      <c r="F74" s="27" t="s">
        <v>26</v>
      </c>
      <c r="G74" s="27" t="s">
        <v>26</v>
      </c>
      <c r="H74" s="22" t="s">
        <v>27</v>
      </c>
      <c r="I74" s="38">
        <v>1690</v>
      </c>
      <c r="J74" s="38">
        <v>1520</v>
      </c>
      <c r="K74" s="38">
        <v>1290</v>
      </c>
      <c r="L74" s="45">
        <v>2300</v>
      </c>
      <c r="M74" s="30">
        <v>2070</v>
      </c>
      <c r="N74" s="46">
        <v>2070</v>
      </c>
      <c r="O74" s="46">
        <v>1865</v>
      </c>
      <c r="P74" s="46">
        <v>1585</v>
      </c>
      <c r="Q74" s="38">
        <v>5</v>
      </c>
      <c r="R74" s="39">
        <f t="shared" si="3"/>
        <v>0.734782608695652</v>
      </c>
      <c r="S74" s="38">
        <v>2</v>
      </c>
      <c r="T74" s="39">
        <f t="shared" si="4"/>
        <v>0.9</v>
      </c>
      <c r="U74" s="22" t="s">
        <v>167</v>
      </c>
    </row>
    <row r="75" ht="25" customHeight="1" spans="1:21">
      <c r="A75" s="17">
        <v>72</v>
      </c>
      <c r="B75" s="22" t="s">
        <v>210</v>
      </c>
      <c r="C75" s="22">
        <v>33050101801</v>
      </c>
      <c r="D75" s="22" t="s">
        <v>211</v>
      </c>
      <c r="E75" s="27" t="s">
        <v>26</v>
      </c>
      <c r="F75" s="27" t="s">
        <v>26</v>
      </c>
      <c r="G75" s="27" t="s">
        <v>26</v>
      </c>
      <c r="H75" s="22" t="s">
        <v>27</v>
      </c>
      <c r="I75" s="38">
        <v>2195</v>
      </c>
      <c r="J75" s="38">
        <v>1975</v>
      </c>
      <c r="K75" s="38">
        <v>1680</v>
      </c>
      <c r="L75" s="45">
        <v>2990</v>
      </c>
      <c r="M75" s="30">
        <v>2700</v>
      </c>
      <c r="N75" s="46">
        <v>2690</v>
      </c>
      <c r="O75" s="46">
        <v>2425</v>
      </c>
      <c r="P75" s="46">
        <v>2060</v>
      </c>
      <c r="Q75" s="38">
        <v>5</v>
      </c>
      <c r="R75" s="39">
        <f t="shared" si="3"/>
        <v>0.734113712374582</v>
      </c>
      <c r="S75" s="38">
        <v>4</v>
      </c>
      <c r="T75" s="39">
        <f t="shared" si="4"/>
        <v>0.899665551839465</v>
      </c>
      <c r="U75" s="22" t="s">
        <v>167</v>
      </c>
    </row>
    <row r="76" ht="25" customHeight="1" spans="1:21">
      <c r="A76" s="17">
        <v>73</v>
      </c>
      <c r="B76" s="22" t="s">
        <v>212</v>
      </c>
      <c r="C76" s="22">
        <v>330702006</v>
      </c>
      <c r="D76" s="22" t="s">
        <v>213</v>
      </c>
      <c r="E76" s="27" t="s">
        <v>214</v>
      </c>
      <c r="F76" s="27" t="s">
        <v>26</v>
      </c>
      <c r="G76" s="27" t="s">
        <v>215</v>
      </c>
      <c r="H76" s="22" t="s">
        <v>27</v>
      </c>
      <c r="I76" s="38">
        <v>2530</v>
      </c>
      <c r="J76" s="38">
        <v>2280</v>
      </c>
      <c r="K76" s="38">
        <v>1940</v>
      </c>
      <c r="L76" s="45">
        <v>3450</v>
      </c>
      <c r="M76" s="30">
        <v>3110</v>
      </c>
      <c r="N76" s="46">
        <v>3110</v>
      </c>
      <c r="O76" s="46">
        <v>2800</v>
      </c>
      <c r="P76" s="46">
        <v>2380</v>
      </c>
      <c r="Q76" s="38">
        <v>6</v>
      </c>
      <c r="R76" s="39">
        <f t="shared" si="3"/>
        <v>0.733333333333333</v>
      </c>
      <c r="S76" s="38">
        <v>2</v>
      </c>
      <c r="T76" s="39">
        <f t="shared" si="4"/>
        <v>0.901449275362319</v>
      </c>
      <c r="U76" s="22" t="s">
        <v>167</v>
      </c>
    </row>
    <row r="77" ht="25" customHeight="1" spans="1:21">
      <c r="A77" s="17">
        <v>74</v>
      </c>
      <c r="B77" s="22" t="s">
        <v>216</v>
      </c>
      <c r="C77" s="22">
        <v>33070200601</v>
      </c>
      <c r="D77" s="22" t="s">
        <v>217</v>
      </c>
      <c r="E77" s="27" t="s">
        <v>26</v>
      </c>
      <c r="F77" s="27" t="s">
        <v>26</v>
      </c>
      <c r="G77" s="27" t="s">
        <v>218</v>
      </c>
      <c r="H77" s="22" t="s">
        <v>27</v>
      </c>
      <c r="I77" s="38">
        <v>3240</v>
      </c>
      <c r="J77" s="38">
        <v>2920</v>
      </c>
      <c r="K77" s="38">
        <v>2480</v>
      </c>
      <c r="L77" s="45">
        <v>5180</v>
      </c>
      <c r="M77" s="30">
        <v>4660</v>
      </c>
      <c r="N77" s="46">
        <v>4665</v>
      </c>
      <c r="O77" s="46">
        <v>4200</v>
      </c>
      <c r="P77" s="46">
        <v>3570</v>
      </c>
      <c r="Q77" s="38">
        <v>5</v>
      </c>
      <c r="R77" s="39">
        <f t="shared" si="3"/>
        <v>0.625482625482625</v>
      </c>
      <c r="S77" s="38">
        <v>2</v>
      </c>
      <c r="T77" s="39">
        <f t="shared" si="4"/>
        <v>0.900579150579151</v>
      </c>
      <c r="U77" s="22" t="s">
        <v>167</v>
      </c>
    </row>
    <row r="78" ht="25" customHeight="1" spans="1:21">
      <c r="A78" s="17">
        <v>75</v>
      </c>
      <c r="B78" s="22" t="s">
        <v>219</v>
      </c>
      <c r="C78" s="22">
        <v>33070200602</v>
      </c>
      <c r="D78" s="22" t="s">
        <v>220</v>
      </c>
      <c r="E78" s="27" t="s">
        <v>26</v>
      </c>
      <c r="F78" s="27" t="s">
        <v>26</v>
      </c>
      <c r="G78" s="27" t="s">
        <v>26</v>
      </c>
      <c r="H78" s="22" t="s">
        <v>27</v>
      </c>
      <c r="I78" s="38">
        <v>3290</v>
      </c>
      <c r="J78" s="38">
        <v>2965</v>
      </c>
      <c r="K78" s="38">
        <v>2520</v>
      </c>
      <c r="L78" s="45">
        <v>4490</v>
      </c>
      <c r="M78" s="30">
        <v>4040</v>
      </c>
      <c r="N78" s="46">
        <v>4045</v>
      </c>
      <c r="O78" s="46">
        <v>3640</v>
      </c>
      <c r="P78" s="46">
        <v>3095</v>
      </c>
      <c r="Q78" s="38">
        <v>5</v>
      </c>
      <c r="R78" s="39">
        <f t="shared" si="3"/>
        <v>0.732739420935412</v>
      </c>
      <c r="S78" s="38">
        <v>2</v>
      </c>
      <c r="T78" s="39">
        <f t="shared" si="4"/>
        <v>0.900890868596882</v>
      </c>
      <c r="U78" s="22" t="s">
        <v>167</v>
      </c>
    </row>
    <row r="79" ht="25" customHeight="1" spans="1:21">
      <c r="A79" s="17">
        <v>76</v>
      </c>
      <c r="B79" s="22" t="s">
        <v>221</v>
      </c>
      <c r="C79" s="22">
        <v>33070200603</v>
      </c>
      <c r="D79" s="22" t="s">
        <v>222</v>
      </c>
      <c r="E79" s="27" t="s">
        <v>26</v>
      </c>
      <c r="F79" s="27" t="s">
        <v>26</v>
      </c>
      <c r="G79" s="27" t="s">
        <v>218</v>
      </c>
      <c r="H79" s="22" t="s">
        <v>27</v>
      </c>
      <c r="I79" s="38">
        <v>4210</v>
      </c>
      <c r="J79" s="38">
        <v>3795</v>
      </c>
      <c r="K79" s="38">
        <v>3225</v>
      </c>
      <c r="L79" s="45">
        <v>6740</v>
      </c>
      <c r="M79" s="30">
        <v>6060</v>
      </c>
      <c r="N79" s="46">
        <v>6065</v>
      </c>
      <c r="O79" s="46">
        <v>5460</v>
      </c>
      <c r="P79" s="46">
        <v>4640</v>
      </c>
      <c r="Q79" s="38">
        <v>5</v>
      </c>
      <c r="R79" s="39">
        <f t="shared" si="3"/>
        <v>0.624629080118694</v>
      </c>
      <c r="S79" s="38">
        <v>2</v>
      </c>
      <c r="T79" s="39">
        <f t="shared" si="4"/>
        <v>0.899851632047478</v>
      </c>
      <c r="U79" s="22" t="s">
        <v>167</v>
      </c>
    </row>
    <row r="80" ht="25" customHeight="1" spans="1:21">
      <c r="A80" s="17">
        <v>77</v>
      </c>
      <c r="B80" s="22" t="s">
        <v>223</v>
      </c>
      <c r="C80" s="22">
        <v>33070200604</v>
      </c>
      <c r="D80" s="22" t="s">
        <v>224</v>
      </c>
      <c r="E80" s="27" t="s">
        <v>26</v>
      </c>
      <c r="F80" s="27" t="s">
        <v>26</v>
      </c>
      <c r="G80" s="27" t="s">
        <v>26</v>
      </c>
      <c r="H80" s="22" t="s">
        <v>27</v>
      </c>
      <c r="I80" s="38">
        <v>3155</v>
      </c>
      <c r="J80" s="38">
        <v>2880</v>
      </c>
      <c r="K80" s="38">
        <v>2450</v>
      </c>
      <c r="L80" s="45">
        <v>4250</v>
      </c>
      <c r="M80" s="30">
        <v>3310</v>
      </c>
      <c r="N80" s="46">
        <v>3735</v>
      </c>
      <c r="O80" s="46">
        <v>3400</v>
      </c>
      <c r="P80" s="46">
        <v>2890</v>
      </c>
      <c r="Q80" s="38">
        <v>5</v>
      </c>
      <c r="R80" s="39">
        <f t="shared" si="3"/>
        <v>0.742352941176471</v>
      </c>
      <c r="S80" s="38">
        <v>3</v>
      </c>
      <c r="T80" s="39">
        <f t="shared" si="4"/>
        <v>0.878823529411765</v>
      </c>
      <c r="U80" s="22" t="s">
        <v>167</v>
      </c>
    </row>
    <row r="81" ht="25" customHeight="1" spans="1:21">
      <c r="A81" s="17">
        <v>78</v>
      </c>
      <c r="B81" s="22" t="s">
        <v>225</v>
      </c>
      <c r="C81" s="22">
        <v>33070200605</v>
      </c>
      <c r="D81" s="22" t="s">
        <v>226</v>
      </c>
      <c r="E81" s="27" t="s">
        <v>26</v>
      </c>
      <c r="F81" s="27" t="s">
        <v>26</v>
      </c>
      <c r="G81" s="27" t="s">
        <v>218</v>
      </c>
      <c r="H81" s="22" t="s">
        <v>27</v>
      </c>
      <c r="I81" s="38">
        <v>3865</v>
      </c>
      <c r="J81" s="38">
        <v>3520</v>
      </c>
      <c r="K81" s="38">
        <v>2990</v>
      </c>
      <c r="L81" s="45">
        <v>5980</v>
      </c>
      <c r="M81" s="30">
        <v>4605</v>
      </c>
      <c r="N81" s="46">
        <v>5290</v>
      </c>
      <c r="O81" s="46">
        <v>4800</v>
      </c>
      <c r="P81" s="46">
        <v>4080</v>
      </c>
      <c r="Q81" s="38">
        <v>5</v>
      </c>
      <c r="R81" s="39">
        <f t="shared" si="3"/>
        <v>0.646321070234114</v>
      </c>
      <c r="S81" s="38">
        <v>2</v>
      </c>
      <c r="T81" s="39">
        <f t="shared" si="4"/>
        <v>0.884615384615385</v>
      </c>
      <c r="U81" s="22" t="s">
        <v>167</v>
      </c>
    </row>
    <row r="82" ht="25" customHeight="1" spans="1:21">
      <c r="A82" s="17">
        <v>79</v>
      </c>
      <c r="B82" s="22" t="s">
        <v>227</v>
      </c>
      <c r="C82" s="22">
        <v>33070200606</v>
      </c>
      <c r="D82" s="22" t="s">
        <v>228</v>
      </c>
      <c r="E82" s="27" t="s">
        <v>26</v>
      </c>
      <c r="F82" s="27" t="s">
        <v>26</v>
      </c>
      <c r="G82" s="27" t="s">
        <v>26</v>
      </c>
      <c r="H82" s="22" t="s">
        <v>27</v>
      </c>
      <c r="I82" s="38">
        <v>3915</v>
      </c>
      <c r="J82" s="38">
        <v>3565</v>
      </c>
      <c r="K82" s="38">
        <v>3030</v>
      </c>
      <c r="L82" s="45">
        <v>5290</v>
      </c>
      <c r="M82" s="30">
        <v>4085</v>
      </c>
      <c r="N82" s="46">
        <v>4670</v>
      </c>
      <c r="O82" s="46">
        <v>4240</v>
      </c>
      <c r="P82" s="46">
        <v>3605</v>
      </c>
      <c r="Q82" s="38">
        <v>5</v>
      </c>
      <c r="R82" s="39">
        <f t="shared" si="3"/>
        <v>0.74007561436673</v>
      </c>
      <c r="S82" s="38">
        <v>2</v>
      </c>
      <c r="T82" s="39">
        <f t="shared" si="4"/>
        <v>0.882797731568998</v>
      </c>
      <c r="U82" s="22" t="s">
        <v>167</v>
      </c>
    </row>
    <row r="83" ht="25" customHeight="1" spans="1:21">
      <c r="A83" s="17">
        <v>80</v>
      </c>
      <c r="B83" s="22" t="s">
        <v>229</v>
      </c>
      <c r="C83" s="22">
        <v>33070200607</v>
      </c>
      <c r="D83" s="22" t="s">
        <v>230</v>
      </c>
      <c r="E83" s="27" t="s">
        <v>26</v>
      </c>
      <c r="F83" s="27" t="s">
        <v>26</v>
      </c>
      <c r="G83" s="27" t="s">
        <v>218</v>
      </c>
      <c r="H83" s="22" t="s">
        <v>27</v>
      </c>
      <c r="I83" s="38">
        <v>4835</v>
      </c>
      <c r="J83" s="38">
        <v>4395</v>
      </c>
      <c r="K83" s="38">
        <v>3735</v>
      </c>
      <c r="L83" s="45">
        <v>7540</v>
      </c>
      <c r="M83" s="30">
        <v>5770</v>
      </c>
      <c r="N83" s="46">
        <v>6690</v>
      </c>
      <c r="O83" s="46">
        <v>6060</v>
      </c>
      <c r="P83" s="46">
        <v>5150</v>
      </c>
      <c r="Q83" s="38">
        <v>5</v>
      </c>
      <c r="R83" s="39">
        <f t="shared" si="3"/>
        <v>0.641246684350133</v>
      </c>
      <c r="S83" s="38">
        <v>2</v>
      </c>
      <c r="T83" s="39">
        <f t="shared" si="4"/>
        <v>0.887267904509284</v>
      </c>
      <c r="U83" s="22" t="s">
        <v>167</v>
      </c>
    </row>
    <row r="84" ht="25" customHeight="1" spans="1:21">
      <c r="A84" s="17">
        <v>81</v>
      </c>
      <c r="B84" s="18" t="s">
        <v>231</v>
      </c>
      <c r="C84" s="19">
        <v>330801026</v>
      </c>
      <c r="D84" s="20" t="s">
        <v>232</v>
      </c>
      <c r="E84" s="27" t="s">
        <v>233</v>
      </c>
      <c r="F84" s="27" t="s">
        <v>26</v>
      </c>
      <c r="G84" s="27" t="s">
        <v>26</v>
      </c>
      <c r="H84" s="20" t="s">
        <v>27</v>
      </c>
      <c r="I84" s="20">
        <v>11140</v>
      </c>
      <c r="J84" s="20">
        <v>10030</v>
      </c>
      <c r="K84" s="20">
        <v>8530</v>
      </c>
      <c r="L84" s="30">
        <v>16200</v>
      </c>
      <c r="M84" s="30">
        <v>13610</v>
      </c>
      <c r="N84" s="35">
        <v>15000</v>
      </c>
      <c r="O84" s="35">
        <v>13500</v>
      </c>
      <c r="P84" s="35">
        <v>11475</v>
      </c>
      <c r="Q84" s="38">
        <v>8</v>
      </c>
      <c r="R84" s="39">
        <f t="shared" si="3"/>
        <v>0.687654320987654</v>
      </c>
      <c r="S84" s="38">
        <v>4</v>
      </c>
      <c r="T84" s="39">
        <f t="shared" si="4"/>
        <v>0.925925925925926</v>
      </c>
      <c r="U84" s="22" t="s">
        <v>167</v>
      </c>
    </row>
    <row r="85" ht="25" customHeight="1" spans="1:21">
      <c r="A85" s="17">
        <v>82</v>
      </c>
      <c r="B85" s="18" t="s">
        <v>234</v>
      </c>
      <c r="C85" s="19">
        <v>33080102601</v>
      </c>
      <c r="D85" s="20" t="s">
        <v>235</v>
      </c>
      <c r="E85" s="27" t="s">
        <v>26</v>
      </c>
      <c r="F85" s="27" t="s">
        <v>26</v>
      </c>
      <c r="G85" s="27" t="s">
        <v>26</v>
      </c>
      <c r="H85" s="20" t="s">
        <v>27</v>
      </c>
      <c r="I85" s="20">
        <v>14480</v>
      </c>
      <c r="J85" s="20">
        <v>13040</v>
      </c>
      <c r="K85" s="20">
        <v>11085</v>
      </c>
      <c r="L85" s="30">
        <v>21060</v>
      </c>
      <c r="M85" s="30">
        <v>17695</v>
      </c>
      <c r="N85" s="35">
        <v>19500</v>
      </c>
      <c r="O85" s="35">
        <v>17550</v>
      </c>
      <c r="P85" s="35">
        <v>14920</v>
      </c>
      <c r="Q85" s="38">
        <v>8</v>
      </c>
      <c r="R85" s="39">
        <f t="shared" si="3"/>
        <v>0.687559354226021</v>
      </c>
      <c r="S85" s="38">
        <v>3</v>
      </c>
      <c r="T85" s="39">
        <f t="shared" si="4"/>
        <v>0.925925925925926</v>
      </c>
      <c r="U85" s="22" t="s">
        <v>167</v>
      </c>
    </row>
    <row r="86" ht="25" customHeight="1" spans="1:21">
      <c r="A86" s="17">
        <v>83</v>
      </c>
      <c r="B86" s="22" t="s">
        <v>236</v>
      </c>
      <c r="C86" s="22">
        <v>331003020</v>
      </c>
      <c r="D86" s="22" t="s">
        <v>237</v>
      </c>
      <c r="E86" s="27" t="s">
        <v>238</v>
      </c>
      <c r="F86" s="27" t="s">
        <v>239</v>
      </c>
      <c r="G86" s="27" t="s">
        <v>26</v>
      </c>
      <c r="H86" s="22" t="s">
        <v>27</v>
      </c>
      <c r="I86" s="38">
        <v>2700</v>
      </c>
      <c r="J86" s="38">
        <v>2430</v>
      </c>
      <c r="K86" s="38">
        <v>2070</v>
      </c>
      <c r="L86" s="45">
        <v>3680</v>
      </c>
      <c r="M86" s="30">
        <v>3310</v>
      </c>
      <c r="N86" s="46">
        <v>3315</v>
      </c>
      <c r="O86" s="46">
        <v>2980</v>
      </c>
      <c r="P86" s="46">
        <v>2535</v>
      </c>
      <c r="Q86" s="38">
        <v>6</v>
      </c>
      <c r="R86" s="39">
        <f t="shared" si="3"/>
        <v>0.733695652173913</v>
      </c>
      <c r="S86" s="38">
        <v>3</v>
      </c>
      <c r="T86" s="39">
        <f t="shared" si="4"/>
        <v>0.900815217391304</v>
      </c>
      <c r="U86" s="22" t="s">
        <v>167</v>
      </c>
    </row>
    <row r="87" ht="25" customHeight="1" spans="1:21">
      <c r="A87" s="17">
        <v>84</v>
      </c>
      <c r="B87" s="22" t="s">
        <v>240</v>
      </c>
      <c r="C87" s="22">
        <v>33100302001</v>
      </c>
      <c r="D87" s="22" t="s">
        <v>241</v>
      </c>
      <c r="E87" s="27" t="s">
        <v>26</v>
      </c>
      <c r="F87" s="27" t="s">
        <v>26</v>
      </c>
      <c r="G87" s="27" t="s">
        <v>26</v>
      </c>
      <c r="H87" s="22" t="s">
        <v>27</v>
      </c>
      <c r="I87" s="38">
        <v>3510</v>
      </c>
      <c r="J87" s="38">
        <v>3160</v>
      </c>
      <c r="K87" s="38">
        <v>2685</v>
      </c>
      <c r="L87" s="45">
        <v>4790</v>
      </c>
      <c r="M87" s="30">
        <v>4310</v>
      </c>
      <c r="N87" s="46">
        <v>4310</v>
      </c>
      <c r="O87" s="46">
        <v>3875</v>
      </c>
      <c r="P87" s="46">
        <v>3295</v>
      </c>
      <c r="Q87" s="38">
        <v>5</v>
      </c>
      <c r="R87" s="39">
        <f t="shared" si="3"/>
        <v>0.732776617954071</v>
      </c>
      <c r="S87" s="38">
        <v>4</v>
      </c>
      <c r="T87" s="39">
        <f t="shared" si="4"/>
        <v>0.899791231732777</v>
      </c>
      <c r="U87" s="22" t="s">
        <v>167</v>
      </c>
    </row>
    <row r="88" ht="25" customHeight="1" spans="1:21">
      <c r="A88" s="17">
        <v>85</v>
      </c>
      <c r="B88" s="22" t="s">
        <v>242</v>
      </c>
      <c r="C88" s="22">
        <v>33100302002</v>
      </c>
      <c r="D88" s="22" t="s">
        <v>243</v>
      </c>
      <c r="E88" s="27" t="s">
        <v>26</v>
      </c>
      <c r="F88" s="27" t="s">
        <v>26</v>
      </c>
      <c r="G88" s="27" t="s">
        <v>26</v>
      </c>
      <c r="H88" s="22" t="s">
        <v>27</v>
      </c>
      <c r="I88" s="38">
        <v>3325</v>
      </c>
      <c r="J88" s="38">
        <v>3030</v>
      </c>
      <c r="K88" s="38">
        <v>2580</v>
      </c>
      <c r="L88" s="45">
        <v>4640</v>
      </c>
      <c r="M88" s="30">
        <v>4170</v>
      </c>
      <c r="N88" s="46">
        <v>3940</v>
      </c>
      <c r="O88" s="46">
        <v>3580</v>
      </c>
      <c r="P88" s="46">
        <v>3045</v>
      </c>
      <c r="Q88" s="38">
        <v>7</v>
      </c>
      <c r="R88" s="39">
        <f t="shared" si="3"/>
        <v>0.716594827586207</v>
      </c>
      <c r="S88" s="38">
        <v>5</v>
      </c>
      <c r="T88" s="39">
        <f t="shared" si="4"/>
        <v>0.849137931034483</v>
      </c>
      <c r="U88" s="22" t="s">
        <v>167</v>
      </c>
    </row>
    <row r="89" ht="25" customHeight="1" spans="1:21">
      <c r="A89" s="17">
        <v>86</v>
      </c>
      <c r="B89" s="22" t="s">
        <v>244</v>
      </c>
      <c r="C89" s="22">
        <v>33100302003</v>
      </c>
      <c r="D89" s="22" t="s">
        <v>245</v>
      </c>
      <c r="E89" s="27" t="s">
        <v>26</v>
      </c>
      <c r="F89" s="27" t="s">
        <v>26</v>
      </c>
      <c r="G89" s="27" t="s">
        <v>26</v>
      </c>
      <c r="H89" s="22" t="s">
        <v>27</v>
      </c>
      <c r="I89" s="38">
        <v>4135</v>
      </c>
      <c r="J89" s="38">
        <v>3760</v>
      </c>
      <c r="K89" s="38">
        <v>3195</v>
      </c>
      <c r="L89" s="45">
        <v>5750</v>
      </c>
      <c r="M89" s="30">
        <v>5170</v>
      </c>
      <c r="N89" s="46">
        <v>4935</v>
      </c>
      <c r="O89" s="46">
        <v>4475</v>
      </c>
      <c r="P89" s="46">
        <v>3805</v>
      </c>
      <c r="Q89" s="38">
        <v>5</v>
      </c>
      <c r="R89" s="39">
        <f t="shared" si="3"/>
        <v>0.719130434782609</v>
      </c>
      <c r="S89" s="38">
        <v>5</v>
      </c>
      <c r="T89" s="39">
        <f t="shared" si="4"/>
        <v>0.858260869565217</v>
      </c>
      <c r="U89" s="22" t="s">
        <v>167</v>
      </c>
    </row>
    <row r="90" ht="25" customHeight="1" spans="1:21">
      <c r="A90" s="17">
        <v>87</v>
      </c>
      <c r="B90" s="22" t="s">
        <v>246</v>
      </c>
      <c r="C90" s="22">
        <v>331006004</v>
      </c>
      <c r="D90" s="22" t="s">
        <v>247</v>
      </c>
      <c r="E90" s="27" t="s">
        <v>248</v>
      </c>
      <c r="F90" s="27" t="s">
        <v>26</v>
      </c>
      <c r="G90" s="27" t="s">
        <v>26</v>
      </c>
      <c r="H90" s="22" t="s">
        <v>27</v>
      </c>
      <c r="I90" s="38">
        <v>3880</v>
      </c>
      <c r="J90" s="38">
        <v>3490</v>
      </c>
      <c r="K90" s="38">
        <v>2970</v>
      </c>
      <c r="L90" s="45">
        <v>5300</v>
      </c>
      <c r="M90" s="30">
        <v>4760</v>
      </c>
      <c r="N90" s="46">
        <v>4770</v>
      </c>
      <c r="O90" s="46">
        <v>4295</v>
      </c>
      <c r="P90" s="46">
        <v>3650</v>
      </c>
      <c r="Q90" s="38">
        <v>6</v>
      </c>
      <c r="R90" s="39">
        <f t="shared" si="3"/>
        <v>0.732075471698113</v>
      </c>
      <c r="S90" s="38">
        <v>2</v>
      </c>
      <c r="T90" s="39">
        <f t="shared" si="4"/>
        <v>0.9</v>
      </c>
      <c r="U90" s="22" t="s">
        <v>167</v>
      </c>
    </row>
    <row r="91" ht="25" customHeight="1" spans="1:21">
      <c r="A91" s="17">
        <v>88</v>
      </c>
      <c r="B91" s="22" t="s">
        <v>249</v>
      </c>
      <c r="C91" s="22">
        <v>33100600401</v>
      </c>
      <c r="D91" s="22" t="s">
        <v>250</v>
      </c>
      <c r="E91" s="27" t="s">
        <v>26</v>
      </c>
      <c r="F91" s="27" t="s">
        <v>26</v>
      </c>
      <c r="G91" s="27" t="s">
        <v>26</v>
      </c>
      <c r="H91" s="22" t="s">
        <v>27</v>
      </c>
      <c r="I91" s="38">
        <v>5045</v>
      </c>
      <c r="J91" s="38">
        <v>4535</v>
      </c>
      <c r="K91" s="38">
        <v>3855</v>
      </c>
      <c r="L91" s="45">
        <v>6890</v>
      </c>
      <c r="M91" s="30">
        <v>6190</v>
      </c>
      <c r="N91" s="46">
        <v>6200</v>
      </c>
      <c r="O91" s="46">
        <v>5585</v>
      </c>
      <c r="P91" s="46">
        <v>4745</v>
      </c>
      <c r="Q91" s="38">
        <v>6</v>
      </c>
      <c r="R91" s="39">
        <f t="shared" si="3"/>
        <v>0.7322206095791</v>
      </c>
      <c r="S91" s="38">
        <v>3</v>
      </c>
      <c r="T91" s="39">
        <f t="shared" si="4"/>
        <v>0.899854862119013</v>
      </c>
      <c r="U91" s="22" t="s">
        <v>167</v>
      </c>
    </row>
    <row r="92" ht="25" customHeight="1" spans="1:21">
      <c r="A92" s="17">
        <v>89</v>
      </c>
      <c r="B92" s="22" t="s">
        <v>251</v>
      </c>
      <c r="C92" s="22">
        <v>33100600402</v>
      </c>
      <c r="D92" s="22" t="s">
        <v>252</v>
      </c>
      <c r="E92" s="27" t="s">
        <v>26</v>
      </c>
      <c r="F92" s="27" t="s">
        <v>26</v>
      </c>
      <c r="G92" s="27" t="s">
        <v>26</v>
      </c>
      <c r="H92" s="22" t="s">
        <v>27</v>
      </c>
      <c r="I92" s="38">
        <v>4505</v>
      </c>
      <c r="J92" s="38">
        <v>4090</v>
      </c>
      <c r="K92" s="38">
        <v>3480</v>
      </c>
      <c r="L92" s="45">
        <v>6000</v>
      </c>
      <c r="M92" s="30">
        <v>5390</v>
      </c>
      <c r="N92" s="46">
        <v>5395</v>
      </c>
      <c r="O92" s="46">
        <v>4895</v>
      </c>
      <c r="P92" s="46">
        <v>4160</v>
      </c>
      <c r="Q92" s="38">
        <v>5</v>
      </c>
      <c r="R92" s="39">
        <f t="shared" si="3"/>
        <v>0.750833333333333</v>
      </c>
      <c r="S92" s="38">
        <v>3</v>
      </c>
      <c r="T92" s="39">
        <f t="shared" si="4"/>
        <v>0.899166666666667</v>
      </c>
      <c r="U92" s="22" t="s">
        <v>167</v>
      </c>
    </row>
    <row r="93" ht="25" customHeight="1" spans="1:21">
      <c r="A93" s="17">
        <v>90</v>
      </c>
      <c r="B93" s="22" t="s">
        <v>253</v>
      </c>
      <c r="C93" s="22">
        <v>33100600403</v>
      </c>
      <c r="D93" s="22" t="s">
        <v>254</v>
      </c>
      <c r="E93" s="27" t="s">
        <v>26</v>
      </c>
      <c r="F93" s="27" t="s">
        <v>26</v>
      </c>
      <c r="G93" s="27" t="s">
        <v>26</v>
      </c>
      <c r="H93" s="22" t="s">
        <v>27</v>
      </c>
      <c r="I93" s="38">
        <v>5670</v>
      </c>
      <c r="J93" s="38">
        <v>5135</v>
      </c>
      <c r="K93" s="38">
        <v>4365</v>
      </c>
      <c r="L93" s="45">
        <v>7520</v>
      </c>
      <c r="M93" s="30">
        <v>6760</v>
      </c>
      <c r="N93" s="46">
        <v>6825</v>
      </c>
      <c r="O93" s="46">
        <v>6185</v>
      </c>
      <c r="P93" s="46">
        <v>5255</v>
      </c>
      <c r="Q93" s="38">
        <v>5</v>
      </c>
      <c r="R93" s="39">
        <f t="shared" si="3"/>
        <v>0.753989361702128</v>
      </c>
      <c r="S93" s="38">
        <v>2</v>
      </c>
      <c r="T93" s="39">
        <f t="shared" si="4"/>
        <v>0.907579787234043</v>
      </c>
      <c r="U93" s="22" t="s">
        <v>167</v>
      </c>
    </row>
    <row r="94" ht="25" hidden="1" customHeight="1" spans="1:21">
      <c r="A94" s="17"/>
      <c r="B94" s="22" t="s">
        <v>255</v>
      </c>
      <c r="C94" s="22">
        <v>331201006</v>
      </c>
      <c r="D94" s="22" t="s">
        <v>256</v>
      </c>
      <c r="E94" s="27" t="s">
        <v>26</v>
      </c>
      <c r="F94" s="27" t="s">
        <v>26</v>
      </c>
      <c r="G94" s="27" t="s">
        <v>257</v>
      </c>
      <c r="H94" s="22" t="s">
        <v>27</v>
      </c>
      <c r="I94" s="38">
        <v>2530</v>
      </c>
      <c r="J94" s="38">
        <v>2280</v>
      </c>
      <c r="K94" s="38">
        <v>1940</v>
      </c>
      <c r="L94" s="45"/>
      <c r="M94" s="30"/>
      <c r="N94" s="46"/>
      <c r="O94" s="46"/>
      <c r="P94" s="46"/>
      <c r="Q94" s="38"/>
      <c r="R94" s="39"/>
      <c r="S94" s="38"/>
      <c r="T94" s="39"/>
      <c r="U94" s="22" t="s">
        <v>258</v>
      </c>
    </row>
    <row r="95" ht="25" customHeight="1" spans="1:21">
      <c r="A95" s="17">
        <v>91</v>
      </c>
      <c r="B95" s="22" t="s">
        <v>259</v>
      </c>
      <c r="C95" s="22">
        <v>33120100601</v>
      </c>
      <c r="D95" s="22" t="s">
        <v>260</v>
      </c>
      <c r="E95" s="27" t="s">
        <v>26</v>
      </c>
      <c r="F95" s="27" t="s">
        <v>26</v>
      </c>
      <c r="G95" s="27" t="s">
        <v>261</v>
      </c>
      <c r="H95" s="22" t="s">
        <v>27</v>
      </c>
      <c r="I95" s="38">
        <v>3020</v>
      </c>
      <c r="J95" s="38">
        <v>2720</v>
      </c>
      <c r="K95" s="38">
        <v>2310</v>
      </c>
      <c r="L95" s="45">
        <v>4040</v>
      </c>
      <c r="M95" s="30">
        <v>3630</v>
      </c>
      <c r="N95" s="46">
        <v>3635</v>
      </c>
      <c r="O95" s="46">
        <v>3270</v>
      </c>
      <c r="P95" s="46">
        <v>2780</v>
      </c>
      <c r="Q95" s="38">
        <v>6</v>
      </c>
      <c r="R95" s="39">
        <f t="shared" si="3"/>
        <v>0.747524752475248</v>
      </c>
      <c r="S95" s="38">
        <v>5</v>
      </c>
      <c r="T95" s="39">
        <f t="shared" ref="T95:T155" si="5">N95/L95</f>
        <v>0.899752475247525</v>
      </c>
      <c r="U95" s="22" t="s">
        <v>167</v>
      </c>
    </row>
    <row r="96" ht="25" customHeight="1" spans="1:21">
      <c r="A96" s="17">
        <v>92</v>
      </c>
      <c r="B96" s="22" t="s">
        <v>262</v>
      </c>
      <c r="C96" s="22">
        <v>33120100604</v>
      </c>
      <c r="D96" s="22" t="s">
        <v>263</v>
      </c>
      <c r="E96" s="27" t="s">
        <v>26</v>
      </c>
      <c r="F96" s="27" t="s">
        <v>26</v>
      </c>
      <c r="G96" s="27" t="s">
        <v>261</v>
      </c>
      <c r="H96" s="22" t="s">
        <v>27</v>
      </c>
      <c r="I96" s="38">
        <v>3925</v>
      </c>
      <c r="J96" s="38">
        <v>3535</v>
      </c>
      <c r="K96" s="38">
        <v>3005</v>
      </c>
      <c r="L96" s="45">
        <v>5250</v>
      </c>
      <c r="M96" s="30">
        <v>4720</v>
      </c>
      <c r="N96" s="46">
        <v>4725</v>
      </c>
      <c r="O96" s="46">
        <v>4250</v>
      </c>
      <c r="P96" s="46">
        <v>3615</v>
      </c>
      <c r="Q96" s="38">
        <v>5</v>
      </c>
      <c r="R96" s="39">
        <f t="shared" si="3"/>
        <v>0.747619047619048</v>
      </c>
      <c r="S96" s="38">
        <v>5</v>
      </c>
      <c r="T96" s="39">
        <f t="shared" si="5"/>
        <v>0.9</v>
      </c>
      <c r="U96" s="22" t="s">
        <v>167</v>
      </c>
    </row>
    <row r="97" ht="25" customHeight="1" spans="1:21">
      <c r="A97" s="17">
        <v>93</v>
      </c>
      <c r="B97" s="22" t="s">
        <v>264</v>
      </c>
      <c r="C97" s="22">
        <v>331501036</v>
      </c>
      <c r="D97" s="22" t="s">
        <v>265</v>
      </c>
      <c r="E97" s="27" t="s">
        <v>266</v>
      </c>
      <c r="F97" s="27" t="s">
        <v>26</v>
      </c>
      <c r="G97" s="27" t="s">
        <v>267</v>
      </c>
      <c r="H97" s="22" t="s">
        <v>268</v>
      </c>
      <c r="I97" s="38">
        <v>2530</v>
      </c>
      <c r="J97" s="38">
        <v>2280</v>
      </c>
      <c r="K97" s="38">
        <v>1940</v>
      </c>
      <c r="L97" s="45">
        <v>3310</v>
      </c>
      <c r="M97" s="30">
        <v>2980</v>
      </c>
      <c r="N97" s="46">
        <v>2760</v>
      </c>
      <c r="O97" s="46">
        <v>2485</v>
      </c>
      <c r="P97" s="46">
        <v>2115</v>
      </c>
      <c r="Q97" s="38">
        <v>7</v>
      </c>
      <c r="R97" s="39">
        <f t="shared" si="3"/>
        <v>0.764350453172205</v>
      </c>
      <c r="S97" s="38">
        <v>6</v>
      </c>
      <c r="T97" s="39">
        <f t="shared" si="5"/>
        <v>0.833836858006042</v>
      </c>
      <c r="U97" s="22" t="s">
        <v>167</v>
      </c>
    </row>
    <row r="98" ht="25" customHeight="1" spans="1:21">
      <c r="A98" s="17">
        <v>94</v>
      </c>
      <c r="B98" s="22" t="s">
        <v>269</v>
      </c>
      <c r="C98" s="22">
        <v>33150103601</v>
      </c>
      <c r="D98" s="22" t="s">
        <v>270</v>
      </c>
      <c r="E98" s="27" t="s">
        <v>26</v>
      </c>
      <c r="F98" s="27"/>
      <c r="G98" s="27" t="s">
        <v>271</v>
      </c>
      <c r="H98" s="22" t="s">
        <v>268</v>
      </c>
      <c r="I98" s="38">
        <v>3250</v>
      </c>
      <c r="J98" s="38">
        <v>2930</v>
      </c>
      <c r="K98" s="38">
        <v>2495</v>
      </c>
      <c r="L98" s="45">
        <v>4230</v>
      </c>
      <c r="M98" s="30">
        <v>3810</v>
      </c>
      <c r="N98" s="46">
        <v>3590</v>
      </c>
      <c r="O98" s="46">
        <v>3230</v>
      </c>
      <c r="P98" s="46">
        <v>2750</v>
      </c>
      <c r="Q98" s="38">
        <v>6</v>
      </c>
      <c r="R98" s="39">
        <f t="shared" si="3"/>
        <v>0.768321513002364</v>
      </c>
      <c r="S98" s="38">
        <v>6</v>
      </c>
      <c r="T98" s="39">
        <f t="shared" si="5"/>
        <v>0.848699763593381</v>
      </c>
      <c r="U98" s="22" t="s">
        <v>167</v>
      </c>
    </row>
    <row r="99" ht="25" customHeight="1" spans="1:21">
      <c r="A99" s="17">
        <v>95</v>
      </c>
      <c r="B99" s="22" t="s">
        <v>272</v>
      </c>
      <c r="C99" s="22">
        <v>33150103602</v>
      </c>
      <c r="D99" s="22" t="s">
        <v>273</v>
      </c>
      <c r="E99" s="27" t="s">
        <v>26</v>
      </c>
      <c r="F99" s="27"/>
      <c r="G99" s="27" t="s">
        <v>274</v>
      </c>
      <c r="H99" s="22" t="s">
        <v>268</v>
      </c>
      <c r="I99" s="38">
        <v>2530</v>
      </c>
      <c r="J99" s="38">
        <v>2280</v>
      </c>
      <c r="K99" s="38">
        <v>1940</v>
      </c>
      <c r="L99" s="45">
        <v>2760</v>
      </c>
      <c r="M99" s="30">
        <v>2490</v>
      </c>
      <c r="N99" s="46">
        <v>2760</v>
      </c>
      <c r="O99" s="46">
        <v>2485</v>
      </c>
      <c r="P99" s="46">
        <v>2115</v>
      </c>
      <c r="Q99" s="38">
        <v>7</v>
      </c>
      <c r="R99" s="39">
        <f t="shared" si="3"/>
        <v>0.916666666666667</v>
      </c>
      <c r="S99" s="38">
        <v>3</v>
      </c>
      <c r="T99" s="39">
        <f t="shared" si="5"/>
        <v>1</v>
      </c>
      <c r="U99" s="22" t="s">
        <v>167</v>
      </c>
    </row>
    <row r="100" ht="25" customHeight="1" spans="1:21">
      <c r="A100" s="17">
        <v>96</v>
      </c>
      <c r="B100" s="22" t="s">
        <v>275</v>
      </c>
      <c r="C100" s="22">
        <v>33150103603</v>
      </c>
      <c r="D100" s="22" t="s">
        <v>276</v>
      </c>
      <c r="E100" s="27" t="s">
        <v>26</v>
      </c>
      <c r="F100" s="27" t="s">
        <v>26</v>
      </c>
      <c r="G100" s="27" t="s">
        <v>26</v>
      </c>
      <c r="H100" s="22" t="s">
        <v>268</v>
      </c>
      <c r="I100" s="38">
        <v>3290</v>
      </c>
      <c r="J100" s="38">
        <v>2965</v>
      </c>
      <c r="K100" s="38">
        <v>2520</v>
      </c>
      <c r="L100" s="45">
        <v>4310</v>
      </c>
      <c r="M100" s="30">
        <v>3870</v>
      </c>
      <c r="N100" s="46">
        <v>3590</v>
      </c>
      <c r="O100" s="46">
        <v>3230</v>
      </c>
      <c r="P100" s="46">
        <v>2750</v>
      </c>
      <c r="Q100" s="38">
        <v>5</v>
      </c>
      <c r="R100" s="39">
        <f t="shared" si="3"/>
        <v>0.763341067285383</v>
      </c>
      <c r="S100" s="38">
        <v>5</v>
      </c>
      <c r="T100" s="39">
        <f t="shared" si="5"/>
        <v>0.832946635730858</v>
      </c>
      <c r="U100" s="22" t="s">
        <v>167</v>
      </c>
    </row>
    <row r="101" ht="25" customHeight="1" spans="1:21">
      <c r="A101" s="17">
        <v>97</v>
      </c>
      <c r="B101" s="22" t="s">
        <v>277</v>
      </c>
      <c r="C101" s="22">
        <v>33150103604</v>
      </c>
      <c r="D101" s="22" t="s">
        <v>278</v>
      </c>
      <c r="E101" s="27" t="s">
        <v>26</v>
      </c>
      <c r="F101" s="27" t="s">
        <v>26</v>
      </c>
      <c r="G101" s="27" t="s">
        <v>271</v>
      </c>
      <c r="H101" s="22" t="s">
        <v>268</v>
      </c>
      <c r="I101" s="38">
        <v>4225</v>
      </c>
      <c r="J101" s="38">
        <v>3810</v>
      </c>
      <c r="K101" s="38">
        <v>3240</v>
      </c>
      <c r="L101" s="45">
        <v>5500</v>
      </c>
      <c r="M101" s="30">
        <v>4950</v>
      </c>
      <c r="N101" s="46">
        <v>4665</v>
      </c>
      <c r="O101" s="46">
        <v>4200</v>
      </c>
      <c r="P101" s="46">
        <v>3575</v>
      </c>
      <c r="Q101" s="38">
        <v>5</v>
      </c>
      <c r="R101" s="39">
        <f t="shared" si="3"/>
        <v>0.768181818181818</v>
      </c>
      <c r="S101" s="38">
        <v>5</v>
      </c>
      <c r="T101" s="39">
        <f t="shared" si="5"/>
        <v>0.848181818181818</v>
      </c>
      <c r="U101" s="22" t="s">
        <v>167</v>
      </c>
    </row>
    <row r="102" ht="25" customHeight="1" spans="1:21">
      <c r="A102" s="17">
        <v>98</v>
      </c>
      <c r="B102" s="22" t="s">
        <v>279</v>
      </c>
      <c r="C102" s="22">
        <v>33150103605</v>
      </c>
      <c r="D102" s="22" t="s">
        <v>280</v>
      </c>
      <c r="E102" s="27" t="s">
        <v>26</v>
      </c>
      <c r="F102" s="27"/>
      <c r="G102" s="27" t="s">
        <v>274</v>
      </c>
      <c r="H102" s="22" t="s">
        <v>268</v>
      </c>
      <c r="I102" s="38">
        <v>3290</v>
      </c>
      <c r="J102" s="38">
        <v>2965</v>
      </c>
      <c r="K102" s="38">
        <v>2520</v>
      </c>
      <c r="L102" s="45">
        <v>3590</v>
      </c>
      <c r="M102" s="30">
        <v>3230</v>
      </c>
      <c r="N102" s="46">
        <v>3590</v>
      </c>
      <c r="O102" s="46">
        <v>3230</v>
      </c>
      <c r="P102" s="46">
        <v>2750</v>
      </c>
      <c r="Q102" s="38">
        <v>6</v>
      </c>
      <c r="R102" s="39">
        <f t="shared" si="3"/>
        <v>0.916434540389972</v>
      </c>
      <c r="S102" s="38">
        <v>2</v>
      </c>
      <c r="T102" s="39">
        <f t="shared" si="5"/>
        <v>1</v>
      </c>
      <c r="U102" s="22" t="s">
        <v>167</v>
      </c>
    </row>
    <row r="103" ht="25" customHeight="1" spans="1:21">
      <c r="A103" s="17">
        <v>99</v>
      </c>
      <c r="B103" s="18" t="s">
        <v>281</v>
      </c>
      <c r="C103" s="19">
        <v>331501037</v>
      </c>
      <c r="D103" s="20" t="s">
        <v>282</v>
      </c>
      <c r="E103" s="27" t="s">
        <v>26</v>
      </c>
      <c r="F103" s="27" t="s">
        <v>26</v>
      </c>
      <c r="G103" s="27" t="s">
        <v>283</v>
      </c>
      <c r="H103" s="20" t="s">
        <v>268</v>
      </c>
      <c r="I103" s="20">
        <v>2700</v>
      </c>
      <c r="J103" s="20">
        <v>2430</v>
      </c>
      <c r="K103" s="20">
        <v>2070</v>
      </c>
      <c r="L103" s="30">
        <v>3530</v>
      </c>
      <c r="M103" s="30">
        <v>3180</v>
      </c>
      <c r="N103" s="35">
        <v>3200</v>
      </c>
      <c r="O103" s="35">
        <v>2880</v>
      </c>
      <c r="P103" s="35">
        <v>2425</v>
      </c>
      <c r="Q103" s="38">
        <v>9</v>
      </c>
      <c r="R103" s="39">
        <f t="shared" si="3"/>
        <v>0.764872521246459</v>
      </c>
      <c r="S103" s="38">
        <v>3</v>
      </c>
      <c r="T103" s="39">
        <f t="shared" si="5"/>
        <v>0.906515580736544</v>
      </c>
      <c r="U103" s="22" t="s">
        <v>167</v>
      </c>
    </row>
    <row r="104" ht="25" customHeight="1" spans="1:21">
      <c r="A104" s="17">
        <v>100</v>
      </c>
      <c r="B104" s="18" t="s">
        <v>284</v>
      </c>
      <c r="C104" s="19">
        <v>33150103701</v>
      </c>
      <c r="D104" s="20" t="s">
        <v>285</v>
      </c>
      <c r="E104" s="27" t="s">
        <v>26</v>
      </c>
      <c r="F104" s="27" t="s">
        <v>26</v>
      </c>
      <c r="G104" s="27" t="s">
        <v>286</v>
      </c>
      <c r="H104" s="47" t="s">
        <v>287</v>
      </c>
      <c r="I104" s="20">
        <v>3460</v>
      </c>
      <c r="J104" s="20">
        <v>3110</v>
      </c>
      <c r="K104" s="20">
        <v>2640</v>
      </c>
      <c r="L104" s="30">
        <v>5300</v>
      </c>
      <c r="M104" s="30">
        <v>4770</v>
      </c>
      <c r="N104" s="35">
        <v>4770</v>
      </c>
      <c r="O104" s="35">
        <v>4295</v>
      </c>
      <c r="P104" s="35">
        <v>3650</v>
      </c>
      <c r="Q104" s="38">
        <v>9</v>
      </c>
      <c r="R104" s="39">
        <f t="shared" si="3"/>
        <v>0.652830188679245</v>
      </c>
      <c r="S104" s="38">
        <v>3</v>
      </c>
      <c r="T104" s="39">
        <f t="shared" si="5"/>
        <v>0.9</v>
      </c>
      <c r="U104" s="22" t="s">
        <v>167</v>
      </c>
    </row>
    <row r="105" ht="25" customHeight="1" spans="1:21">
      <c r="A105" s="17">
        <v>101</v>
      </c>
      <c r="B105" s="18" t="s">
        <v>288</v>
      </c>
      <c r="C105" s="19">
        <v>33150103702</v>
      </c>
      <c r="D105" s="20" t="s">
        <v>289</v>
      </c>
      <c r="E105" s="27" t="s">
        <v>26</v>
      </c>
      <c r="F105" s="27" t="s">
        <v>26</v>
      </c>
      <c r="G105" s="27" t="s">
        <v>290</v>
      </c>
      <c r="H105" s="47" t="s">
        <v>291</v>
      </c>
      <c r="I105" s="20">
        <v>3920</v>
      </c>
      <c r="J105" s="20">
        <v>3530</v>
      </c>
      <c r="K105" s="20">
        <v>3000</v>
      </c>
      <c r="L105" s="30">
        <v>6000</v>
      </c>
      <c r="M105" s="30">
        <v>5410</v>
      </c>
      <c r="N105" s="35">
        <v>5400</v>
      </c>
      <c r="O105" s="35">
        <v>4860</v>
      </c>
      <c r="P105" s="35">
        <v>4130</v>
      </c>
      <c r="Q105" s="38">
        <v>9</v>
      </c>
      <c r="R105" s="39">
        <f t="shared" si="3"/>
        <v>0.653333333333333</v>
      </c>
      <c r="S105" s="38">
        <v>4</v>
      </c>
      <c r="T105" s="39">
        <f t="shared" si="5"/>
        <v>0.9</v>
      </c>
      <c r="U105" s="22" t="s">
        <v>167</v>
      </c>
    </row>
    <row r="106" ht="25" customHeight="1" spans="1:21">
      <c r="A106" s="17">
        <v>102</v>
      </c>
      <c r="B106" s="18" t="s">
        <v>292</v>
      </c>
      <c r="C106" s="19">
        <v>33150103703</v>
      </c>
      <c r="D106" s="20" t="s">
        <v>293</v>
      </c>
      <c r="E106" s="27" t="s">
        <v>26</v>
      </c>
      <c r="F106" s="27" t="s">
        <v>26</v>
      </c>
      <c r="G106" s="27" t="s">
        <v>26</v>
      </c>
      <c r="H106" s="20" t="s">
        <v>268</v>
      </c>
      <c r="I106" s="20">
        <v>3510</v>
      </c>
      <c r="J106" s="20">
        <v>3160</v>
      </c>
      <c r="K106" s="20">
        <v>2685</v>
      </c>
      <c r="L106" s="30">
        <v>4590</v>
      </c>
      <c r="M106" s="30">
        <v>4130</v>
      </c>
      <c r="N106" s="35">
        <v>4160</v>
      </c>
      <c r="O106" s="35">
        <v>3745</v>
      </c>
      <c r="P106" s="35">
        <v>3155</v>
      </c>
      <c r="Q106" s="38">
        <v>9</v>
      </c>
      <c r="R106" s="39">
        <f t="shared" si="3"/>
        <v>0.764705882352941</v>
      </c>
      <c r="S106" s="38">
        <v>3</v>
      </c>
      <c r="T106" s="39">
        <f t="shared" si="5"/>
        <v>0.906318082788671</v>
      </c>
      <c r="U106" s="22" t="s">
        <v>167</v>
      </c>
    </row>
    <row r="107" ht="25" customHeight="1" spans="1:21">
      <c r="A107" s="17">
        <v>103</v>
      </c>
      <c r="B107" s="18" t="s">
        <v>294</v>
      </c>
      <c r="C107" s="19">
        <v>33150103704</v>
      </c>
      <c r="D107" s="20" t="s">
        <v>295</v>
      </c>
      <c r="E107" s="27" t="s">
        <v>26</v>
      </c>
      <c r="F107" s="27" t="s">
        <v>26</v>
      </c>
      <c r="G107" s="27" t="s">
        <v>286</v>
      </c>
      <c r="H107" s="20" t="s">
        <v>287</v>
      </c>
      <c r="I107" s="20">
        <v>4500</v>
      </c>
      <c r="J107" s="20">
        <v>4045</v>
      </c>
      <c r="K107" s="20">
        <v>3440</v>
      </c>
      <c r="L107" s="30">
        <v>6890</v>
      </c>
      <c r="M107" s="30">
        <v>6190</v>
      </c>
      <c r="N107" s="35">
        <v>6200</v>
      </c>
      <c r="O107" s="35">
        <v>5585</v>
      </c>
      <c r="P107" s="35">
        <v>4745</v>
      </c>
      <c r="Q107" s="38">
        <v>9</v>
      </c>
      <c r="R107" s="39">
        <f t="shared" si="3"/>
        <v>0.653120464441219</v>
      </c>
      <c r="S107" s="38">
        <v>3</v>
      </c>
      <c r="T107" s="39">
        <f t="shared" si="5"/>
        <v>0.899854862119013</v>
      </c>
      <c r="U107" s="22" t="s">
        <v>167</v>
      </c>
    </row>
    <row r="108" ht="25" customHeight="1" spans="1:21">
      <c r="A108" s="17">
        <v>104</v>
      </c>
      <c r="B108" s="18" t="s">
        <v>296</v>
      </c>
      <c r="C108" s="19">
        <v>33150103705</v>
      </c>
      <c r="D108" s="20" t="s">
        <v>297</v>
      </c>
      <c r="E108" s="27" t="s">
        <v>26</v>
      </c>
      <c r="F108" s="27" t="s">
        <v>26</v>
      </c>
      <c r="G108" s="27" t="s">
        <v>298</v>
      </c>
      <c r="H108" s="20" t="s">
        <v>291</v>
      </c>
      <c r="I108" s="20">
        <v>5095</v>
      </c>
      <c r="J108" s="20">
        <v>4590</v>
      </c>
      <c r="K108" s="20">
        <v>3900</v>
      </c>
      <c r="L108" s="30">
        <v>7800</v>
      </c>
      <c r="M108" s="30">
        <v>7020</v>
      </c>
      <c r="N108" s="35">
        <v>7020</v>
      </c>
      <c r="O108" s="35">
        <v>6320</v>
      </c>
      <c r="P108" s="35">
        <v>5370</v>
      </c>
      <c r="Q108" s="38">
        <v>9</v>
      </c>
      <c r="R108" s="39">
        <f t="shared" si="3"/>
        <v>0.653205128205128</v>
      </c>
      <c r="S108" s="38">
        <v>3</v>
      </c>
      <c r="T108" s="39">
        <f t="shared" si="5"/>
        <v>0.9</v>
      </c>
      <c r="U108" s="22" t="s">
        <v>167</v>
      </c>
    </row>
    <row r="109" ht="25" customHeight="1" spans="1:21">
      <c r="A109" s="17">
        <v>105</v>
      </c>
      <c r="B109" s="22" t="s">
        <v>299</v>
      </c>
      <c r="C109" s="22">
        <v>331501038</v>
      </c>
      <c r="D109" s="22" t="s">
        <v>300</v>
      </c>
      <c r="E109" s="27" t="s">
        <v>301</v>
      </c>
      <c r="F109" s="27" t="s">
        <v>26</v>
      </c>
      <c r="G109" s="27" t="s">
        <v>302</v>
      </c>
      <c r="H109" s="22" t="s">
        <v>303</v>
      </c>
      <c r="I109" s="38">
        <v>1625</v>
      </c>
      <c r="J109" s="38">
        <v>1560</v>
      </c>
      <c r="K109" s="38">
        <v>1326</v>
      </c>
      <c r="L109" s="45">
        <v>2290</v>
      </c>
      <c r="M109" s="30">
        <v>2060</v>
      </c>
      <c r="N109" s="46">
        <v>2060</v>
      </c>
      <c r="O109" s="46">
        <v>1855</v>
      </c>
      <c r="P109" s="46">
        <v>1575</v>
      </c>
      <c r="Q109" s="38">
        <v>9</v>
      </c>
      <c r="R109" s="39">
        <f t="shared" si="3"/>
        <v>0.709606986899563</v>
      </c>
      <c r="S109" s="38">
        <v>4</v>
      </c>
      <c r="T109" s="39">
        <f t="shared" si="5"/>
        <v>0.899563318777293</v>
      </c>
      <c r="U109" s="22" t="s">
        <v>167</v>
      </c>
    </row>
    <row r="110" ht="25" customHeight="1" spans="1:21">
      <c r="A110" s="17">
        <v>106</v>
      </c>
      <c r="B110" s="22" t="s">
        <v>304</v>
      </c>
      <c r="C110" s="22">
        <v>33150103801</v>
      </c>
      <c r="D110" s="22" t="s">
        <v>305</v>
      </c>
      <c r="E110" s="27" t="s">
        <v>26</v>
      </c>
      <c r="F110" s="27"/>
      <c r="G110" s="27" t="s">
        <v>286</v>
      </c>
      <c r="H110" s="22" t="s">
        <v>306</v>
      </c>
      <c r="I110" s="38">
        <v>2437.5</v>
      </c>
      <c r="J110" s="38">
        <v>2340</v>
      </c>
      <c r="K110" s="38">
        <v>1989</v>
      </c>
      <c r="L110" s="45">
        <v>3420</v>
      </c>
      <c r="M110" s="30">
        <v>3080</v>
      </c>
      <c r="N110" s="46">
        <v>3090</v>
      </c>
      <c r="O110" s="46">
        <v>2782.5</v>
      </c>
      <c r="P110" s="46">
        <v>2362.5</v>
      </c>
      <c r="Q110" s="38">
        <v>7</v>
      </c>
      <c r="R110" s="39">
        <f t="shared" si="3"/>
        <v>0.712719298245614</v>
      </c>
      <c r="S110" s="38">
        <v>4</v>
      </c>
      <c r="T110" s="39">
        <f t="shared" si="5"/>
        <v>0.903508771929825</v>
      </c>
      <c r="U110" s="22" t="s">
        <v>167</v>
      </c>
    </row>
    <row r="111" ht="25" customHeight="1" spans="1:21">
      <c r="A111" s="17">
        <v>107</v>
      </c>
      <c r="B111" s="22" t="s">
        <v>307</v>
      </c>
      <c r="C111" s="22">
        <v>33150103802</v>
      </c>
      <c r="D111" s="22" t="s">
        <v>308</v>
      </c>
      <c r="E111" s="27" t="s">
        <v>26</v>
      </c>
      <c r="F111" s="27"/>
      <c r="G111" s="27" t="s">
        <v>290</v>
      </c>
      <c r="H111" s="22" t="s">
        <v>309</v>
      </c>
      <c r="I111" s="38">
        <v>2762.5</v>
      </c>
      <c r="J111" s="38">
        <v>2652</v>
      </c>
      <c r="K111" s="38">
        <v>2254.2</v>
      </c>
      <c r="L111" s="45">
        <v>3870</v>
      </c>
      <c r="M111" s="30">
        <v>3490</v>
      </c>
      <c r="N111" s="46">
        <v>3502</v>
      </c>
      <c r="O111" s="46">
        <v>3153.5</v>
      </c>
      <c r="P111" s="46">
        <v>2677.5</v>
      </c>
      <c r="Q111" s="38">
        <v>7</v>
      </c>
      <c r="R111" s="39">
        <f t="shared" si="3"/>
        <v>0.713824289405685</v>
      </c>
      <c r="S111" s="38">
        <v>4</v>
      </c>
      <c r="T111" s="39">
        <f t="shared" si="5"/>
        <v>0.904909560723514</v>
      </c>
      <c r="U111" s="22" t="s">
        <v>167</v>
      </c>
    </row>
    <row r="112" ht="25" customHeight="1" spans="1:21">
      <c r="A112" s="17">
        <v>108</v>
      </c>
      <c r="B112" s="22" t="s">
        <v>310</v>
      </c>
      <c r="C112" s="22">
        <v>33150103803</v>
      </c>
      <c r="D112" s="22" t="s">
        <v>311</v>
      </c>
      <c r="E112" s="27" t="s">
        <v>26</v>
      </c>
      <c r="F112" s="27"/>
      <c r="G112" s="27" t="s">
        <v>26</v>
      </c>
      <c r="H112" s="22" t="s">
        <v>303</v>
      </c>
      <c r="I112" s="38">
        <v>2115</v>
      </c>
      <c r="J112" s="38">
        <v>2030</v>
      </c>
      <c r="K112" s="38">
        <v>1725</v>
      </c>
      <c r="L112" s="45">
        <v>2980</v>
      </c>
      <c r="M112" s="30">
        <v>2670</v>
      </c>
      <c r="N112" s="46">
        <v>2680</v>
      </c>
      <c r="O112" s="46">
        <v>2410</v>
      </c>
      <c r="P112" s="46">
        <v>2050</v>
      </c>
      <c r="Q112" s="38">
        <v>8</v>
      </c>
      <c r="R112" s="39">
        <f t="shared" si="3"/>
        <v>0.709731543624161</v>
      </c>
      <c r="S112" s="38">
        <v>4</v>
      </c>
      <c r="T112" s="39">
        <f t="shared" si="5"/>
        <v>0.899328859060403</v>
      </c>
      <c r="U112" s="22" t="s">
        <v>167</v>
      </c>
    </row>
    <row r="113" ht="25" customHeight="1" spans="1:21">
      <c r="A113" s="17">
        <v>109</v>
      </c>
      <c r="B113" s="22" t="s">
        <v>312</v>
      </c>
      <c r="C113" s="22">
        <v>33150103804</v>
      </c>
      <c r="D113" s="22" t="s">
        <v>313</v>
      </c>
      <c r="E113" s="27" t="s">
        <v>26</v>
      </c>
      <c r="F113" s="27"/>
      <c r="G113" s="27" t="s">
        <v>286</v>
      </c>
      <c r="H113" s="22" t="s">
        <v>306</v>
      </c>
      <c r="I113" s="38">
        <v>3170</v>
      </c>
      <c r="J113" s="38">
        <v>3040</v>
      </c>
      <c r="K113" s="38">
        <v>2585</v>
      </c>
      <c r="L113" s="45">
        <v>4450</v>
      </c>
      <c r="M113" s="30">
        <v>4010</v>
      </c>
      <c r="N113" s="46">
        <v>4015</v>
      </c>
      <c r="O113" s="46">
        <v>3615</v>
      </c>
      <c r="P113" s="46">
        <v>3070</v>
      </c>
      <c r="Q113" s="38">
        <v>7</v>
      </c>
      <c r="R113" s="39">
        <f t="shared" si="3"/>
        <v>0.712359550561798</v>
      </c>
      <c r="S113" s="38">
        <v>4</v>
      </c>
      <c r="T113" s="39">
        <f t="shared" si="5"/>
        <v>0.902247191011236</v>
      </c>
      <c r="U113" s="22" t="s">
        <v>167</v>
      </c>
    </row>
    <row r="114" ht="25" customHeight="1" spans="1:21">
      <c r="A114" s="17">
        <v>110</v>
      </c>
      <c r="B114" s="22" t="s">
        <v>314</v>
      </c>
      <c r="C114" s="22">
        <v>33150103805</v>
      </c>
      <c r="D114" s="22" t="s">
        <v>315</v>
      </c>
      <c r="E114" s="27" t="s">
        <v>26</v>
      </c>
      <c r="F114" s="27"/>
      <c r="G114" s="27" t="s">
        <v>316</v>
      </c>
      <c r="H114" s="22" t="s">
        <v>309</v>
      </c>
      <c r="I114" s="38">
        <v>3590</v>
      </c>
      <c r="J114" s="38">
        <v>3450</v>
      </c>
      <c r="K114" s="38">
        <v>2935</v>
      </c>
      <c r="L114" s="45">
        <v>5030</v>
      </c>
      <c r="M114" s="30">
        <v>4540</v>
      </c>
      <c r="N114" s="46">
        <v>4555</v>
      </c>
      <c r="O114" s="46">
        <v>4100</v>
      </c>
      <c r="P114" s="46">
        <v>3480</v>
      </c>
      <c r="Q114" s="38">
        <v>7</v>
      </c>
      <c r="R114" s="39">
        <f t="shared" si="3"/>
        <v>0.713717693836978</v>
      </c>
      <c r="S114" s="38">
        <v>4</v>
      </c>
      <c r="T114" s="39">
        <f t="shared" si="5"/>
        <v>0.905566600397614</v>
      </c>
      <c r="U114" s="22" t="s">
        <v>167</v>
      </c>
    </row>
    <row r="115" ht="25" customHeight="1" spans="1:21">
      <c r="A115" s="17">
        <v>111</v>
      </c>
      <c r="B115" s="22" t="s">
        <v>317</v>
      </c>
      <c r="C115" s="22">
        <v>331501047</v>
      </c>
      <c r="D115" s="22" t="s">
        <v>318</v>
      </c>
      <c r="E115" s="27" t="s">
        <v>319</v>
      </c>
      <c r="F115" s="27"/>
      <c r="G115" s="27" t="s">
        <v>320</v>
      </c>
      <c r="H115" s="22" t="s">
        <v>27</v>
      </c>
      <c r="I115" s="38">
        <v>5320</v>
      </c>
      <c r="J115" s="38">
        <v>4790</v>
      </c>
      <c r="K115" s="38">
        <v>4070</v>
      </c>
      <c r="L115" s="45">
        <v>7250</v>
      </c>
      <c r="M115" s="30">
        <v>6090</v>
      </c>
      <c r="N115" s="46">
        <v>6525</v>
      </c>
      <c r="O115" s="46">
        <v>5875</v>
      </c>
      <c r="P115" s="46">
        <v>4990</v>
      </c>
      <c r="Q115" s="38">
        <v>4</v>
      </c>
      <c r="R115" s="39">
        <f t="shared" si="3"/>
        <v>0.733793103448276</v>
      </c>
      <c r="S115" s="38">
        <v>4</v>
      </c>
      <c r="T115" s="39">
        <f t="shared" si="5"/>
        <v>0.9</v>
      </c>
      <c r="U115" s="22" t="s">
        <v>167</v>
      </c>
    </row>
    <row r="116" ht="25" customHeight="1" spans="1:21">
      <c r="A116" s="17">
        <v>112</v>
      </c>
      <c r="B116" s="22" t="s">
        <v>321</v>
      </c>
      <c r="C116" s="22">
        <v>33150104701</v>
      </c>
      <c r="D116" s="22" t="s">
        <v>322</v>
      </c>
      <c r="E116" s="27" t="s">
        <v>26</v>
      </c>
      <c r="F116" s="27" t="s">
        <v>26</v>
      </c>
      <c r="G116" s="27" t="s">
        <v>323</v>
      </c>
      <c r="H116" s="22" t="s">
        <v>27</v>
      </c>
      <c r="I116" s="38">
        <v>1030</v>
      </c>
      <c r="J116" s="38">
        <v>925</v>
      </c>
      <c r="K116" s="38">
        <v>785</v>
      </c>
      <c r="L116" s="45">
        <v>1450</v>
      </c>
      <c r="M116" s="30">
        <v>1220</v>
      </c>
      <c r="N116" s="46">
        <v>1300</v>
      </c>
      <c r="O116" s="46">
        <v>1170</v>
      </c>
      <c r="P116" s="46">
        <v>995</v>
      </c>
      <c r="Q116" s="38">
        <v>4</v>
      </c>
      <c r="R116" s="39">
        <f t="shared" si="3"/>
        <v>0.710344827586207</v>
      </c>
      <c r="S116" s="38">
        <v>4</v>
      </c>
      <c r="T116" s="39">
        <f t="shared" si="5"/>
        <v>0.896551724137931</v>
      </c>
      <c r="U116" s="22" t="s">
        <v>167</v>
      </c>
    </row>
    <row r="117" ht="25" customHeight="1" spans="1:21">
      <c r="A117" s="17">
        <v>113</v>
      </c>
      <c r="B117" s="22" t="s">
        <v>324</v>
      </c>
      <c r="C117" s="22">
        <v>33150104702</v>
      </c>
      <c r="D117" s="22" t="s">
        <v>325</v>
      </c>
      <c r="E117" s="27" t="s">
        <v>26</v>
      </c>
      <c r="F117" s="27" t="s">
        <v>26</v>
      </c>
      <c r="G117" s="27" t="s">
        <v>326</v>
      </c>
      <c r="H117" s="22" t="s">
        <v>27</v>
      </c>
      <c r="I117" s="38">
        <v>1030</v>
      </c>
      <c r="J117" s="38">
        <v>925</v>
      </c>
      <c r="K117" s="38">
        <v>785</v>
      </c>
      <c r="L117" s="45">
        <v>1450</v>
      </c>
      <c r="M117" s="30">
        <v>1220</v>
      </c>
      <c r="N117" s="46">
        <v>1300</v>
      </c>
      <c r="O117" s="46">
        <v>1170</v>
      </c>
      <c r="P117" s="46">
        <v>995</v>
      </c>
      <c r="Q117" s="38">
        <v>4</v>
      </c>
      <c r="R117" s="39">
        <f t="shared" si="3"/>
        <v>0.710344827586207</v>
      </c>
      <c r="S117" s="38">
        <v>4</v>
      </c>
      <c r="T117" s="39">
        <f t="shared" si="5"/>
        <v>0.896551724137931</v>
      </c>
      <c r="U117" s="22" t="s">
        <v>167</v>
      </c>
    </row>
    <row r="118" ht="25" customHeight="1" spans="1:21">
      <c r="A118" s="17">
        <v>114</v>
      </c>
      <c r="B118" s="22" t="s">
        <v>327</v>
      </c>
      <c r="C118" s="22">
        <v>33150104703</v>
      </c>
      <c r="D118" s="22" t="s">
        <v>328</v>
      </c>
      <c r="E118" s="27" t="s">
        <v>26</v>
      </c>
      <c r="F118" s="27" t="s">
        <v>26</v>
      </c>
      <c r="G118" s="27" t="s">
        <v>26</v>
      </c>
      <c r="H118" s="22" t="s">
        <v>27</v>
      </c>
      <c r="I118" s="38">
        <v>6915</v>
      </c>
      <c r="J118" s="38">
        <v>6225</v>
      </c>
      <c r="K118" s="38">
        <v>5290</v>
      </c>
      <c r="L118" s="45">
        <v>9420</v>
      </c>
      <c r="M118" s="30">
        <v>7920</v>
      </c>
      <c r="N118" s="46">
        <v>8485</v>
      </c>
      <c r="O118" s="46">
        <v>7640</v>
      </c>
      <c r="P118" s="46">
        <v>6485</v>
      </c>
      <c r="Q118" s="38">
        <v>4</v>
      </c>
      <c r="R118" s="39">
        <f t="shared" si="3"/>
        <v>0.734076433121019</v>
      </c>
      <c r="S118" s="38">
        <v>3</v>
      </c>
      <c r="T118" s="39">
        <f t="shared" si="5"/>
        <v>0.900743099787686</v>
      </c>
      <c r="U118" s="22" t="s">
        <v>167</v>
      </c>
    </row>
    <row r="119" ht="25" customHeight="1" spans="1:21">
      <c r="A119" s="17">
        <v>115</v>
      </c>
      <c r="B119" s="22" t="s">
        <v>329</v>
      </c>
      <c r="C119" s="22">
        <v>33150104704</v>
      </c>
      <c r="D119" s="22" t="s">
        <v>330</v>
      </c>
      <c r="E119" s="27" t="s">
        <v>26</v>
      </c>
      <c r="F119" s="27" t="s">
        <v>26</v>
      </c>
      <c r="G119" s="27" t="s">
        <v>323</v>
      </c>
      <c r="H119" s="22" t="s">
        <v>27</v>
      </c>
      <c r="I119" s="38">
        <v>1340</v>
      </c>
      <c r="J119" s="38">
        <v>1205</v>
      </c>
      <c r="K119" s="38">
        <v>1025</v>
      </c>
      <c r="L119" s="45">
        <v>1890</v>
      </c>
      <c r="M119" s="30">
        <v>1590</v>
      </c>
      <c r="N119" s="46">
        <v>1690</v>
      </c>
      <c r="O119" s="46">
        <v>1520</v>
      </c>
      <c r="P119" s="46">
        <v>1295</v>
      </c>
      <c r="Q119" s="38">
        <v>4</v>
      </c>
      <c r="R119" s="39">
        <f t="shared" si="3"/>
        <v>0.708994708994709</v>
      </c>
      <c r="S119" s="38">
        <v>3</v>
      </c>
      <c r="T119" s="39">
        <f t="shared" si="5"/>
        <v>0.894179894179894</v>
      </c>
      <c r="U119" s="22" t="s">
        <v>167</v>
      </c>
    </row>
    <row r="120" ht="25" customHeight="1" spans="1:21">
      <c r="A120" s="17">
        <v>116</v>
      </c>
      <c r="B120" s="22" t="s">
        <v>331</v>
      </c>
      <c r="C120" s="22">
        <v>33150104705</v>
      </c>
      <c r="D120" s="22" t="s">
        <v>332</v>
      </c>
      <c r="E120" s="27" t="s">
        <v>26</v>
      </c>
      <c r="F120" s="27" t="s">
        <v>26</v>
      </c>
      <c r="G120" s="27" t="s">
        <v>326</v>
      </c>
      <c r="H120" s="22" t="s">
        <v>27</v>
      </c>
      <c r="I120" s="38">
        <v>1340</v>
      </c>
      <c r="J120" s="38">
        <v>1205</v>
      </c>
      <c r="K120" s="38">
        <v>1025</v>
      </c>
      <c r="L120" s="45">
        <v>1890</v>
      </c>
      <c r="M120" s="30">
        <v>1590</v>
      </c>
      <c r="N120" s="46">
        <v>1690</v>
      </c>
      <c r="O120" s="46">
        <v>1520</v>
      </c>
      <c r="P120" s="46">
        <v>1295</v>
      </c>
      <c r="Q120" s="38">
        <v>4</v>
      </c>
      <c r="R120" s="39">
        <f t="shared" si="3"/>
        <v>0.708994708994709</v>
      </c>
      <c r="S120" s="38">
        <v>3</v>
      </c>
      <c r="T120" s="39">
        <f t="shared" si="5"/>
        <v>0.894179894179894</v>
      </c>
      <c r="U120" s="22" t="s">
        <v>167</v>
      </c>
    </row>
    <row r="121" ht="25" customHeight="1" spans="1:21">
      <c r="A121" s="17">
        <v>117</v>
      </c>
      <c r="B121" s="22" t="s">
        <v>333</v>
      </c>
      <c r="C121" s="22">
        <v>331502009</v>
      </c>
      <c r="D121" s="22" t="s">
        <v>334</v>
      </c>
      <c r="E121" s="27" t="s">
        <v>26</v>
      </c>
      <c r="F121" s="27" t="s">
        <v>26</v>
      </c>
      <c r="G121" s="27" t="s">
        <v>26</v>
      </c>
      <c r="H121" s="22" t="s">
        <v>27</v>
      </c>
      <c r="I121" s="38">
        <v>1125</v>
      </c>
      <c r="J121" s="38">
        <v>1080</v>
      </c>
      <c r="K121" s="38">
        <v>918</v>
      </c>
      <c r="L121" s="45">
        <v>1580</v>
      </c>
      <c r="M121" s="30">
        <v>1420</v>
      </c>
      <c r="N121" s="46">
        <v>1425</v>
      </c>
      <c r="O121" s="46">
        <v>1285</v>
      </c>
      <c r="P121" s="46">
        <v>1095</v>
      </c>
      <c r="Q121" s="38">
        <v>9</v>
      </c>
      <c r="R121" s="39">
        <f t="shared" si="3"/>
        <v>0.712025316455696</v>
      </c>
      <c r="S121" s="38">
        <v>2</v>
      </c>
      <c r="T121" s="39">
        <f t="shared" si="5"/>
        <v>0.901898734177215</v>
      </c>
      <c r="U121" s="22" t="s">
        <v>167</v>
      </c>
    </row>
    <row r="122" ht="25" customHeight="1" spans="1:21">
      <c r="A122" s="17">
        <v>118</v>
      </c>
      <c r="B122" s="22" t="s">
        <v>335</v>
      </c>
      <c r="C122" s="22">
        <v>33150200901</v>
      </c>
      <c r="D122" s="22" t="s">
        <v>336</v>
      </c>
      <c r="E122" s="27" t="s">
        <v>26</v>
      </c>
      <c r="F122" s="27" t="s">
        <v>26</v>
      </c>
      <c r="G122" s="27" t="s">
        <v>26</v>
      </c>
      <c r="H122" s="22" t="s">
        <v>27</v>
      </c>
      <c r="I122" s="38">
        <v>1465</v>
      </c>
      <c r="J122" s="38">
        <v>1405</v>
      </c>
      <c r="K122" s="38">
        <v>1195</v>
      </c>
      <c r="L122" s="45">
        <v>2060</v>
      </c>
      <c r="M122" s="30">
        <v>1840</v>
      </c>
      <c r="N122" s="46">
        <v>1855</v>
      </c>
      <c r="O122" s="46">
        <v>1670</v>
      </c>
      <c r="P122" s="46">
        <v>1425</v>
      </c>
      <c r="Q122" s="38">
        <v>7</v>
      </c>
      <c r="R122" s="39">
        <f t="shared" si="3"/>
        <v>0.711165048543689</v>
      </c>
      <c r="S122" s="38">
        <v>2</v>
      </c>
      <c r="T122" s="39">
        <f t="shared" si="5"/>
        <v>0.900485436893204</v>
      </c>
      <c r="U122" s="22" t="s">
        <v>167</v>
      </c>
    </row>
    <row r="123" ht="25" customHeight="1" spans="1:21">
      <c r="A123" s="17">
        <v>119</v>
      </c>
      <c r="B123" s="22" t="s">
        <v>337</v>
      </c>
      <c r="C123" s="22">
        <v>331502010</v>
      </c>
      <c r="D123" s="22" t="s">
        <v>338</v>
      </c>
      <c r="E123" s="27" t="s">
        <v>26</v>
      </c>
      <c r="F123" s="27" t="s">
        <v>26</v>
      </c>
      <c r="G123" s="27" t="s">
        <v>26</v>
      </c>
      <c r="H123" s="22" t="s">
        <v>27</v>
      </c>
      <c r="I123" s="38">
        <v>1250</v>
      </c>
      <c r="J123" s="38">
        <v>1200</v>
      </c>
      <c r="K123" s="38">
        <v>1020</v>
      </c>
      <c r="L123" s="45">
        <v>1760</v>
      </c>
      <c r="M123" s="30">
        <v>1580</v>
      </c>
      <c r="N123" s="46">
        <v>1580</v>
      </c>
      <c r="O123" s="46">
        <v>1425</v>
      </c>
      <c r="P123" s="46">
        <v>1210</v>
      </c>
      <c r="Q123" s="38">
        <v>7</v>
      </c>
      <c r="R123" s="39">
        <f t="shared" si="3"/>
        <v>0.710227272727273</v>
      </c>
      <c r="S123" s="38">
        <v>2</v>
      </c>
      <c r="T123" s="39">
        <f t="shared" si="5"/>
        <v>0.897727272727273</v>
      </c>
      <c r="U123" s="22" t="s">
        <v>167</v>
      </c>
    </row>
    <row r="124" ht="25" customHeight="1" spans="1:21">
      <c r="A124" s="17">
        <v>120</v>
      </c>
      <c r="B124" s="22" t="s">
        <v>339</v>
      </c>
      <c r="C124" s="22">
        <v>33150201001</v>
      </c>
      <c r="D124" s="22" t="s">
        <v>340</v>
      </c>
      <c r="E124" s="27" t="s">
        <v>26</v>
      </c>
      <c r="F124" s="27" t="s">
        <v>26</v>
      </c>
      <c r="G124" s="27" t="s">
        <v>26</v>
      </c>
      <c r="H124" s="22" t="s">
        <v>27</v>
      </c>
      <c r="I124" s="38">
        <v>1625</v>
      </c>
      <c r="J124" s="38">
        <v>1560</v>
      </c>
      <c r="K124" s="38">
        <v>1325</v>
      </c>
      <c r="L124" s="45">
        <v>2280</v>
      </c>
      <c r="M124" s="30">
        <v>2050</v>
      </c>
      <c r="N124" s="46">
        <v>2055</v>
      </c>
      <c r="O124" s="46">
        <v>1855</v>
      </c>
      <c r="P124" s="46">
        <v>1575</v>
      </c>
      <c r="Q124" s="38">
        <v>7</v>
      </c>
      <c r="R124" s="39">
        <f t="shared" si="3"/>
        <v>0.712719298245614</v>
      </c>
      <c r="S124" s="38">
        <v>2</v>
      </c>
      <c r="T124" s="39">
        <f t="shared" si="5"/>
        <v>0.901315789473684</v>
      </c>
      <c r="U124" s="22" t="s">
        <v>167</v>
      </c>
    </row>
    <row r="125" ht="25" customHeight="1" spans="1:21">
      <c r="A125" s="17">
        <v>121</v>
      </c>
      <c r="B125" s="18" t="s">
        <v>341</v>
      </c>
      <c r="C125" s="19">
        <v>331503005</v>
      </c>
      <c r="D125" s="20" t="s">
        <v>342</v>
      </c>
      <c r="E125" s="27" t="s">
        <v>343</v>
      </c>
      <c r="F125" s="27" t="s">
        <v>26</v>
      </c>
      <c r="G125" s="27" t="s">
        <v>26</v>
      </c>
      <c r="H125" s="20" t="s">
        <v>27</v>
      </c>
      <c r="I125" s="20">
        <v>3920</v>
      </c>
      <c r="J125" s="20">
        <v>3530</v>
      </c>
      <c r="K125" s="20">
        <v>3000</v>
      </c>
      <c r="L125" s="30">
        <v>5700</v>
      </c>
      <c r="M125" s="30">
        <v>4790</v>
      </c>
      <c r="N125" s="35">
        <v>5415</v>
      </c>
      <c r="O125" s="35">
        <v>4875</v>
      </c>
      <c r="P125" s="35">
        <v>4145</v>
      </c>
      <c r="Q125" s="38">
        <v>9</v>
      </c>
      <c r="R125" s="39">
        <f t="shared" si="3"/>
        <v>0.687719298245614</v>
      </c>
      <c r="S125" s="38">
        <v>5</v>
      </c>
      <c r="T125" s="39">
        <f t="shared" si="5"/>
        <v>0.95</v>
      </c>
      <c r="U125" s="22" t="s">
        <v>167</v>
      </c>
    </row>
    <row r="126" ht="25" customHeight="1" spans="1:21">
      <c r="A126" s="17">
        <v>122</v>
      </c>
      <c r="B126" s="18" t="s">
        <v>344</v>
      </c>
      <c r="C126" s="19">
        <v>33150300501</v>
      </c>
      <c r="D126" s="20" t="s">
        <v>345</v>
      </c>
      <c r="E126" s="27" t="s">
        <v>26</v>
      </c>
      <c r="F126" s="27" t="s">
        <v>26</v>
      </c>
      <c r="G126" s="27" t="s">
        <v>26</v>
      </c>
      <c r="H126" s="20" t="s">
        <v>27</v>
      </c>
      <c r="I126" s="20">
        <v>5095</v>
      </c>
      <c r="J126" s="20">
        <v>4590</v>
      </c>
      <c r="K126" s="20">
        <v>3900</v>
      </c>
      <c r="L126" s="30">
        <v>7410</v>
      </c>
      <c r="M126" s="30">
        <v>6225</v>
      </c>
      <c r="N126" s="35">
        <v>7040</v>
      </c>
      <c r="O126" s="35">
        <v>6340</v>
      </c>
      <c r="P126" s="35">
        <v>5390</v>
      </c>
      <c r="Q126" s="38">
        <v>9</v>
      </c>
      <c r="R126" s="39">
        <f t="shared" si="3"/>
        <v>0.687584345479082</v>
      </c>
      <c r="S126" s="38">
        <v>4</v>
      </c>
      <c r="T126" s="39">
        <f t="shared" si="5"/>
        <v>0.950067476383266</v>
      </c>
      <c r="U126" s="22" t="s">
        <v>167</v>
      </c>
    </row>
    <row r="127" ht="25" customHeight="1" spans="1:21">
      <c r="A127" s="17">
        <v>123</v>
      </c>
      <c r="B127" s="22" t="s">
        <v>346</v>
      </c>
      <c r="C127" s="22">
        <v>331602005</v>
      </c>
      <c r="D127" s="22" t="s">
        <v>347</v>
      </c>
      <c r="E127" s="27" t="s">
        <v>348</v>
      </c>
      <c r="F127" s="27"/>
      <c r="G127" s="27" t="s">
        <v>349</v>
      </c>
      <c r="H127" s="22" t="s">
        <v>27</v>
      </c>
      <c r="I127" s="38">
        <v>1000</v>
      </c>
      <c r="J127" s="38">
        <v>960</v>
      </c>
      <c r="K127" s="38">
        <v>816</v>
      </c>
      <c r="L127" s="45">
        <v>1400</v>
      </c>
      <c r="M127" s="30">
        <v>1260</v>
      </c>
      <c r="N127" s="46">
        <v>1260</v>
      </c>
      <c r="O127" s="46">
        <v>1135</v>
      </c>
      <c r="P127" s="46">
        <v>965</v>
      </c>
      <c r="Q127" s="38">
        <v>8</v>
      </c>
      <c r="R127" s="39">
        <f t="shared" si="3"/>
        <v>0.714285714285714</v>
      </c>
      <c r="S127" s="38">
        <v>3</v>
      </c>
      <c r="T127" s="39">
        <f t="shared" si="5"/>
        <v>0.9</v>
      </c>
      <c r="U127" s="22" t="s">
        <v>167</v>
      </c>
    </row>
    <row r="128" ht="25" customHeight="1" spans="1:21">
      <c r="A128" s="17">
        <v>124</v>
      </c>
      <c r="B128" s="22" t="s">
        <v>350</v>
      </c>
      <c r="C128" s="22">
        <v>33160200501</v>
      </c>
      <c r="D128" s="22" t="s">
        <v>351</v>
      </c>
      <c r="E128" s="27" t="s">
        <v>26</v>
      </c>
      <c r="F128" s="27" t="s">
        <v>26</v>
      </c>
      <c r="G128" s="27" t="s">
        <v>352</v>
      </c>
      <c r="H128" s="22" t="s">
        <v>27</v>
      </c>
      <c r="I128" s="38">
        <v>200</v>
      </c>
      <c r="J128" s="38">
        <v>192</v>
      </c>
      <c r="K128" s="38">
        <v>163.2</v>
      </c>
      <c r="L128" s="45">
        <v>280</v>
      </c>
      <c r="M128" s="30">
        <v>255</v>
      </c>
      <c r="N128" s="46">
        <v>252</v>
      </c>
      <c r="O128" s="46">
        <v>227</v>
      </c>
      <c r="P128" s="46">
        <v>193</v>
      </c>
      <c r="Q128" s="38">
        <v>6</v>
      </c>
      <c r="R128" s="39">
        <f t="shared" ref="R128:R191" si="6">I128/L128</f>
        <v>0.714285714285714</v>
      </c>
      <c r="S128" s="38">
        <v>4</v>
      </c>
      <c r="T128" s="39">
        <f t="shared" si="5"/>
        <v>0.9</v>
      </c>
      <c r="U128" s="22" t="s">
        <v>167</v>
      </c>
    </row>
    <row r="129" ht="25" customHeight="1" spans="1:21">
      <c r="A129" s="17">
        <v>125</v>
      </c>
      <c r="B129" s="22" t="s">
        <v>353</v>
      </c>
      <c r="C129" s="22">
        <v>33160200502</v>
      </c>
      <c r="D129" s="22" t="s">
        <v>354</v>
      </c>
      <c r="E129" s="27" t="s">
        <v>26</v>
      </c>
      <c r="F129" s="27" t="s">
        <v>26</v>
      </c>
      <c r="G129" s="27" t="s">
        <v>355</v>
      </c>
      <c r="H129" s="22" t="s">
        <v>27</v>
      </c>
      <c r="I129" s="38">
        <v>1375</v>
      </c>
      <c r="J129" s="38">
        <v>1320</v>
      </c>
      <c r="K129" s="38">
        <v>1122</v>
      </c>
      <c r="L129" s="45">
        <v>1810</v>
      </c>
      <c r="M129" s="30">
        <v>1620</v>
      </c>
      <c r="N129" s="46">
        <v>1630</v>
      </c>
      <c r="O129" s="46">
        <v>1465</v>
      </c>
      <c r="P129" s="46">
        <v>1245</v>
      </c>
      <c r="Q129" s="38">
        <v>6</v>
      </c>
      <c r="R129" s="39">
        <f t="shared" si="6"/>
        <v>0.759668508287293</v>
      </c>
      <c r="S129" s="38">
        <v>3</v>
      </c>
      <c r="T129" s="39">
        <f t="shared" si="5"/>
        <v>0.900552486187845</v>
      </c>
      <c r="U129" s="22" t="s">
        <v>167</v>
      </c>
    </row>
    <row r="130" ht="25" customHeight="1" spans="1:21">
      <c r="A130" s="17">
        <v>126</v>
      </c>
      <c r="B130" s="22" t="s">
        <v>356</v>
      </c>
      <c r="C130" s="22">
        <v>33160200503</v>
      </c>
      <c r="D130" s="22" t="s">
        <v>357</v>
      </c>
      <c r="E130" s="27" t="s">
        <v>26</v>
      </c>
      <c r="F130" s="27" t="s">
        <v>26</v>
      </c>
      <c r="G130" s="27" t="s">
        <v>26</v>
      </c>
      <c r="H130" s="22" t="s">
        <v>27</v>
      </c>
      <c r="I130" s="38">
        <v>1300</v>
      </c>
      <c r="J130" s="38">
        <v>1250</v>
      </c>
      <c r="K130" s="38">
        <v>1065</v>
      </c>
      <c r="L130" s="45">
        <v>1820</v>
      </c>
      <c r="M130" s="30">
        <v>1640</v>
      </c>
      <c r="N130" s="46">
        <v>1640</v>
      </c>
      <c r="O130" s="46">
        <v>1475</v>
      </c>
      <c r="P130" s="46">
        <v>1255</v>
      </c>
      <c r="Q130" s="38">
        <v>7</v>
      </c>
      <c r="R130" s="39">
        <f t="shared" si="6"/>
        <v>0.714285714285714</v>
      </c>
      <c r="S130" s="38">
        <v>2</v>
      </c>
      <c r="T130" s="39">
        <f t="shared" si="5"/>
        <v>0.901098901098901</v>
      </c>
      <c r="U130" s="22" t="s">
        <v>167</v>
      </c>
    </row>
    <row r="131" ht="25" customHeight="1" spans="1:21">
      <c r="A131" s="17">
        <v>127</v>
      </c>
      <c r="B131" s="22" t="s">
        <v>358</v>
      </c>
      <c r="C131" s="22">
        <v>33160200504</v>
      </c>
      <c r="D131" s="22" t="s">
        <v>359</v>
      </c>
      <c r="E131" s="27" t="s">
        <v>26</v>
      </c>
      <c r="F131" s="27" t="s">
        <v>26</v>
      </c>
      <c r="G131" s="27" t="s">
        <v>352</v>
      </c>
      <c r="H131" s="22" t="s">
        <v>27</v>
      </c>
      <c r="I131" s="38">
        <v>260</v>
      </c>
      <c r="J131" s="38">
        <v>250</v>
      </c>
      <c r="K131" s="38">
        <v>215</v>
      </c>
      <c r="L131" s="45">
        <v>365</v>
      </c>
      <c r="M131" s="30">
        <v>330</v>
      </c>
      <c r="N131" s="46">
        <v>330</v>
      </c>
      <c r="O131" s="46">
        <v>295</v>
      </c>
      <c r="P131" s="46">
        <v>250</v>
      </c>
      <c r="Q131" s="38">
        <v>6</v>
      </c>
      <c r="R131" s="39">
        <f t="shared" si="6"/>
        <v>0.712328767123288</v>
      </c>
      <c r="S131" s="38">
        <v>2</v>
      </c>
      <c r="T131" s="39">
        <f t="shared" si="5"/>
        <v>0.904109589041096</v>
      </c>
      <c r="U131" s="22" t="s">
        <v>167</v>
      </c>
    </row>
    <row r="132" ht="25" customHeight="1" spans="1:21">
      <c r="A132" s="17">
        <v>128</v>
      </c>
      <c r="B132" s="22" t="s">
        <v>360</v>
      </c>
      <c r="C132" s="22">
        <v>33160200505</v>
      </c>
      <c r="D132" s="22" t="s">
        <v>361</v>
      </c>
      <c r="E132" s="27" t="s">
        <v>26</v>
      </c>
      <c r="F132" s="27" t="s">
        <v>26</v>
      </c>
      <c r="G132" s="27" t="s">
        <v>355</v>
      </c>
      <c r="H132" s="22" t="s">
        <v>27</v>
      </c>
      <c r="I132" s="38">
        <v>1790</v>
      </c>
      <c r="J132" s="38">
        <v>1720</v>
      </c>
      <c r="K132" s="38">
        <v>1465</v>
      </c>
      <c r="L132" s="45">
        <v>2350</v>
      </c>
      <c r="M132" s="30">
        <v>2110</v>
      </c>
      <c r="N132" s="46">
        <v>2120</v>
      </c>
      <c r="O132" s="46">
        <v>1905</v>
      </c>
      <c r="P132" s="46">
        <v>1620</v>
      </c>
      <c r="Q132" s="38">
        <v>6</v>
      </c>
      <c r="R132" s="39">
        <f t="shared" si="6"/>
        <v>0.761702127659574</v>
      </c>
      <c r="S132" s="38">
        <v>2</v>
      </c>
      <c r="T132" s="39">
        <f t="shared" si="5"/>
        <v>0.902127659574468</v>
      </c>
      <c r="U132" s="22" t="s">
        <v>167</v>
      </c>
    </row>
    <row r="133" ht="25" customHeight="1" spans="1:21">
      <c r="A133" s="17">
        <v>129</v>
      </c>
      <c r="B133" s="22" t="s">
        <v>362</v>
      </c>
      <c r="C133" s="22">
        <v>331602006</v>
      </c>
      <c r="D133" s="22" t="s">
        <v>363</v>
      </c>
      <c r="E133" s="27" t="s">
        <v>364</v>
      </c>
      <c r="F133" s="27" t="s">
        <v>26</v>
      </c>
      <c r="G133" s="27" t="s">
        <v>365</v>
      </c>
      <c r="H133" s="22" t="s">
        <v>27</v>
      </c>
      <c r="I133" s="38">
        <v>875</v>
      </c>
      <c r="J133" s="38">
        <v>840</v>
      </c>
      <c r="K133" s="38">
        <v>714</v>
      </c>
      <c r="L133" s="45">
        <v>1230</v>
      </c>
      <c r="M133" s="30">
        <v>1110</v>
      </c>
      <c r="N133" s="46">
        <v>1100</v>
      </c>
      <c r="O133" s="46">
        <v>990</v>
      </c>
      <c r="P133" s="46">
        <v>840</v>
      </c>
      <c r="Q133" s="38">
        <v>8</v>
      </c>
      <c r="R133" s="39">
        <f t="shared" si="6"/>
        <v>0.711382113821138</v>
      </c>
      <c r="S133" s="38">
        <v>4</v>
      </c>
      <c r="T133" s="39">
        <f t="shared" si="5"/>
        <v>0.894308943089431</v>
      </c>
      <c r="U133" s="22" t="s">
        <v>167</v>
      </c>
    </row>
    <row r="134" ht="25" customHeight="1" spans="1:21">
      <c r="A134" s="17">
        <v>130</v>
      </c>
      <c r="B134" s="22" t="s">
        <v>366</v>
      </c>
      <c r="C134" s="22">
        <v>33160200601</v>
      </c>
      <c r="D134" s="22" t="s">
        <v>367</v>
      </c>
      <c r="E134" s="27" t="s">
        <v>26</v>
      </c>
      <c r="F134" s="27"/>
      <c r="G134" s="27" t="s">
        <v>355</v>
      </c>
      <c r="H134" s="22" t="s">
        <v>27</v>
      </c>
      <c r="I134" s="38">
        <v>1250</v>
      </c>
      <c r="J134" s="38">
        <v>1200</v>
      </c>
      <c r="K134" s="38">
        <v>1020</v>
      </c>
      <c r="L134" s="45">
        <v>1640</v>
      </c>
      <c r="M134" s="30">
        <v>1480</v>
      </c>
      <c r="N134" s="46">
        <v>1480</v>
      </c>
      <c r="O134" s="46">
        <v>1330</v>
      </c>
      <c r="P134" s="46">
        <v>1130</v>
      </c>
      <c r="Q134" s="38">
        <v>5</v>
      </c>
      <c r="R134" s="39">
        <f t="shared" si="6"/>
        <v>0.76219512195122</v>
      </c>
      <c r="S134" s="38">
        <v>3</v>
      </c>
      <c r="T134" s="39">
        <f t="shared" si="5"/>
        <v>0.902439024390244</v>
      </c>
      <c r="U134" s="22" t="s">
        <v>167</v>
      </c>
    </row>
    <row r="135" ht="25" customHeight="1" spans="1:21">
      <c r="A135" s="17">
        <v>131</v>
      </c>
      <c r="B135" s="22" t="s">
        <v>368</v>
      </c>
      <c r="C135" s="22">
        <v>33160200602</v>
      </c>
      <c r="D135" s="22" t="s">
        <v>369</v>
      </c>
      <c r="E135" s="27" t="s">
        <v>26</v>
      </c>
      <c r="F135" s="27" t="s">
        <v>26</v>
      </c>
      <c r="G135" s="27" t="s">
        <v>352</v>
      </c>
      <c r="H135" s="22" t="s">
        <v>27</v>
      </c>
      <c r="I135" s="38">
        <v>175</v>
      </c>
      <c r="J135" s="38">
        <v>168</v>
      </c>
      <c r="K135" s="38">
        <v>142.8</v>
      </c>
      <c r="L135" s="45">
        <v>230</v>
      </c>
      <c r="M135" s="30">
        <v>205</v>
      </c>
      <c r="N135" s="46">
        <f>N133*0.2</f>
        <v>220</v>
      </c>
      <c r="O135" s="46">
        <f>O133*0.2</f>
        <v>198</v>
      </c>
      <c r="P135" s="46">
        <f>P133*0.2</f>
        <v>168</v>
      </c>
      <c r="Q135" s="38">
        <v>7</v>
      </c>
      <c r="R135" s="39">
        <f t="shared" si="6"/>
        <v>0.760869565217391</v>
      </c>
      <c r="S135" s="38">
        <v>3</v>
      </c>
      <c r="T135" s="39">
        <f t="shared" si="5"/>
        <v>0.956521739130435</v>
      </c>
      <c r="U135" s="22" t="s">
        <v>167</v>
      </c>
    </row>
    <row r="136" ht="25" customHeight="1" spans="1:21">
      <c r="A136" s="17">
        <v>132</v>
      </c>
      <c r="B136" s="22" t="s">
        <v>370</v>
      </c>
      <c r="C136" s="22">
        <v>33160200603</v>
      </c>
      <c r="D136" s="22" t="s">
        <v>371</v>
      </c>
      <c r="E136" s="27" t="s">
        <v>26</v>
      </c>
      <c r="F136" s="27" t="s">
        <v>26</v>
      </c>
      <c r="G136" s="27" t="s">
        <v>26</v>
      </c>
      <c r="H136" s="22" t="s">
        <v>27</v>
      </c>
      <c r="I136" s="38">
        <v>1140</v>
      </c>
      <c r="J136" s="38">
        <v>1090</v>
      </c>
      <c r="K136" s="38">
        <v>925</v>
      </c>
      <c r="L136" s="45">
        <v>1600</v>
      </c>
      <c r="M136" s="30">
        <v>1440</v>
      </c>
      <c r="N136" s="46">
        <v>1430</v>
      </c>
      <c r="O136" s="46">
        <v>1285</v>
      </c>
      <c r="P136" s="46">
        <v>1090</v>
      </c>
      <c r="Q136" s="38">
        <v>7</v>
      </c>
      <c r="R136" s="39">
        <f t="shared" si="6"/>
        <v>0.7125</v>
      </c>
      <c r="S136" s="38">
        <v>2</v>
      </c>
      <c r="T136" s="39">
        <f t="shared" si="5"/>
        <v>0.89375</v>
      </c>
      <c r="U136" s="22" t="s">
        <v>167</v>
      </c>
    </row>
    <row r="137" ht="25" customHeight="1" spans="1:21">
      <c r="A137" s="17">
        <v>133</v>
      </c>
      <c r="B137" s="22" t="s">
        <v>372</v>
      </c>
      <c r="C137" s="22">
        <v>33160200604</v>
      </c>
      <c r="D137" s="22" t="s">
        <v>373</v>
      </c>
      <c r="E137" s="27" t="s">
        <v>26</v>
      </c>
      <c r="F137" s="27" t="s">
        <v>26</v>
      </c>
      <c r="G137" s="27" t="s">
        <v>355</v>
      </c>
      <c r="H137" s="22" t="s">
        <v>27</v>
      </c>
      <c r="I137" s="38">
        <v>1625</v>
      </c>
      <c r="J137" s="38">
        <v>1560</v>
      </c>
      <c r="K137" s="38">
        <v>1325</v>
      </c>
      <c r="L137" s="45">
        <v>2130</v>
      </c>
      <c r="M137" s="30">
        <v>1910</v>
      </c>
      <c r="N137" s="46">
        <v>1925</v>
      </c>
      <c r="O137" s="46">
        <v>1730</v>
      </c>
      <c r="P137" s="46">
        <v>1470</v>
      </c>
      <c r="Q137" s="38">
        <v>5</v>
      </c>
      <c r="R137" s="39">
        <f t="shared" si="6"/>
        <v>0.762910798122066</v>
      </c>
      <c r="S137" s="38">
        <v>4</v>
      </c>
      <c r="T137" s="39">
        <f t="shared" si="5"/>
        <v>0.903755868544601</v>
      </c>
      <c r="U137" s="22" t="s">
        <v>167</v>
      </c>
    </row>
    <row r="138" ht="25" customHeight="1" spans="1:21">
      <c r="A138" s="17">
        <v>134</v>
      </c>
      <c r="B138" s="22" t="s">
        <v>374</v>
      </c>
      <c r="C138" s="22">
        <v>33160200605</v>
      </c>
      <c r="D138" s="22" t="s">
        <v>375</v>
      </c>
      <c r="E138" s="27" t="s">
        <v>26</v>
      </c>
      <c r="F138" s="27" t="s">
        <v>26</v>
      </c>
      <c r="G138" s="27" t="s">
        <v>352</v>
      </c>
      <c r="H138" s="22" t="s">
        <v>27</v>
      </c>
      <c r="I138" s="38">
        <v>230</v>
      </c>
      <c r="J138" s="38">
        <v>220</v>
      </c>
      <c r="K138" s="38">
        <v>185</v>
      </c>
      <c r="L138" s="45">
        <v>300</v>
      </c>
      <c r="M138" s="30">
        <v>265</v>
      </c>
      <c r="N138" s="46">
        <v>285</v>
      </c>
      <c r="O138" s="46">
        <v>255</v>
      </c>
      <c r="P138" s="46">
        <v>220</v>
      </c>
      <c r="Q138" s="38">
        <v>6</v>
      </c>
      <c r="R138" s="39">
        <f t="shared" si="6"/>
        <v>0.766666666666667</v>
      </c>
      <c r="S138" s="38">
        <v>3</v>
      </c>
      <c r="T138" s="39">
        <f t="shared" si="5"/>
        <v>0.95</v>
      </c>
      <c r="U138" s="22" t="s">
        <v>167</v>
      </c>
    </row>
    <row r="139" ht="25" customHeight="1" spans="1:21">
      <c r="A139" s="17">
        <v>135</v>
      </c>
      <c r="B139" s="22" t="s">
        <v>376</v>
      </c>
      <c r="C139" s="22">
        <v>331602007</v>
      </c>
      <c r="D139" s="22" t="s">
        <v>377</v>
      </c>
      <c r="E139" s="27" t="s">
        <v>378</v>
      </c>
      <c r="F139" s="27" t="s">
        <v>26</v>
      </c>
      <c r="G139" s="27" t="s">
        <v>379</v>
      </c>
      <c r="H139" s="22" t="s">
        <v>27</v>
      </c>
      <c r="I139" s="38">
        <v>500</v>
      </c>
      <c r="J139" s="38">
        <v>480</v>
      </c>
      <c r="K139" s="38">
        <v>408</v>
      </c>
      <c r="L139" s="45">
        <v>650</v>
      </c>
      <c r="M139" s="30">
        <v>590</v>
      </c>
      <c r="N139" s="46">
        <v>590</v>
      </c>
      <c r="O139" s="46">
        <v>530</v>
      </c>
      <c r="P139" s="46">
        <v>450</v>
      </c>
      <c r="Q139" s="38">
        <v>7</v>
      </c>
      <c r="R139" s="39">
        <f t="shared" si="6"/>
        <v>0.769230769230769</v>
      </c>
      <c r="S139" s="38">
        <v>3</v>
      </c>
      <c r="T139" s="39">
        <f t="shared" si="5"/>
        <v>0.907692307692308</v>
      </c>
      <c r="U139" s="22" t="s">
        <v>167</v>
      </c>
    </row>
    <row r="140" ht="25" customHeight="1" spans="1:21">
      <c r="A140" s="17">
        <v>136</v>
      </c>
      <c r="B140" s="22" t="s">
        <v>380</v>
      </c>
      <c r="C140" s="22">
        <v>33160200701</v>
      </c>
      <c r="D140" s="22" t="s">
        <v>381</v>
      </c>
      <c r="E140" s="27" t="s">
        <v>26</v>
      </c>
      <c r="F140" s="27"/>
      <c r="G140" s="27" t="s">
        <v>352</v>
      </c>
      <c r="H140" s="22" t="s">
        <v>27</v>
      </c>
      <c r="I140" s="38">
        <v>100</v>
      </c>
      <c r="J140" s="38">
        <v>96</v>
      </c>
      <c r="K140" s="38">
        <v>81.6</v>
      </c>
      <c r="L140" s="45">
        <v>130</v>
      </c>
      <c r="M140" s="30">
        <v>115</v>
      </c>
      <c r="N140" s="46">
        <v>118</v>
      </c>
      <c r="O140" s="46">
        <v>106</v>
      </c>
      <c r="P140" s="46">
        <v>90</v>
      </c>
      <c r="Q140" s="38">
        <v>6</v>
      </c>
      <c r="R140" s="39">
        <f t="shared" si="6"/>
        <v>0.769230769230769</v>
      </c>
      <c r="S140" s="38">
        <v>4</v>
      </c>
      <c r="T140" s="39">
        <f t="shared" si="5"/>
        <v>0.907692307692308</v>
      </c>
      <c r="U140" s="22" t="s">
        <v>167</v>
      </c>
    </row>
    <row r="141" ht="25" customHeight="1" spans="1:21">
      <c r="A141" s="17">
        <v>137</v>
      </c>
      <c r="B141" s="22" t="s">
        <v>382</v>
      </c>
      <c r="C141" s="22">
        <v>33160200702</v>
      </c>
      <c r="D141" s="22" t="s">
        <v>383</v>
      </c>
      <c r="E141" s="27" t="s">
        <v>26</v>
      </c>
      <c r="F141" s="27"/>
      <c r="G141" s="27" t="s">
        <v>355</v>
      </c>
      <c r="H141" s="22" t="s">
        <v>27</v>
      </c>
      <c r="I141" s="38">
        <v>875</v>
      </c>
      <c r="J141" s="38">
        <v>840</v>
      </c>
      <c r="K141" s="38">
        <v>714</v>
      </c>
      <c r="L141" s="45">
        <v>1030</v>
      </c>
      <c r="M141" s="30">
        <v>930</v>
      </c>
      <c r="N141" s="46">
        <v>930</v>
      </c>
      <c r="O141" s="46">
        <v>840</v>
      </c>
      <c r="P141" s="46">
        <v>715</v>
      </c>
      <c r="Q141" s="38">
        <v>6</v>
      </c>
      <c r="R141" s="39">
        <f t="shared" si="6"/>
        <v>0.849514563106796</v>
      </c>
      <c r="S141" s="38">
        <v>3</v>
      </c>
      <c r="T141" s="39">
        <f t="shared" si="5"/>
        <v>0.902912621359223</v>
      </c>
      <c r="U141" s="22" t="s">
        <v>167</v>
      </c>
    </row>
    <row r="142" ht="25" customHeight="1" spans="1:21">
      <c r="A142" s="17">
        <v>138</v>
      </c>
      <c r="B142" s="22" t="s">
        <v>384</v>
      </c>
      <c r="C142" s="22">
        <v>33160200703</v>
      </c>
      <c r="D142" s="22" t="s">
        <v>385</v>
      </c>
      <c r="E142" s="27" t="s">
        <v>26</v>
      </c>
      <c r="F142" s="27" t="s">
        <v>26</v>
      </c>
      <c r="G142" s="27" t="s">
        <v>26</v>
      </c>
      <c r="H142" s="22" t="s">
        <v>27</v>
      </c>
      <c r="I142" s="38">
        <v>650</v>
      </c>
      <c r="J142" s="38">
        <v>625</v>
      </c>
      <c r="K142" s="38">
        <v>530</v>
      </c>
      <c r="L142" s="45">
        <v>850</v>
      </c>
      <c r="M142" s="30">
        <v>760</v>
      </c>
      <c r="N142" s="46">
        <v>765</v>
      </c>
      <c r="O142" s="46">
        <v>690</v>
      </c>
      <c r="P142" s="46">
        <v>585</v>
      </c>
      <c r="Q142" s="38">
        <v>6</v>
      </c>
      <c r="R142" s="39">
        <f t="shared" si="6"/>
        <v>0.764705882352941</v>
      </c>
      <c r="S142" s="38">
        <v>3</v>
      </c>
      <c r="T142" s="39">
        <f t="shared" si="5"/>
        <v>0.9</v>
      </c>
      <c r="U142" s="22" t="s">
        <v>167</v>
      </c>
    </row>
    <row r="143" ht="25" customHeight="1" spans="1:21">
      <c r="A143" s="17">
        <v>139</v>
      </c>
      <c r="B143" s="22" t="s">
        <v>386</v>
      </c>
      <c r="C143" s="22">
        <v>33160200704</v>
      </c>
      <c r="D143" s="22" t="s">
        <v>387</v>
      </c>
      <c r="E143" s="27" t="s">
        <v>26</v>
      </c>
      <c r="F143" s="27" t="s">
        <v>26</v>
      </c>
      <c r="G143" s="27" t="s">
        <v>352</v>
      </c>
      <c r="H143" s="22" t="s">
        <v>27</v>
      </c>
      <c r="I143" s="38">
        <v>130</v>
      </c>
      <c r="J143" s="38">
        <v>125</v>
      </c>
      <c r="K143" s="38">
        <v>105</v>
      </c>
      <c r="L143" s="45">
        <v>170</v>
      </c>
      <c r="M143" s="30">
        <v>150</v>
      </c>
      <c r="N143" s="46">
        <v>155</v>
      </c>
      <c r="O143" s="46">
        <v>140</v>
      </c>
      <c r="P143" s="46">
        <v>115</v>
      </c>
      <c r="Q143" s="38">
        <v>7</v>
      </c>
      <c r="R143" s="39">
        <f t="shared" si="6"/>
        <v>0.764705882352941</v>
      </c>
      <c r="S143" s="38">
        <v>4</v>
      </c>
      <c r="T143" s="39">
        <f t="shared" si="5"/>
        <v>0.911764705882353</v>
      </c>
      <c r="U143" s="22" t="s">
        <v>167</v>
      </c>
    </row>
    <row r="144" ht="25" customHeight="1" spans="1:21">
      <c r="A144" s="17">
        <v>140</v>
      </c>
      <c r="B144" s="22" t="s">
        <v>388</v>
      </c>
      <c r="C144" s="22">
        <v>33160200705</v>
      </c>
      <c r="D144" s="22" t="s">
        <v>389</v>
      </c>
      <c r="E144" s="27" t="s">
        <v>26</v>
      </c>
      <c r="F144" s="27" t="s">
        <v>26</v>
      </c>
      <c r="G144" s="27" t="s">
        <v>355</v>
      </c>
      <c r="H144" s="22" t="s">
        <v>27</v>
      </c>
      <c r="I144" s="38">
        <v>1140</v>
      </c>
      <c r="J144" s="38">
        <v>1090</v>
      </c>
      <c r="K144" s="38">
        <v>925</v>
      </c>
      <c r="L144" s="45">
        <v>1340</v>
      </c>
      <c r="M144" s="30">
        <v>1210</v>
      </c>
      <c r="N144" s="46">
        <v>1210</v>
      </c>
      <c r="O144" s="46">
        <v>1090</v>
      </c>
      <c r="P144" s="46">
        <v>930</v>
      </c>
      <c r="Q144" s="38">
        <v>6</v>
      </c>
      <c r="R144" s="39">
        <f t="shared" si="6"/>
        <v>0.850746268656716</v>
      </c>
      <c r="S144" s="38">
        <v>3</v>
      </c>
      <c r="T144" s="39">
        <f t="shared" si="5"/>
        <v>0.902985074626866</v>
      </c>
      <c r="U144" s="22" t="s">
        <v>167</v>
      </c>
    </row>
    <row r="145" ht="25" customHeight="1" spans="1:21">
      <c r="A145" s="17">
        <v>141</v>
      </c>
      <c r="B145" s="22" t="s">
        <v>390</v>
      </c>
      <c r="C145" s="22">
        <v>331602013</v>
      </c>
      <c r="D145" s="22" t="s">
        <v>391</v>
      </c>
      <c r="E145" s="27" t="s">
        <v>26</v>
      </c>
      <c r="F145" s="27" t="s">
        <v>26</v>
      </c>
      <c r="G145" s="27" t="s">
        <v>392</v>
      </c>
      <c r="H145" s="22" t="s">
        <v>27</v>
      </c>
      <c r="I145" s="38">
        <v>1250</v>
      </c>
      <c r="J145" s="38">
        <v>1200</v>
      </c>
      <c r="K145" s="38">
        <v>1020</v>
      </c>
      <c r="L145" s="45">
        <v>1760</v>
      </c>
      <c r="M145" s="30">
        <v>1580</v>
      </c>
      <c r="N145" s="46">
        <v>1580</v>
      </c>
      <c r="O145" s="46">
        <v>1425</v>
      </c>
      <c r="P145" s="46">
        <v>1210</v>
      </c>
      <c r="Q145" s="38">
        <v>8</v>
      </c>
      <c r="R145" s="39">
        <f t="shared" si="6"/>
        <v>0.710227272727273</v>
      </c>
      <c r="S145" s="38">
        <v>3</v>
      </c>
      <c r="T145" s="39">
        <f t="shared" si="5"/>
        <v>0.897727272727273</v>
      </c>
      <c r="U145" s="22" t="s">
        <v>167</v>
      </c>
    </row>
    <row r="146" ht="25" customHeight="1" spans="1:21">
      <c r="A146" s="17">
        <v>142</v>
      </c>
      <c r="B146" s="22" t="s">
        <v>393</v>
      </c>
      <c r="C146" s="22">
        <v>33160201301</v>
      </c>
      <c r="D146" s="22" t="s">
        <v>394</v>
      </c>
      <c r="E146" s="27" t="s">
        <v>26</v>
      </c>
      <c r="F146" s="27" t="s">
        <v>26</v>
      </c>
      <c r="G146" s="27" t="s">
        <v>395</v>
      </c>
      <c r="H146" s="22" t="s">
        <v>27</v>
      </c>
      <c r="I146" s="38">
        <v>625</v>
      </c>
      <c r="J146" s="38">
        <v>600</v>
      </c>
      <c r="K146" s="38">
        <v>510</v>
      </c>
      <c r="L146" s="45">
        <v>880</v>
      </c>
      <c r="M146" s="30">
        <v>795</v>
      </c>
      <c r="N146" s="46">
        <v>790</v>
      </c>
      <c r="O146" s="46">
        <v>715</v>
      </c>
      <c r="P146" s="46">
        <v>605</v>
      </c>
      <c r="Q146" s="38">
        <v>8</v>
      </c>
      <c r="R146" s="39">
        <f t="shared" si="6"/>
        <v>0.710227272727273</v>
      </c>
      <c r="S146" s="38">
        <v>5</v>
      </c>
      <c r="T146" s="39">
        <f t="shared" si="5"/>
        <v>0.897727272727273</v>
      </c>
      <c r="U146" s="22" t="s">
        <v>167</v>
      </c>
    </row>
    <row r="147" ht="25" customHeight="1" spans="1:21">
      <c r="A147" s="17">
        <v>143</v>
      </c>
      <c r="B147" s="22" t="s">
        <v>396</v>
      </c>
      <c r="C147" s="22">
        <v>33160201302</v>
      </c>
      <c r="D147" s="22" t="s">
        <v>397</v>
      </c>
      <c r="E147" s="27" t="s">
        <v>26</v>
      </c>
      <c r="F147" s="27" t="s">
        <v>26</v>
      </c>
      <c r="G147" s="27" t="s">
        <v>398</v>
      </c>
      <c r="H147" s="22" t="s">
        <v>27</v>
      </c>
      <c r="I147" s="38">
        <v>1500</v>
      </c>
      <c r="J147" s="38">
        <v>1440</v>
      </c>
      <c r="K147" s="38">
        <v>1224</v>
      </c>
      <c r="L147" s="45">
        <v>2030</v>
      </c>
      <c r="M147" s="30">
        <v>1830</v>
      </c>
      <c r="N147" s="46">
        <v>1895</v>
      </c>
      <c r="O147" s="46">
        <v>1710</v>
      </c>
      <c r="P147" s="46">
        <v>1452</v>
      </c>
      <c r="Q147" s="38">
        <v>7</v>
      </c>
      <c r="R147" s="39">
        <f t="shared" si="6"/>
        <v>0.738916256157635</v>
      </c>
      <c r="S147" s="38">
        <v>3</v>
      </c>
      <c r="T147" s="39">
        <f t="shared" si="5"/>
        <v>0.933497536945813</v>
      </c>
      <c r="U147" s="22" t="s">
        <v>167</v>
      </c>
    </row>
    <row r="148" ht="25" customHeight="1" spans="1:21">
      <c r="A148" s="17">
        <v>144</v>
      </c>
      <c r="B148" s="22" t="s">
        <v>399</v>
      </c>
      <c r="C148" s="22">
        <v>33160201303</v>
      </c>
      <c r="D148" s="22" t="s">
        <v>400</v>
      </c>
      <c r="E148" s="27" t="s">
        <v>26</v>
      </c>
      <c r="F148" s="27" t="s">
        <v>26</v>
      </c>
      <c r="G148" s="27" t="s">
        <v>26</v>
      </c>
      <c r="H148" s="22" t="s">
        <v>27</v>
      </c>
      <c r="I148" s="38">
        <v>1625</v>
      </c>
      <c r="J148" s="38">
        <v>1560</v>
      </c>
      <c r="K148" s="38">
        <v>1325</v>
      </c>
      <c r="L148" s="45">
        <v>2280</v>
      </c>
      <c r="M148" s="30">
        <v>2060</v>
      </c>
      <c r="N148" s="46">
        <v>2055</v>
      </c>
      <c r="O148" s="46">
        <v>1855</v>
      </c>
      <c r="P148" s="46">
        <v>1575</v>
      </c>
      <c r="Q148" s="38">
        <v>7</v>
      </c>
      <c r="R148" s="39">
        <f t="shared" si="6"/>
        <v>0.712719298245614</v>
      </c>
      <c r="S148" s="38">
        <v>3</v>
      </c>
      <c r="T148" s="39">
        <f t="shared" si="5"/>
        <v>0.901315789473684</v>
      </c>
      <c r="U148" s="22" t="s">
        <v>167</v>
      </c>
    </row>
    <row r="149" ht="25" customHeight="1" spans="1:21">
      <c r="A149" s="17">
        <v>145</v>
      </c>
      <c r="B149" s="22" t="s">
        <v>401</v>
      </c>
      <c r="C149" s="22">
        <v>33160201304</v>
      </c>
      <c r="D149" s="22" t="s">
        <v>402</v>
      </c>
      <c r="E149" s="27" t="s">
        <v>26</v>
      </c>
      <c r="F149" s="27" t="s">
        <v>26</v>
      </c>
      <c r="G149" s="27" t="s">
        <v>395</v>
      </c>
      <c r="H149" s="22" t="s">
        <v>27</v>
      </c>
      <c r="I149" s="38">
        <v>815</v>
      </c>
      <c r="J149" s="38">
        <v>780</v>
      </c>
      <c r="K149" s="38">
        <v>665</v>
      </c>
      <c r="L149" s="45">
        <v>1140</v>
      </c>
      <c r="M149" s="30">
        <v>1030</v>
      </c>
      <c r="N149" s="46">
        <v>1025</v>
      </c>
      <c r="O149" s="46">
        <v>930</v>
      </c>
      <c r="P149" s="46">
        <v>785</v>
      </c>
      <c r="Q149" s="38">
        <v>7</v>
      </c>
      <c r="R149" s="39">
        <f t="shared" si="6"/>
        <v>0.714912280701754</v>
      </c>
      <c r="S149" s="38">
        <v>4</v>
      </c>
      <c r="T149" s="39">
        <f t="shared" si="5"/>
        <v>0.899122807017544</v>
      </c>
      <c r="U149" s="22" t="s">
        <v>167</v>
      </c>
    </row>
    <row r="150" ht="25" customHeight="1" spans="1:21">
      <c r="A150" s="17">
        <v>146</v>
      </c>
      <c r="B150" s="22" t="s">
        <v>403</v>
      </c>
      <c r="C150" s="22">
        <v>33160201305</v>
      </c>
      <c r="D150" s="22" t="s">
        <v>404</v>
      </c>
      <c r="E150" s="27" t="s">
        <v>26</v>
      </c>
      <c r="F150" s="27" t="s">
        <v>26</v>
      </c>
      <c r="G150" s="27" t="s">
        <v>398</v>
      </c>
      <c r="H150" s="22" t="s">
        <v>27</v>
      </c>
      <c r="I150" s="38">
        <v>1950</v>
      </c>
      <c r="J150" s="38">
        <v>1870</v>
      </c>
      <c r="K150" s="38">
        <v>1590</v>
      </c>
      <c r="L150" s="45">
        <v>2640</v>
      </c>
      <c r="M150" s="30">
        <v>2380</v>
      </c>
      <c r="N150" s="46">
        <v>2465</v>
      </c>
      <c r="O150" s="46">
        <v>2225</v>
      </c>
      <c r="P150" s="46">
        <v>1890</v>
      </c>
      <c r="Q150" s="38">
        <v>7</v>
      </c>
      <c r="R150" s="39">
        <f t="shared" si="6"/>
        <v>0.738636363636364</v>
      </c>
      <c r="S150" s="38">
        <v>2</v>
      </c>
      <c r="T150" s="39">
        <f t="shared" si="5"/>
        <v>0.933712121212121</v>
      </c>
      <c r="U150" s="22" t="s">
        <v>167</v>
      </c>
    </row>
  </sheetData>
  <mergeCells count="1">
    <mergeCell ref="A2:T2"/>
  </mergeCells>
  <printOptions horizontalCentered="1"/>
  <pageMargins left="0.393055555555556" right="0.393055555555556" top="0.786805555555556" bottom="0.786805555555556" header="0.5" footer="0.5"/>
  <pageSetup paperSize="8" fitToHeight="0"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5"/>
  <sheetViews>
    <sheetView workbookViewId="0">
      <pane ySplit="3" topLeftCell="A4" activePane="bottomLeft" state="frozen"/>
      <selection/>
      <selection pane="bottomLeft" activeCell="A102" sqref="$A94:$XFD94 $A95:$XFD95 $A98:$XFD99 $A102:$XFD103"/>
    </sheetView>
  </sheetViews>
  <sheetFormatPr defaultColWidth="9" defaultRowHeight="14.25"/>
  <cols>
    <col min="1" max="1" width="5.625" style="5" customWidth="1"/>
    <col min="2" max="2" width="17.25" style="7" hidden="1" customWidth="1"/>
    <col min="3" max="3" width="12.5" style="8" customWidth="1"/>
    <col min="4" max="4" width="44.25" style="8" customWidth="1"/>
    <col min="5" max="5" width="22.125" style="9" hidden="1" customWidth="1"/>
    <col min="6" max="6" width="9.625" style="9" hidden="1" customWidth="1"/>
    <col min="7" max="7" width="23" style="9" hidden="1" customWidth="1"/>
    <col min="8" max="8" width="6.125" style="7" customWidth="1"/>
    <col min="9" max="16" width="8.625" style="8" customWidth="1"/>
    <col min="17" max="17" width="8.625" style="5" customWidth="1"/>
    <col min="18" max="18" width="9.625" style="10" customWidth="1"/>
    <col min="19" max="19" width="8" style="5" customWidth="1"/>
    <col min="20" max="20" width="10.25" style="10" customWidth="1"/>
    <col min="21" max="21" width="23.375" style="11" customWidth="1"/>
    <col min="22" max="16384" width="9" style="5"/>
  </cols>
  <sheetData>
    <row r="1" s="5" customFormat="1" ht="18" spans="1:21">
      <c r="A1" s="12" t="s">
        <v>0</v>
      </c>
      <c r="B1" s="7"/>
      <c r="C1" s="8"/>
      <c r="D1" s="8"/>
      <c r="E1" s="9"/>
      <c r="F1" s="9"/>
      <c r="G1" s="9"/>
      <c r="H1" s="7"/>
      <c r="I1" s="8"/>
      <c r="J1" s="8"/>
      <c r="K1" s="8"/>
      <c r="L1" s="8"/>
      <c r="M1" s="8"/>
      <c r="N1" s="8"/>
      <c r="O1" s="8"/>
      <c r="P1" s="8"/>
      <c r="R1" s="10"/>
      <c r="T1" s="10"/>
      <c r="U1" s="11"/>
    </row>
    <row r="2" s="5" customFormat="1" ht="39" customHeight="1" spans="1:21">
      <c r="A2" s="13" t="s">
        <v>405</v>
      </c>
      <c r="B2" s="13"/>
      <c r="C2" s="13"/>
      <c r="D2" s="13"/>
      <c r="E2" s="13"/>
      <c r="F2" s="13"/>
      <c r="G2" s="13"/>
      <c r="H2" s="13"/>
      <c r="I2" s="13"/>
      <c r="J2" s="13"/>
      <c r="K2" s="13"/>
      <c r="L2" s="13"/>
      <c r="M2" s="13"/>
      <c r="N2" s="13"/>
      <c r="O2" s="13"/>
      <c r="P2" s="13"/>
      <c r="Q2" s="13"/>
      <c r="R2" s="13"/>
      <c r="S2" s="13"/>
      <c r="T2" s="13"/>
      <c r="U2" s="11"/>
    </row>
    <row r="3" s="6" customFormat="1" ht="33" customHeight="1" spans="1:21">
      <c r="A3" s="14" t="s">
        <v>2</v>
      </c>
      <c r="B3" s="15" t="s">
        <v>3</v>
      </c>
      <c r="C3" s="15" t="s">
        <v>4</v>
      </c>
      <c r="D3" s="16" t="s">
        <v>5</v>
      </c>
      <c r="E3" s="16" t="s">
        <v>6</v>
      </c>
      <c r="F3" s="16" t="s">
        <v>7</v>
      </c>
      <c r="G3" s="26" t="s">
        <v>8</v>
      </c>
      <c r="H3" s="16" t="s">
        <v>9</v>
      </c>
      <c r="I3" s="16" t="s">
        <v>10</v>
      </c>
      <c r="J3" s="16" t="s">
        <v>11</v>
      </c>
      <c r="K3" s="16" t="s">
        <v>12</v>
      </c>
      <c r="L3" s="29" t="s">
        <v>13</v>
      </c>
      <c r="M3" s="29" t="s">
        <v>14</v>
      </c>
      <c r="N3" s="34" t="s">
        <v>15</v>
      </c>
      <c r="O3" s="34" t="s">
        <v>16</v>
      </c>
      <c r="P3" s="34" t="s">
        <v>17</v>
      </c>
      <c r="Q3" s="14" t="s">
        <v>18</v>
      </c>
      <c r="R3" s="37" t="s">
        <v>19</v>
      </c>
      <c r="S3" s="14" t="s">
        <v>20</v>
      </c>
      <c r="T3" s="37" t="s">
        <v>21</v>
      </c>
      <c r="U3" s="14" t="s">
        <v>22</v>
      </c>
    </row>
    <row r="4" s="5" customFormat="1" ht="27" customHeight="1" spans="1:21">
      <c r="A4" s="17">
        <v>1</v>
      </c>
      <c r="B4" s="18" t="s">
        <v>406</v>
      </c>
      <c r="C4" s="19">
        <v>330100018</v>
      </c>
      <c r="D4" s="20" t="s">
        <v>407</v>
      </c>
      <c r="E4" s="27" t="s">
        <v>408</v>
      </c>
      <c r="F4" s="27" t="s">
        <v>409</v>
      </c>
      <c r="G4" s="27" t="s">
        <v>410</v>
      </c>
      <c r="H4" s="22" t="s">
        <v>27</v>
      </c>
      <c r="I4" s="20">
        <v>450</v>
      </c>
      <c r="J4" s="20">
        <v>405</v>
      </c>
      <c r="K4" s="20">
        <v>345</v>
      </c>
      <c r="L4" s="30">
        <v>600</v>
      </c>
      <c r="M4" s="30">
        <v>540</v>
      </c>
      <c r="N4" s="35">
        <v>540</v>
      </c>
      <c r="O4" s="35">
        <v>485</v>
      </c>
      <c r="P4" s="35">
        <v>415</v>
      </c>
      <c r="Q4" s="38">
        <v>8</v>
      </c>
      <c r="R4" s="39">
        <f t="shared" ref="R4:R16" si="0">I4/L4</f>
        <v>0.75</v>
      </c>
      <c r="S4" s="38">
        <v>3</v>
      </c>
      <c r="T4" s="39">
        <f t="shared" ref="T4:T13" si="1">N4/L4</f>
        <v>0.9</v>
      </c>
      <c r="U4" s="22" t="s">
        <v>167</v>
      </c>
    </row>
    <row r="5" s="5" customFormat="1" ht="27" customHeight="1" spans="1:21">
      <c r="A5" s="17">
        <v>2</v>
      </c>
      <c r="B5" s="18" t="s">
        <v>411</v>
      </c>
      <c r="C5" s="21">
        <v>33010001802</v>
      </c>
      <c r="D5" s="22" t="s">
        <v>412</v>
      </c>
      <c r="E5" s="27" t="s">
        <v>26</v>
      </c>
      <c r="F5" s="27" t="s">
        <v>26</v>
      </c>
      <c r="G5" s="27" t="s">
        <v>26</v>
      </c>
      <c r="H5" s="22" t="s">
        <v>27</v>
      </c>
      <c r="I5" s="20">
        <v>450</v>
      </c>
      <c r="J5" s="20">
        <v>405</v>
      </c>
      <c r="K5" s="20">
        <v>345</v>
      </c>
      <c r="L5" s="30">
        <v>600</v>
      </c>
      <c r="M5" s="30">
        <v>540</v>
      </c>
      <c r="N5" s="35">
        <v>540</v>
      </c>
      <c r="O5" s="35">
        <v>485</v>
      </c>
      <c r="P5" s="35">
        <v>415</v>
      </c>
      <c r="Q5" s="38">
        <v>8</v>
      </c>
      <c r="R5" s="39">
        <f t="shared" si="0"/>
        <v>0.75</v>
      </c>
      <c r="S5" s="38">
        <v>3</v>
      </c>
      <c r="T5" s="39">
        <f t="shared" si="1"/>
        <v>0.9</v>
      </c>
      <c r="U5" s="22" t="s">
        <v>167</v>
      </c>
    </row>
    <row r="6" s="5" customFormat="1" ht="27" customHeight="1" spans="1:21">
      <c r="A6" s="17">
        <v>3</v>
      </c>
      <c r="B6" s="19" t="s">
        <v>413</v>
      </c>
      <c r="C6" s="21">
        <v>33010001804</v>
      </c>
      <c r="D6" s="22" t="s">
        <v>414</v>
      </c>
      <c r="E6" s="27" t="s">
        <v>26</v>
      </c>
      <c r="F6" s="27" t="s">
        <v>26</v>
      </c>
      <c r="G6" s="27" t="s">
        <v>26</v>
      </c>
      <c r="H6" s="22" t="s">
        <v>27</v>
      </c>
      <c r="I6" s="20">
        <v>450</v>
      </c>
      <c r="J6" s="20">
        <v>405</v>
      </c>
      <c r="K6" s="20">
        <v>345</v>
      </c>
      <c r="L6" s="30">
        <v>600</v>
      </c>
      <c r="M6" s="30">
        <v>540</v>
      </c>
      <c r="N6" s="35">
        <v>540</v>
      </c>
      <c r="O6" s="35">
        <v>485</v>
      </c>
      <c r="P6" s="35">
        <v>415</v>
      </c>
      <c r="Q6" s="38">
        <v>7</v>
      </c>
      <c r="R6" s="39">
        <f t="shared" si="0"/>
        <v>0.75</v>
      </c>
      <c r="S6" s="38">
        <v>3</v>
      </c>
      <c r="T6" s="39">
        <f t="shared" si="1"/>
        <v>0.9</v>
      </c>
      <c r="U6" s="22" t="s">
        <v>167</v>
      </c>
    </row>
    <row r="7" s="5" customFormat="1" ht="27" customHeight="1" spans="1:21">
      <c r="A7" s="17">
        <v>4</v>
      </c>
      <c r="B7" s="18" t="s">
        <v>415</v>
      </c>
      <c r="C7" s="21">
        <v>33010001806</v>
      </c>
      <c r="D7" s="22" t="s">
        <v>416</v>
      </c>
      <c r="E7" s="27" t="s">
        <v>26</v>
      </c>
      <c r="F7" s="27" t="s">
        <v>26</v>
      </c>
      <c r="G7" s="27" t="s">
        <v>26</v>
      </c>
      <c r="H7" s="22" t="s">
        <v>27</v>
      </c>
      <c r="I7" s="20">
        <v>450</v>
      </c>
      <c r="J7" s="20">
        <v>405</v>
      </c>
      <c r="K7" s="20">
        <v>345</v>
      </c>
      <c r="L7" s="30">
        <v>600</v>
      </c>
      <c r="M7" s="30">
        <v>540</v>
      </c>
      <c r="N7" s="35">
        <v>540</v>
      </c>
      <c r="O7" s="35">
        <v>485</v>
      </c>
      <c r="P7" s="35">
        <v>415</v>
      </c>
      <c r="Q7" s="38">
        <v>7</v>
      </c>
      <c r="R7" s="39">
        <f t="shared" si="0"/>
        <v>0.75</v>
      </c>
      <c r="S7" s="38">
        <v>3</v>
      </c>
      <c r="T7" s="39">
        <f t="shared" si="1"/>
        <v>0.9</v>
      </c>
      <c r="U7" s="22" t="s">
        <v>167</v>
      </c>
    </row>
    <row r="8" s="5" customFormat="1" ht="27" customHeight="1" spans="1:21">
      <c r="A8" s="17">
        <v>5</v>
      </c>
      <c r="B8" s="18" t="s">
        <v>417</v>
      </c>
      <c r="C8" s="19">
        <v>33010001808</v>
      </c>
      <c r="D8" s="20" t="s">
        <v>418</v>
      </c>
      <c r="E8" s="27" t="s">
        <v>26</v>
      </c>
      <c r="F8" s="27" t="s">
        <v>26</v>
      </c>
      <c r="G8" s="27" t="s">
        <v>26</v>
      </c>
      <c r="H8" s="20" t="s">
        <v>27</v>
      </c>
      <c r="I8" s="20">
        <v>585</v>
      </c>
      <c r="J8" s="20">
        <v>525</v>
      </c>
      <c r="K8" s="20">
        <v>445</v>
      </c>
      <c r="L8" s="30">
        <v>780</v>
      </c>
      <c r="M8" s="30">
        <v>700</v>
      </c>
      <c r="N8" s="35">
        <v>700</v>
      </c>
      <c r="O8" s="35">
        <v>630</v>
      </c>
      <c r="P8" s="35">
        <v>540</v>
      </c>
      <c r="Q8" s="38">
        <v>8</v>
      </c>
      <c r="R8" s="39">
        <f t="shared" si="0"/>
        <v>0.75</v>
      </c>
      <c r="S8" s="38">
        <v>2</v>
      </c>
      <c r="T8" s="39">
        <f t="shared" si="1"/>
        <v>0.897435897435897</v>
      </c>
      <c r="U8" s="22" t="s">
        <v>167</v>
      </c>
    </row>
    <row r="9" s="5" customFormat="1" ht="27" customHeight="1" spans="1:21">
      <c r="A9" s="23">
        <v>6</v>
      </c>
      <c r="B9" s="18" t="s">
        <v>419</v>
      </c>
      <c r="C9" s="24">
        <v>33000000006</v>
      </c>
      <c r="D9" s="25" t="s">
        <v>420</v>
      </c>
      <c r="E9" s="28" t="s">
        <v>26</v>
      </c>
      <c r="F9" s="28" t="s">
        <v>26</v>
      </c>
      <c r="G9" s="28" t="s">
        <v>421</v>
      </c>
      <c r="H9" s="25" t="s">
        <v>27</v>
      </c>
      <c r="I9" s="25">
        <v>500</v>
      </c>
      <c r="J9" s="25">
        <v>480</v>
      </c>
      <c r="K9" s="25">
        <v>408</v>
      </c>
      <c r="L9" s="31">
        <v>600</v>
      </c>
      <c r="M9" s="31">
        <v>540</v>
      </c>
      <c r="N9" s="36">
        <v>580</v>
      </c>
      <c r="O9" s="36">
        <v>520</v>
      </c>
      <c r="P9" s="36">
        <v>440</v>
      </c>
      <c r="Q9" s="40">
        <v>9</v>
      </c>
      <c r="R9" s="41">
        <f t="shared" si="0"/>
        <v>0.833333333333333</v>
      </c>
      <c r="S9" s="40">
        <v>6</v>
      </c>
      <c r="T9" s="41">
        <f t="shared" si="1"/>
        <v>0.966666666666667</v>
      </c>
      <c r="U9" s="42" t="s">
        <v>422</v>
      </c>
    </row>
    <row r="10" s="5" customFormat="1" ht="27" customHeight="1" spans="1:21">
      <c r="A10" s="17">
        <v>7</v>
      </c>
      <c r="B10" s="18" t="s">
        <v>423</v>
      </c>
      <c r="C10" s="19">
        <v>331501056</v>
      </c>
      <c r="D10" s="20" t="s">
        <v>424</v>
      </c>
      <c r="E10" s="27" t="s">
        <v>425</v>
      </c>
      <c r="F10" s="27" t="s">
        <v>26</v>
      </c>
      <c r="G10" s="27" t="s">
        <v>26</v>
      </c>
      <c r="H10" s="20" t="s">
        <v>303</v>
      </c>
      <c r="I10" s="20">
        <v>3380</v>
      </c>
      <c r="J10" s="20">
        <v>3040</v>
      </c>
      <c r="K10" s="20">
        <v>2580</v>
      </c>
      <c r="L10" s="30">
        <v>3840</v>
      </c>
      <c r="M10" s="30">
        <v>3460</v>
      </c>
      <c r="N10" s="35">
        <v>3650</v>
      </c>
      <c r="O10" s="35">
        <v>3285</v>
      </c>
      <c r="P10" s="35">
        <v>2795</v>
      </c>
      <c r="Q10" s="38">
        <v>6</v>
      </c>
      <c r="R10" s="39">
        <f t="shared" si="0"/>
        <v>0.880208333333333</v>
      </c>
      <c r="S10" s="38">
        <v>4</v>
      </c>
      <c r="T10" s="39">
        <f t="shared" si="1"/>
        <v>0.950520833333333</v>
      </c>
      <c r="U10" s="22" t="s">
        <v>422</v>
      </c>
    </row>
    <row r="11" s="5" customFormat="1" ht="27" customHeight="1" spans="1:21">
      <c r="A11" s="17">
        <v>8</v>
      </c>
      <c r="B11" s="18" t="s">
        <v>426</v>
      </c>
      <c r="C11" s="19">
        <v>33150105601</v>
      </c>
      <c r="D11" s="20" t="s">
        <v>427</v>
      </c>
      <c r="E11" s="27" t="s">
        <v>425</v>
      </c>
      <c r="F11" s="27" t="s">
        <v>26</v>
      </c>
      <c r="G11" s="27" t="s">
        <v>26</v>
      </c>
      <c r="H11" s="20" t="s">
        <v>303</v>
      </c>
      <c r="I11" s="20">
        <v>4395</v>
      </c>
      <c r="J11" s="20">
        <v>3950</v>
      </c>
      <c r="K11" s="20">
        <v>3360</v>
      </c>
      <c r="L11" s="30">
        <v>4990</v>
      </c>
      <c r="M11" s="30">
        <v>4500</v>
      </c>
      <c r="N11" s="35">
        <v>4745</v>
      </c>
      <c r="O11" s="35">
        <v>4270</v>
      </c>
      <c r="P11" s="35">
        <v>3635</v>
      </c>
      <c r="Q11" s="38">
        <v>6</v>
      </c>
      <c r="R11" s="39">
        <f t="shared" si="0"/>
        <v>0.880761523046092</v>
      </c>
      <c r="S11" s="38">
        <v>3</v>
      </c>
      <c r="T11" s="39">
        <f t="shared" si="1"/>
        <v>0.950901803607214</v>
      </c>
      <c r="U11" s="22" t="s">
        <v>422</v>
      </c>
    </row>
    <row r="12" s="5" customFormat="1" ht="27" customHeight="1" spans="1:21">
      <c r="A12" s="17">
        <v>9</v>
      </c>
      <c r="B12" s="18" t="s">
        <v>428</v>
      </c>
      <c r="C12" s="19">
        <v>33150105602</v>
      </c>
      <c r="D12" s="20" t="s">
        <v>429</v>
      </c>
      <c r="E12" s="27" t="s">
        <v>26</v>
      </c>
      <c r="F12" s="27" t="s">
        <v>26</v>
      </c>
      <c r="G12" s="27" t="s">
        <v>26</v>
      </c>
      <c r="H12" s="20" t="s">
        <v>303</v>
      </c>
      <c r="I12" s="20">
        <v>3880</v>
      </c>
      <c r="J12" s="20">
        <v>3520</v>
      </c>
      <c r="K12" s="20">
        <v>2988</v>
      </c>
      <c r="L12" s="30">
        <v>4440</v>
      </c>
      <c r="M12" s="30">
        <v>4060</v>
      </c>
      <c r="N12" s="35">
        <v>4230</v>
      </c>
      <c r="O12" s="35">
        <v>3805</v>
      </c>
      <c r="P12" s="35">
        <v>3235</v>
      </c>
      <c r="Q12" s="38">
        <v>7</v>
      </c>
      <c r="R12" s="39">
        <f t="shared" si="0"/>
        <v>0.873873873873874</v>
      </c>
      <c r="S12" s="38">
        <v>4</v>
      </c>
      <c r="T12" s="39">
        <f t="shared" si="1"/>
        <v>0.952702702702703</v>
      </c>
      <c r="U12" s="22" t="s">
        <v>422</v>
      </c>
    </row>
    <row r="13" s="5" customFormat="1" ht="27" customHeight="1" spans="1:21">
      <c r="A13" s="17">
        <v>10</v>
      </c>
      <c r="B13" s="18" t="s">
        <v>430</v>
      </c>
      <c r="C13" s="19">
        <v>33150105603</v>
      </c>
      <c r="D13" s="20" t="s">
        <v>431</v>
      </c>
      <c r="E13" s="27" t="s">
        <v>26</v>
      </c>
      <c r="F13" s="27" t="s">
        <v>26</v>
      </c>
      <c r="G13" s="27" t="s">
        <v>26</v>
      </c>
      <c r="H13" s="20" t="s">
        <v>303</v>
      </c>
      <c r="I13" s="20">
        <v>4895</v>
      </c>
      <c r="J13" s="20">
        <v>4430</v>
      </c>
      <c r="K13" s="20">
        <v>3770</v>
      </c>
      <c r="L13" s="30">
        <v>5590</v>
      </c>
      <c r="M13" s="30">
        <v>5100</v>
      </c>
      <c r="N13" s="35">
        <v>5325</v>
      </c>
      <c r="O13" s="35">
        <v>4790</v>
      </c>
      <c r="P13" s="35">
        <v>4075</v>
      </c>
      <c r="Q13" s="38">
        <v>7</v>
      </c>
      <c r="R13" s="39">
        <f t="shared" si="0"/>
        <v>0.87567084078712</v>
      </c>
      <c r="S13" s="38">
        <v>3</v>
      </c>
      <c r="T13" s="39">
        <f t="shared" si="1"/>
        <v>0.952593917710197</v>
      </c>
      <c r="U13" s="22" t="s">
        <v>422</v>
      </c>
    </row>
    <row r="14" s="5" customFormat="1" ht="27" hidden="1" customHeight="1" spans="1:21">
      <c r="A14" s="17"/>
      <c r="B14" s="18" t="s">
        <v>432</v>
      </c>
      <c r="C14" s="19">
        <v>33150600901</v>
      </c>
      <c r="D14" s="20" t="s">
        <v>433</v>
      </c>
      <c r="E14" s="27" t="s">
        <v>26</v>
      </c>
      <c r="F14" s="27" t="s">
        <v>26</v>
      </c>
      <c r="G14" s="27" t="s">
        <v>434</v>
      </c>
      <c r="H14" s="20" t="s">
        <v>27</v>
      </c>
      <c r="I14" s="20">
        <v>1500</v>
      </c>
      <c r="J14" s="20">
        <v>1440</v>
      </c>
      <c r="K14" s="20">
        <v>1224</v>
      </c>
      <c r="L14" s="30">
        <v>1620</v>
      </c>
      <c r="M14" s="30">
        <v>1460</v>
      </c>
      <c r="N14" s="35"/>
      <c r="O14" s="35"/>
      <c r="P14" s="35"/>
      <c r="Q14" s="38"/>
      <c r="R14" s="39">
        <f t="shared" si="0"/>
        <v>0.925925925925926</v>
      </c>
      <c r="S14" s="38"/>
      <c r="T14" s="39"/>
      <c r="U14" s="22" t="s">
        <v>435</v>
      </c>
    </row>
    <row r="15" s="5" customFormat="1" ht="27" hidden="1" customHeight="1" spans="1:21">
      <c r="A15" s="17"/>
      <c r="B15" s="18" t="s">
        <v>436</v>
      </c>
      <c r="C15" s="19">
        <v>33150600903</v>
      </c>
      <c r="D15" s="20" t="s">
        <v>437</v>
      </c>
      <c r="E15" s="27" t="s">
        <v>26</v>
      </c>
      <c r="F15" s="27" t="s">
        <v>26</v>
      </c>
      <c r="G15" s="27" t="s">
        <v>26</v>
      </c>
      <c r="H15" s="20" t="s">
        <v>27</v>
      </c>
      <c r="I15" s="20">
        <v>1950</v>
      </c>
      <c r="J15" s="20">
        <v>1870</v>
      </c>
      <c r="K15" s="20">
        <v>1590</v>
      </c>
      <c r="L15" s="30">
        <v>2105</v>
      </c>
      <c r="M15" s="30">
        <v>1900</v>
      </c>
      <c r="N15" s="35"/>
      <c r="O15" s="35"/>
      <c r="P15" s="35"/>
      <c r="Q15" s="38"/>
      <c r="R15" s="39">
        <f t="shared" si="0"/>
        <v>0.926365795724466</v>
      </c>
      <c r="S15" s="38"/>
      <c r="T15" s="39"/>
      <c r="U15" s="22" t="s">
        <v>435</v>
      </c>
    </row>
    <row r="16" s="5" customFormat="1" ht="27" customHeight="1" spans="1:21">
      <c r="A16" s="17">
        <v>11</v>
      </c>
      <c r="B16" s="18" t="s">
        <v>438</v>
      </c>
      <c r="C16" s="19">
        <v>33150600904</v>
      </c>
      <c r="D16" s="20" t="s">
        <v>439</v>
      </c>
      <c r="E16" s="27" t="s">
        <v>26</v>
      </c>
      <c r="F16" s="27" t="s">
        <v>26</v>
      </c>
      <c r="G16" s="27" t="s">
        <v>26</v>
      </c>
      <c r="H16" s="20" t="s">
        <v>27</v>
      </c>
      <c r="I16" s="20">
        <v>2000</v>
      </c>
      <c r="J16" s="20">
        <v>1920</v>
      </c>
      <c r="K16" s="20">
        <v>1632</v>
      </c>
      <c r="L16" s="30">
        <v>2220</v>
      </c>
      <c r="M16" s="30">
        <v>2060</v>
      </c>
      <c r="N16" s="35">
        <v>2080</v>
      </c>
      <c r="O16" s="35">
        <v>1960</v>
      </c>
      <c r="P16" s="35">
        <v>1664</v>
      </c>
      <c r="Q16" s="38">
        <v>6</v>
      </c>
      <c r="R16" s="39">
        <f t="shared" si="0"/>
        <v>0.900900900900901</v>
      </c>
      <c r="S16" s="38">
        <v>6</v>
      </c>
      <c r="T16" s="39">
        <f t="shared" ref="T16:T21" si="2">N16/L16</f>
        <v>0.936936936936937</v>
      </c>
      <c r="U16" s="22" t="s">
        <v>422</v>
      </c>
    </row>
    <row r="17" s="5" customFormat="1" ht="27" customHeight="1" spans="1:21">
      <c r="A17" s="17">
        <v>12</v>
      </c>
      <c r="B17" s="18" t="s">
        <v>440</v>
      </c>
      <c r="C17" s="19">
        <v>33150600905</v>
      </c>
      <c r="D17" s="20" t="s">
        <v>441</v>
      </c>
      <c r="E17" s="27" t="s">
        <v>26</v>
      </c>
      <c r="F17" s="27" t="s">
        <v>26</v>
      </c>
      <c r="G17" s="27" t="s">
        <v>26</v>
      </c>
      <c r="H17" s="20" t="s">
        <v>27</v>
      </c>
      <c r="I17" s="20">
        <v>2450</v>
      </c>
      <c r="J17" s="20">
        <v>2350</v>
      </c>
      <c r="K17" s="20">
        <v>2000</v>
      </c>
      <c r="L17" s="30">
        <v>2705</v>
      </c>
      <c r="M17" s="30">
        <v>2500</v>
      </c>
      <c r="N17" s="35">
        <v>2530</v>
      </c>
      <c r="O17" s="35">
        <v>2390</v>
      </c>
      <c r="P17" s="35">
        <v>2030</v>
      </c>
      <c r="Q17" s="38">
        <v>6</v>
      </c>
      <c r="R17" s="39">
        <f t="shared" ref="R17:R48" si="3">I17/L17</f>
        <v>0.905730129390019</v>
      </c>
      <c r="S17" s="38">
        <v>6</v>
      </c>
      <c r="T17" s="39">
        <f t="shared" si="2"/>
        <v>0.935304990757856</v>
      </c>
      <c r="U17" s="22" t="s">
        <v>422</v>
      </c>
    </row>
    <row r="18" s="5" customFormat="1" ht="27" hidden="1" customHeight="1" spans="1:21">
      <c r="A18" s="17"/>
      <c r="B18" s="18" t="s">
        <v>442</v>
      </c>
      <c r="C18" s="19">
        <v>331506010</v>
      </c>
      <c r="D18" s="20" t="s">
        <v>443</v>
      </c>
      <c r="E18" s="27" t="s">
        <v>26</v>
      </c>
      <c r="F18" s="27" t="s">
        <v>26</v>
      </c>
      <c r="G18" s="27" t="s">
        <v>26</v>
      </c>
      <c r="H18" s="20" t="s">
        <v>27</v>
      </c>
      <c r="I18" s="20">
        <v>1750</v>
      </c>
      <c r="J18" s="20">
        <v>1680</v>
      </c>
      <c r="K18" s="20">
        <v>1428</v>
      </c>
      <c r="L18" s="30">
        <v>1890</v>
      </c>
      <c r="M18" s="30">
        <v>1700</v>
      </c>
      <c r="N18" s="35"/>
      <c r="O18" s="35"/>
      <c r="P18" s="35"/>
      <c r="Q18" s="38"/>
      <c r="R18" s="39">
        <f t="shared" si="3"/>
        <v>0.925925925925926</v>
      </c>
      <c r="S18" s="38"/>
      <c r="T18" s="39"/>
      <c r="U18" s="22" t="s">
        <v>435</v>
      </c>
    </row>
    <row r="19" s="5" customFormat="1" ht="27" hidden="1" customHeight="1" spans="1:21">
      <c r="A19" s="17"/>
      <c r="B19" s="18" t="s">
        <v>444</v>
      </c>
      <c r="C19" s="19">
        <v>33150601001</v>
      </c>
      <c r="D19" s="20" t="s">
        <v>445</v>
      </c>
      <c r="E19" s="27" t="s">
        <v>26</v>
      </c>
      <c r="F19" s="27" t="s">
        <v>26</v>
      </c>
      <c r="G19" s="27" t="s">
        <v>26</v>
      </c>
      <c r="H19" s="20" t="s">
        <v>27</v>
      </c>
      <c r="I19" s="20">
        <v>2275</v>
      </c>
      <c r="J19" s="20">
        <v>2185</v>
      </c>
      <c r="K19" s="20">
        <v>1855</v>
      </c>
      <c r="L19" s="30">
        <v>2455</v>
      </c>
      <c r="M19" s="30">
        <v>2210</v>
      </c>
      <c r="N19" s="35"/>
      <c r="O19" s="35"/>
      <c r="P19" s="35"/>
      <c r="Q19" s="38"/>
      <c r="R19" s="39">
        <f t="shared" si="3"/>
        <v>0.926680244399185</v>
      </c>
      <c r="S19" s="38"/>
      <c r="T19" s="39"/>
      <c r="U19" s="22" t="s">
        <v>435</v>
      </c>
    </row>
    <row r="20" s="5" customFormat="1" ht="27" customHeight="1" spans="1:21">
      <c r="A20" s="17">
        <v>13</v>
      </c>
      <c r="B20" s="18" t="s">
        <v>446</v>
      </c>
      <c r="C20" s="19">
        <v>33150601002</v>
      </c>
      <c r="D20" s="20" t="s">
        <v>447</v>
      </c>
      <c r="E20" s="27" t="s">
        <v>26</v>
      </c>
      <c r="F20" s="27" t="s">
        <v>26</v>
      </c>
      <c r="G20" s="27" t="s">
        <v>26</v>
      </c>
      <c r="H20" s="20" t="s">
        <v>27</v>
      </c>
      <c r="I20" s="20">
        <v>2250</v>
      </c>
      <c r="J20" s="20">
        <v>2160</v>
      </c>
      <c r="K20" s="20">
        <v>1836</v>
      </c>
      <c r="L20" s="30">
        <v>2490</v>
      </c>
      <c r="M20" s="30">
        <v>2300</v>
      </c>
      <c r="N20" s="35">
        <v>2330</v>
      </c>
      <c r="O20" s="35">
        <v>2200</v>
      </c>
      <c r="P20" s="35">
        <v>1868</v>
      </c>
      <c r="Q20" s="38">
        <v>6</v>
      </c>
      <c r="R20" s="39">
        <f t="shared" si="3"/>
        <v>0.903614457831325</v>
      </c>
      <c r="S20" s="38">
        <v>6</v>
      </c>
      <c r="T20" s="39">
        <f t="shared" si="2"/>
        <v>0.93574297188755</v>
      </c>
      <c r="U20" s="22" t="s">
        <v>422</v>
      </c>
    </row>
    <row r="21" s="5" customFormat="1" ht="27" customHeight="1" spans="1:21">
      <c r="A21" s="17">
        <v>14</v>
      </c>
      <c r="B21" s="18" t="s">
        <v>448</v>
      </c>
      <c r="C21" s="19">
        <v>33150601003</v>
      </c>
      <c r="D21" s="20" t="s">
        <v>449</v>
      </c>
      <c r="E21" s="27" t="s">
        <v>26</v>
      </c>
      <c r="F21" s="27" t="s">
        <v>26</v>
      </c>
      <c r="G21" s="27" t="s">
        <v>26</v>
      </c>
      <c r="H21" s="20" t="s">
        <v>27</v>
      </c>
      <c r="I21" s="20">
        <v>2775</v>
      </c>
      <c r="J21" s="20">
        <v>2665</v>
      </c>
      <c r="K21" s="20">
        <v>2265</v>
      </c>
      <c r="L21" s="30">
        <v>3055</v>
      </c>
      <c r="M21" s="30">
        <v>2810</v>
      </c>
      <c r="N21" s="35">
        <v>2855</v>
      </c>
      <c r="O21" s="35">
        <v>2705</v>
      </c>
      <c r="P21" s="35">
        <v>2295</v>
      </c>
      <c r="Q21" s="38">
        <v>6</v>
      </c>
      <c r="R21" s="39">
        <f t="shared" si="3"/>
        <v>0.908346972176759</v>
      </c>
      <c r="S21" s="38">
        <v>6</v>
      </c>
      <c r="T21" s="39">
        <f t="shared" si="2"/>
        <v>0.934533551554828</v>
      </c>
      <c r="U21" s="22" t="s">
        <v>422</v>
      </c>
    </row>
    <row r="22" s="5" customFormat="1" ht="27" hidden="1" customHeight="1" spans="1:21">
      <c r="A22" s="17"/>
      <c r="B22" s="18" t="s">
        <v>450</v>
      </c>
      <c r="C22" s="19">
        <v>331506011</v>
      </c>
      <c r="D22" s="20" t="s">
        <v>451</v>
      </c>
      <c r="E22" s="27" t="s">
        <v>26</v>
      </c>
      <c r="F22" s="27" t="s">
        <v>26</v>
      </c>
      <c r="G22" s="27" t="s">
        <v>452</v>
      </c>
      <c r="H22" s="20" t="s">
        <v>27</v>
      </c>
      <c r="I22" s="20">
        <v>2560</v>
      </c>
      <c r="J22" s="20">
        <v>2300</v>
      </c>
      <c r="K22" s="20">
        <v>1840</v>
      </c>
      <c r="L22" s="30">
        <v>2690</v>
      </c>
      <c r="M22" s="30">
        <v>2420</v>
      </c>
      <c r="N22" s="35"/>
      <c r="O22" s="35"/>
      <c r="P22" s="35"/>
      <c r="Q22" s="38"/>
      <c r="R22" s="39">
        <f t="shared" si="3"/>
        <v>0.951672862453532</v>
      </c>
      <c r="S22" s="38"/>
      <c r="T22" s="39"/>
      <c r="U22" s="22" t="s">
        <v>258</v>
      </c>
    </row>
    <row r="23" s="5" customFormat="1" ht="27" customHeight="1" spans="1:21">
      <c r="A23" s="17">
        <v>15</v>
      </c>
      <c r="B23" s="18" t="s">
        <v>453</v>
      </c>
      <c r="C23" s="19">
        <v>33150601101</v>
      </c>
      <c r="D23" s="20" t="s">
        <v>454</v>
      </c>
      <c r="E23" s="27" t="s">
        <v>26</v>
      </c>
      <c r="F23" s="27" t="s">
        <v>26</v>
      </c>
      <c r="G23" s="27" t="s">
        <v>455</v>
      </c>
      <c r="H23" s="20" t="s">
        <v>27</v>
      </c>
      <c r="I23" s="20">
        <v>3140</v>
      </c>
      <c r="J23" s="20">
        <v>2820</v>
      </c>
      <c r="K23" s="20">
        <v>2255</v>
      </c>
      <c r="L23" s="30">
        <v>3330</v>
      </c>
      <c r="M23" s="30">
        <v>2990</v>
      </c>
      <c r="N23" s="35">
        <v>3140</v>
      </c>
      <c r="O23" s="35">
        <v>2820</v>
      </c>
      <c r="P23" s="35">
        <v>2280</v>
      </c>
      <c r="Q23" s="38">
        <v>5</v>
      </c>
      <c r="R23" s="39">
        <f t="shared" si="3"/>
        <v>0.942942942942943</v>
      </c>
      <c r="S23" s="38">
        <v>5</v>
      </c>
      <c r="T23" s="39">
        <f t="shared" ref="T23:T27" si="4">N23/L23</f>
        <v>0.942942942942943</v>
      </c>
      <c r="U23" s="22" t="s">
        <v>422</v>
      </c>
    </row>
    <row r="24" s="5" customFormat="1" ht="27" hidden="1" customHeight="1" spans="1:21">
      <c r="A24" s="17"/>
      <c r="B24" s="18" t="s">
        <v>456</v>
      </c>
      <c r="C24" s="19">
        <v>33150601102</v>
      </c>
      <c r="D24" s="20" t="s">
        <v>457</v>
      </c>
      <c r="E24" s="27" t="s">
        <v>26</v>
      </c>
      <c r="F24" s="27" t="s">
        <v>26</v>
      </c>
      <c r="G24" s="27" t="s">
        <v>26</v>
      </c>
      <c r="H24" s="20" t="s">
        <v>27</v>
      </c>
      <c r="I24" s="20">
        <v>3330</v>
      </c>
      <c r="J24" s="20">
        <v>2990</v>
      </c>
      <c r="K24" s="20">
        <v>2390</v>
      </c>
      <c r="L24" s="30">
        <v>3495</v>
      </c>
      <c r="M24" s="30">
        <v>3145</v>
      </c>
      <c r="N24" s="35"/>
      <c r="O24" s="35"/>
      <c r="P24" s="35"/>
      <c r="Q24" s="38"/>
      <c r="R24" s="39">
        <f t="shared" si="3"/>
        <v>0.952789699570815</v>
      </c>
      <c r="S24" s="38"/>
      <c r="T24" s="39"/>
      <c r="U24" s="22" t="s">
        <v>435</v>
      </c>
    </row>
    <row r="25" s="5" customFormat="1" ht="27" customHeight="1" spans="1:21">
      <c r="A25" s="17">
        <v>16</v>
      </c>
      <c r="B25" s="18" t="s">
        <v>458</v>
      </c>
      <c r="C25" s="19">
        <v>33150601103</v>
      </c>
      <c r="D25" s="20" t="s">
        <v>459</v>
      </c>
      <c r="E25" s="27" t="s">
        <v>26</v>
      </c>
      <c r="F25" s="27" t="s">
        <v>26</v>
      </c>
      <c r="G25" s="27" t="s">
        <v>455</v>
      </c>
      <c r="H25" s="20" t="s">
        <v>27</v>
      </c>
      <c r="I25" s="20">
        <v>3910</v>
      </c>
      <c r="J25" s="20">
        <v>3510</v>
      </c>
      <c r="K25" s="20">
        <v>2805</v>
      </c>
      <c r="L25" s="30">
        <v>4135</v>
      </c>
      <c r="M25" s="30">
        <v>3715</v>
      </c>
      <c r="N25" s="35">
        <v>3910</v>
      </c>
      <c r="O25" s="35">
        <v>3510</v>
      </c>
      <c r="P25" s="35">
        <v>2830</v>
      </c>
      <c r="Q25" s="38">
        <v>5</v>
      </c>
      <c r="R25" s="39">
        <f t="shared" si="3"/>
        <v>0.945586457073761</v>
      </c>
      <c r="S25" s="38">
        <v>5</v>
      </c>
      <c r="T25" s="39">
        <f t="shared" si="4"/>
        <v>0.945586457073761</v>
      </c>
      <c r="U25" s="22" t="s">
        <v>422</v>
      </c>
    </row>
    <row r="26" s="5" customFormat="1" ht="27" hidden="1" customHeight="1" spans="1:21">
      <c r="A26" s="17"/>
      <c r="B26" s="18" t="s">
        <v>460</v>
      </c>
      <c r="C26" s="19">
        <v>331506012</v>
      </c>
      <c r="D26" s="20" t="s">
        <v>461</v>
      </c>
      <c r="E26" s="27" t="s">
        <v>26</v>
      </c>
      <c r="F26" s="27" t="s">
        <v>26</v>
      </c>
      <c r="G26" s="27" t="s">
        <v>462</v>
      </c>
      <c r="H26" s="20" t="s">
        <v>27</v>
      </c>
      <c r="I26" s="20">
        <v>2735</v>
      </c>
      <c r="J26" s="20">
        <v>2460</v>
      </c>
      <c r="K26" s="20">
        <v>1970</v>
      </c>
      <c r="L26" s="30">
        <v>2880</v>
      </c>
      <c r="M26" s="30">
        <v>2590</v>
      </c>
      <c r="N26" s="35"/>
      <c r="O26" s="35"/>
      <c r="P26" s="35"/>
      <c r="Q26" s="38"/>
      <c r="R26" s="39">
        <f t="shared" si="3"/>
        <v>0.949652777777778</v>
      </c>
      <c r="S26" s="38"/>
      <c r="T26" s="39"/>
      <c r="U26" s="22" t="s">
        <v>258</v>
      </c>
    </row>
    <row r="27" s="5" customFormat="1" ht="27" customHeight="1" spans="1:21">
      <c r="A27" s="17">
        <v>17</v>
      </c>
      <c r="B27" s="18" t="s">
        <v>463</v>
      </c>
      <c r="C27" s="19">
        <v>33150601201</v>
      </c>
      <c r="D27" s="20" t="s">
        <v>464</v>
      </c>
      <c r="E27" s="27" t="s">
        <v>26</v>
      </c>
      <c r="F27" s="27" t="s">
        <v>26</v>
      </c>
      <c r="G27" s="27" t="s">
        <v>455</v>
      </c>
      <c r="H27" s="20" t="s">
        <v>27</v>
      </c>
      <c r="I27" s="20">
        <v>3315</v>
      </c>
      <c r="J27" s="20">
        <v>2980</v>
      </c>
      <c r="K27" s="20">
        <v>2385</v>
      </c>
      <c r="L27" s="30">
        <v>3520</v>
      </c>
      <c r="M27" s="30">
        <v>3170</v>
      </c>
      <c r="N27" s="35">
        <v>3315</v>
      </c>
      <c r="O27" s="35">
        <v>2980</v>
      </c>
      <c r="P27" s="35">
        <v>2410</v>
      </c>
      <c r="Q27" s="38">
        <v>5</v>
      </c>
      <c r="R27" s="39">
        <f t="shared" si="3"/>
        <v>0.941761363636364</v>
      </c>
      <c r="S27" s="38">
        <v>5</v>
      </c>
      <c r="T27" s="39">
        <f t="shared" si="4"/>
        <v>0.941761363636364</v>
      </c>
      <c r="U27" s="22" t="s">
        <v>422</v>
      </c>
    </row>
    <row r="28" s="5" customFormat="1" ht="27" hidden="1" customHeight="1" spans="1:21">
      <c r="A28" s="17"/>
      <c r="B28" s="18" t="s">
        <v>465</v>
      </c>
      <c r="C28" s="19">
        <v>33150601202</v>
      </c>
      <c r="D28" s="20" t="s">
        <v>466</v>
      </c>
      <c r="E28" s="27" t="s">
        <v>26</v>
      </c>
      <c r="F28" s="27" t="s">
        <v>26</v>
      </c>
      <c r="G28" s="27" t="s">
        <v>26</v>
      </c>
      <c r="H28" s="20" t="s">
        <v>27</v>
      </c>
      <c r="I28" s="20">
        <v>3555</v>
      </c>
      <c r="J28" s="20">
        <v>3200</v>
      </c>
      <c r="K28" s="20">
        <v>2560</v>
      </c>
      <c r="L28" s="30">
        <v>3745</v>
      </c>
      <c r="M28" s="30">
        <v>3365</v>
      </c>
      <c r="N28" s="35"/>
      <c r="O28" s="35"/>
      <c r="P28" s="35"/>
      <c r="Q28" s="38"/>
      <c r="R28" s="39">
        <f t="shared" si="3"/>
        <v>0.949265687583445</v>
      </c>
      <c r="S28" s="38"/>
      <c r="T28" s="39"/>
      <c r="U28" s="22" t="s">
        <v>435</v>
      </c>
    </row>
    <row r="29" s="5" customFormat="1" ht="27" customHeight="1" spans="1:21">
      <c r="A29" s="17">
        <v>18</v>
      </c>
      <c r="B29" s="18" t="s">
        <v>467</v>
      </c>
      <c r="C29" s="19">
        <v>33150601203</v>
      </c>
      <c r="D29" s="20" t="s">
        <v>468</v>
      </c>
      <c r="E29" s="27" t="s">
        <v>26</v>
      </c>
      <c r="F29" s="27" t="s">
        <v>26</v>
      </c>
      <c r="G29" s="27" t="s">
        <v>455</v>
      </c>
      <c r="H29" s="20" t="s">
        <v>27</v>
      </c>
      <c r="I29" s="20">
        <v>4135</v>
      </c>
      <c r="J29" s="20">
        <v>3720</v>
      </c>
      <c r="K29" s="20">
        <v>2975</v>
      </c>
      <c r="L29" s="30">
        <v>4385</v>
      </c>
      <c r="M29" s="30">
        <v>3945</v>
      </c>
      <c r="N29" s="35">
        <v>4135</v>
      </c>
      <c r="O29" s="35">
        <v>3720</v>
      </c>
      <c r="P29" s="35">
        <v>3000</v>
      </c>
      <c r="Q29" s="38">
        <v>5</v>
      </c>
      <c r="R29" s="39">
        <f t="shared" si="3"/>
        <v>0.942987457240593</v>
      </c>
      <c r="S29" s="38">
        <v>5</v>
      </c>
      <c r="T29" s="39">
        <f t="shared" ref="T29:T33" si="5">N29/L29</f>
        <v>0.942987457240593</v>
      </c>
      <c r="U29" s="22" t="s">
        <v>422</v>
      </c>
    </row>
    <row r="30" s="5" customFormat="1" ht="27" hidden="1" customHeight="1" spans="1:21">
      <c r="A30" s="17"/>
      <c r="B30" s="18" t="s">
        <v>469</v>
      </c>
      <c r="C30" s="19">
        <v>331506013</v>
      </c>
      <c r="D30" s="20" t="s">
        <v>470</v>
      </c>
      <c r="E30" s="27" t="s">
        <v>26</v>
      </c>
      <c r="F30" s="27" t="s">
        <v>26</v>
      </c>
      <c r="G30" s="27" t="s">
        <v>462</v>
      </c>
      <c r="H30" s="20" t="s">
        <v>27</v>
      </c>
      <c r="I30" s="20">
        <v>2735</v>
      </c>
      <c r="J30" s="20">
        <v>2460</v>
      </c>
      <c r="K30" s="20">
        <v>1970</v>
      </c>
      <c r="L30" s="30">
        <v>2880</v>
      </c>
      <c r="M30" s="30">
        <v>2590</v>
      </c>
      <c r="N30" s="35"/>
      <c r="O30" s="35"/>
      <c r="P30" s="35"/>
      <c r="Q30" s="38"/>
      <c r="R30" s="39">
        <f t="shared" si="3"/>
        <v>0.949652777777778</v>
      </c>
      <c r="S30" s="38"/>
      <c r="T30" s="39"/>
      <c r="U30" s="22" t="s">
        <v>258</v>
      </c>
    </row>
    <row r="31" s="5" customFormat="1" ht="27" customHeight="1" spans="1:21">
      <c r="A31" s="17">
        <v>19</v>
      </c>
      <c r="B31" s="18" t="s">
        <v>471</v>
      </c>
      <c r="C31" s="19">
        <v>33150601301</v>
      </c>
      <c r="D31" s="20" t="s">
        <v>472</v>
      </c>
      <c r="E31" s="27" t="s">
        <v>26</v>
      </c>
      <c r="F31" s="27" t="s">
        <v>26</v>
      </c>
      <c r="G31" s="27" t="s">
        <v>455</v>
      </c>
      <c r="H31" s="20" t="s">
        <v>27</v>
      </c>
      <c r="I31" s="20">
        <v>3315</v>
      </c>
      <c r="J31" s="20">
        <v>2980</v>
      </c>
      <c r="K31" s="20">
        <v>2385</v>
      </c>
      <c r="L31" s="30">
        <v>3520</v>
      </c>
      <c r="M31" s="30">
        <v>3170</v>
      </c>
      <c r="N31" s="35">
        <v>3315</v>
      </c>
      <c r="O31" s="35">
        <v>2980</v>
      </c>
      <c r="P31" s="35">
        <v>2410</v>
      </c>
      <c r="Q31" s="38">
        <v>5</v>
      </c>
      <c r="R31" s="39">
        <f t="shared" si="3"/>
        <v>0.941761363636364</v>
      </c>
      <c r="S31" s="38">
        <v>5</v>
      </c>
      <c r="T31" s="39">
        <f t="shared" si="5"/>
        <v>0.941761363636364</v>
      </c>
      <c r="U31" s="22" t="s">
        <v>422</v>
      </c>
    </row>
    <row r="32" s="5" customFormat="1" ht="27" hidden="1" customHeight="1" spans="1:21">
      <c r="A32" s="17"/>
      <c r="B32" s="18" t="s">
        <v>473</v>
      </c>
      <c r="C32" s="19">
        <v>33150601302</v>
      </c>
      <c r="D32" s="20" t="s">
        <v>474</v>
      </c>
      <c r="E32" s="27" t="s">
        <v>26</v>
      </c>
      <c r="F32" s="27" t="s">
        <v>26</v>
      </c>
      <c r="G32" s="27" t="s">
        <v>26</v>
      </c>
      <c r="H32" s="20" t="s">
        <v>27</v>
      </c>
      <c r="I32" s="20">
        <v>3555</v>
      </c>
      <c r="J32" s="20">
        <v>3200</v>
      </c>
      <c r="K32" s="20">
        <v>2560</v>
      </c>
      <c r="L32" s="30">
        <v>3745</v>
      </c>
      <c r="M32" s="30">
        <v>3365</v>
      </c>
      <c r="N32" s="35"/>
      <c r="O32" s="35"/>
      <c r="P32" s="35"/>
      <c r="Q32" s="38"/>
      <c r="R32" s="39">
        <f t="shared" si="3"/>
        <v>0.949265687583445</v>
      </c>
      <c r="S32" s="38"/>
      <c r="T32" s="39"/>
      <c r="U32" s="22" t="s">
        <v>435</v>
      </c>
    </row>
    <row r="33" s="5" customFormat="1" ht="27" customHeight="1" spans="1:21">
      <c r="A33" s="17">
        <v>20</v>
      </c>
      <c r="B33" s="18" t="s">
        <v>475</v>
      </c>
      <c r="C33" s="19">
        <v>33150601303</v>
      </c>
      <c r="D33" s="20" t="s">
        <v>476</v>
      </c>
      <c r="E33" s="27" t="s">
        <v>26</v>
      </c>
      <c r="F33" s="27" t="s">
        <v>26</v>
      </c>
      <c r="G33" s="27" t="s">
        <v>455</v>
      </c>
      <c r="H33" s="20" t="s">
        <v>27</v>
      </c>
      <c r="I33" s="20">
        <v>4135</v>
      </c>
      <c r="J33" s="20">
        <v>3720</v>
      </c>
      <c r="K33" s="20">
        <v>2975</v>
      </c>
      <c r="L33" s="30">
        <v>4385</v>
      </c>
      <c r="M33" s="30">
        <v>3945</v>
      </c>
      <c r="N33" s="35">
        <v>4135</v>
      </c>
      <c r="O33" s="35">
        <v>3720</v>
      </c>
      <c r="P33" s="35">
        <v>3000</v>
      </c>
      <c r="Q33" s="38">
        <v>5</v>
      </c>
      <c r="R33" s="39">
        <f t="shared" si="3"/>
        <v>0.942987457240593</v>
      </c>
      <c r="S33" s="38">
        <v>5</v>
      </c>
      <c r="T33" s="39">
        <f t="shared" si="5"/>
        <v>0.942987457240593</v>
      </c>
      <c r="U33" s="22" t="s">
        <v>422</v>
      </c>
    </row>
    <row r="34" s="5" customFormat="1" ht="27" hidden="1" customHeight="1" spans="1:21">
      <c r="A34" s="17"/>
      <c r="B34" s="18" t="s">
        <v>477</v>
      </c>
      <c r="C34" s="19">
        <v>331506014</v>
      </c>
      <c r="D34" s="20" t="s">
        <v>478</v>
      </c>
      <c r="E34" s="27" t="s">
        <v>26</v>
      </c>
      <c r="F34" s="27" t="s">
        <v>26</v>
      </c>
      <c r="G34" s="27" t="s">
        <v>26</v>
      </c>
      <c r="H34" s="20" t="s">
        <v>27</v>
      </c>
      <c r="I34" s="20">
        <v>2375</v>
      </c>
      <c r="J34" s="20">
        <v>2135</v>
      </c>
      <c r="K34" s="20">
        <v>1710</v>
      </c>
      <c r="L34" s="30">
        <v>2500</v>
      </c>
      <c r="M34" s="30">
        <v>2240</v>
      </c>
      <c r="N34" s="35"/>
      <c r="O34" s="35"/>
      <c r="P34" s="35"/>
      <c r="Q34" s="38"/>
      <c r="R34" s="39">
        <f t="shared" si="3"/>
        <v>0.95</v>
      </c>
      <c r="S34" s="38"/>
      <c r="T34" s="39"/>
      <c r="U34" s="22" t="s">
        <v>435</v>
      </c>
    </row>
    <row r="35" s="5" customFormat="1" ht="27" hidden="1" customHeight="1" spans="1:21">
      <c r="A35" s="17"/>
      <c r="B35" s="18" t="s">
        <v>479</v>
      </c>
      <c r="C35" s="19">
        <v>33150601401</v>
      </c>
      <c r="D35" s="20" t="s">
        <v>480</v>
      </c>
      <c r="E35" s="27" t="s">
        <v>26</v>
      </c>
      <c r="F35" s="27" t="s">
        <v>26</v>
      </c>
      <c r="G35" s="27" t="s">
        <v>26</v>
      </c>
      <c r="H35" s="20" t="s">
        <v>27</v>
      </c>
      <c r="I35" s="20">
        <v>3085</v>
      </c>
      <c r="J35" s="20">
        <v>2775</v>
      </c>
      <c r="K35" s="20">
        <v>2225</v>
      </c>
      <c r="L35" s="30">
        <v>3250</v>
      </c>
      <c r="M35" s="30">
        <v>2910</v>
      </c>
      <c r="N35" s="35"/>
      <c r="O35" s="35"/>
      <c r="P35" s="35"/>
      <c r="Q35" s="38"/>
      <c r="R35" s="39">
        <f t="shared" si="3"/>
        <v>0.949230769230769</v>
      </c>
      <c r="S35" s="38"/>
      <c r="T35" s="39"/>
      <c r="U35" s="22" t="s">
        <v>435</v>
      </c>
    </row>
    <row r="36" s="5" customFormat="1" ht="27" customHeight="1" spans="1:21">
      <c r="A36" s="17">
        <v>21</v>
      </c>
      <c r="B36" s="18" t="s">
        <v>481</v>
      </c>
      <c r="C36" s="19">
        <v>33150601402</v>
      </c>
      <c r="D36" s="20" t="s">
        <v>482</v>
      </c>
      <c r="E36" s="27" t="s">
        <v>26</v>
      </c>
      <c r="F36" s="27" t="s">
        <v>26</v>
      </c>
      <c r="G36" s="27" t="s">
        <v>26</v>
      </c>
      <c r="H36" s="20" t="s">
        <v>27</v>
      </c>
      <c r="I36" s="20">
        <v>2875</v>
      </c>
      <c r="J36" s="20">
        <v>2615</v>
      </c>
      <c r="K36" s="20">
        <v>2118</v>
      </c>
      <c r="L36" s="30">
        <v>3100</v>
      </c>
      <c r="M36" s="30">
        <v>2840</v>
      </c>
      <c r="N36" s="35">
        <v>2955</v>
      </c>
      <c r="O36" s="35">
        <v>2655</v>
      </c>
      <c r="P36" s="35">
        <v>2150</v>
      </c>
      <c r="Q36" s="38">
        <v>5</v>
      </c>
      <c r="R36" s="39">
        <f t="shared" si="3"/>
        <v>0.92741935483871</v>
      </c>
      <c r="S36" s="38">
        <v>5</v>
      </c>
      <c r="T36" s="39">
        <f>N36/L36</f>
        <v>0.953225806451613</v>
      </c>
      <c r="U36" s="22" t="s">
        <v>422</v>
      </c>
    </row>
    <row r="37" s="5" customFormat="1" ht="27" customHeight="1" spans="1:21">
      <c r="A37" s="17">
        <v>22</v>
      </c>
      <c r="B37" s="18" t="s">
        <v>483</v>
      </c>
      <c r="C37" s="19">
        <v>33150601403</v>
      </c>
      <c r="D37" s="20" t="s">
        <v>484</v>
      </c>
      <c r="E37" s="27" t="s">
        <v>26</v>
      </c>
      <c r="F37" s="27" t="s">
        <v>26</v>
      </c>
      <c r="G37" s="27" t="s">
        <v>26</v>
      </c>
      <c r="H37" s="20" t="s">
        <v>27</v>
      </c>
      <c r="I37" s="20">
        <v>3585</v>
      </c>
      <c r="J37" s="20">
        <v>3255</v>
      </c>
      <c r="K37" s="20">
        <v>2633</v>
      </c>
      <c r="L37" s="30">
        <v>3850</v>
      </c>
      <c r="M37" s="30">
        <v>3510</v>
      </c>
      <c r="N37" s="35">
        <v>3665</v>
      </c>
      <c r="O37" s="35">
        <v>3295</v>
      </c>
      <c r="P37" s="35">
        <v>2665</v>
      </c>
      <c r="Q37" s="38">
        <v>5</v>
      </c>
      <c r="R37" s="39">
        <f t="shared" si="3"/>
        <v>0.931168831168831</v>
      </c>
      <c r="S37" s="38">
        <v>5</v>
      </c>
      <c r="T37" s="39">
        <f>N37/L37</f>
        <v>0.951948051948052</v>
      </c>
      <c r="U37" s="22" t="s">
        <v>422</v>
      </c>
    </row>
    <row r="38" s="5" customFormat="1" ht="27" hidden="1" customHeight="1" spans="1:21">
      <c r="A38" s="17"/>
      <c r="B38" s="18" t="s">
        <v>485</v>
      </c>
      <c r="C38" s="19">
        <v>331506015</v>
      </c>
      <c r="D38" s="20" t="s">
        <v>486</v>
      </c>
      <c r="E38" s="27" t="s">
        <v>487</v>
      </c>
      <c r="F38" s="27" t="s">
        <v>26</v>
      </c>
      <c r="G38" s="27" t="s">
        <v>26</v>
      </c>
      <c r="H38" s="20" t="s">
        <v>27</v>
      </c>
      <c r="I38" s="32">
        <v>625</v>
      </c>
      <c r="J38" s="32">
        <v>600</v>
      </c>
      <c r="K38" s="32">
        <v>510</v>
      </c>
      <c r="L38" s="33">
        <v>3850</v>
      </c>
      <c r="M38" s="30">
        <v>610</v>
      </c>
      <c r="N38" s="35"/>
      <c r="O38" s="35"/>
      <c r="P38" s="35"/>
      <c r="Q38" s="38"/>
      <c r="R38" s="39">
        <f t="shared" si="3"/>
        <v>0.162337662337662</v>
      </c>
      <c r="S38" s="38"/>
      <c r="T38" s="39"/>
      <c r="U38" s="22" t="s">
        <v>435</v>
      </c>
    </row>
    <row r="39" s="5" customFormat="1" ht="27" hidden="1" customHeight="1" spans="1:21">
      <c r="A39" s="17"/>
      <c r="B39" s="18" t="s">
        <v>488</v>
      </c>
      <c r="C39" s="19">
        <v>33150601501</v>
      </c>
      <c r="D39" s="20" t="s">
        <v>489</v>
      </c>
      <c r="E39" s="27" t="s">
        <v>26</v>
      </c>
      <c r="F39" s="27" t="s">
        <v>26</v>
      </c>
      <c r="G39" s="27" t="s">
        <v>26</v>
      </c>
      <c r="H39" s="20" t="s">
        <v>27</v>
      </c>
      <c r="I39" s="20">
        <v>815</v>
      </c>
      <c r="J39" s="20">
        <v>780</v>
      </c>
      <c r="K39" s="20">
        <v>665</v>
      </c>
      <c r="L39" s="30">
        <v>880</v>
      </c>
      <c r="M39" s="30">
        <v>795</v>
      </c>
      <c r="N39" s="35"/>
      <c r="O39" s="35"/>
      <c r="P39" s="35"/>
      <c r="Q39" s="38"/>
      <c r="R39" s="39">
        <f t="shared" si="3"/>
        <v>0.926136363636364</v>
      </c>
      <c r="S39" s="38"/>
      <c r="T39" s="39"/>
      <c r="U39" s="22" t="s">
        <v>435</v>
      </c>
    </row>
    <row r="40" s="5" customFormat="1" ht="27" hidden="1" customHeight="1" spans="1:21">
      <c r="A40" s="17"/>
      <c r="B40" s="18" t="s">
        <v>490</v>
      </c>
      <c r="C40" s="19">
        <v>33150601502</v>
      </c>
      <c r="D40" s="20" t="s">
        <v>491</v>
      </c>
      <c r="E40" s="27" t="s">
        <v>26</v>
      </c>
      <c r="F40" s="27" t="s">
        <v>26</v>
      </c>
      <c r="G40" s="27" t="s">
        <v>26</v>
      </c>
      <c r="H40" s="20" t="s">
        <v>27</v>
      </c>
      <c r="I40" s="32">
        <v>625</v>
      </c>
      <c r="J40" s="32">
        <v>600</v>
      </c>
      <c r="K40" s="32">
        <v>510</v>
      </c>
      <c r="L40" s="33">
        <v>675</v>
      </c>
      <c r="M40" s="30">
        <v>610</v>
      </c>
      <c r="N40" s="35"/>
      <c r="O40" s="35"/>
      <c r="P40" s="35"/>
      <c r="Q40" s="38"/>
      <c r="R40" s="39">
        <f t="shared" si="3"/>
        <v>0.925925925925926</v>
      </c>
      <c r="S40" s="38"/>
      <c r="T40" s="39"/>
      <c r="U40" s="22" t="s">
        <v>435</v>
      </c>
    </row>
    <row r="41" s="5" customFormat="1" ht="27" hidden="1" customHeight="1" spans="1:21">
      <c r="A41" s="17"/>
      <c r="B41" s="18" t="s">
        <v>492</v>
      </c>
      <c r="C41" s="19">
        <v>33150601503</v>
      </c>
      <c r="D41" s="20" t="s">
        <v>493</v>
      </c>
      <c r="E41" s="27" t="s">
        <v>26</v>
      </c>
      <c r="F41" s="27" t="s">
        <v>26</v>
      </c>
      <c r="G41" s="27" t="s">
        <v>26</v>
      </c>
      <c r="H41" s="20" t="s">
        <v>27</v>
      </c>
      <c r="I41" s="32">
        <v>815</v>
      </c>
      <c r="J41" s="32">
        <v>780</v>
      </c>
      <c r="K41" s="32">
        <v>665</v>
      </c>
      <c r="L41" s="33">
        <v>880</v>
      </c>
      <c r="M41" s="30">
        <v>795</v>
      </c>
      <c r="N41" s="35"/>
      <c r="O41" s="35"/>
      <c r="P41" s="35"/>
      <c r="Q41" s="38"/>
      <c r="R41" s="39">
        <f t="shared" si="3"/>
        <v>0.926136363636364</v>
      </c>
      <c r="S41" s="38"/>
      <c r="T41" s="39"/>
      <c r="U41" s="22" t="s">
        <v>435</v>
      </c>
    </row>
    <row r="42" s="5" customFormat="1" ht="27" customHeight="1" spans="1:21">
      <c r="A42" s="17">
        <v>23</v>
      </c>
      <c r="B42" s="18" t="s">
        <v>494</v>
      </c>
      <c r="C42" s="19">
        <v>33150601504</v>
      </c>
      <c r="D42" s="20" t="s">
        <v>495</v>
      </c>
      <c r="E42" s="27" t="s">
        <v>26</v>
      </c>
      <c r="F42" s="27" t="s">
        <v>26</v>
      </c>
      <c r="G42" s="27" t="s">
        <v>26</v>
      </c>
      <c r="H42" s="20" t="s">
        <v>27</v>
      </c>
      <c r="I42" s="20">
        <v>1125</v>
      </c>
      <c r="J42" s="20">
        <v>1080</v>
      </c>
      <c r="K42" s="20">
        <v>918</v>
      </c>
      <c r="L42" s="30">
        <v>1275</v>
      </c>
      <c r="M42" s="30">
        <v>1210</v>
      </c>
      <c r="N42" s="35">
        <f t="shared" ref="N42:N45" si="6">I38+580</f>
        <v>1205</v>
      </c>
      <c r="O42" s="35">
        <f t="shared" ref="O42:O45" si="7">J38+520</f>
        <v>1120</v>
      </c>
      <c r="P42" s="35">
        <f t="shared" ref="P42:P45" si="8">K38+440</f>
        <v>950</v>
      </c>
      <c r="Q42" s="38">
        <v>9</v>
      </c>
      <c r="R42" s="39">
        <f t="shared" si="3"/>
        <v>0.882352941176471</v>
      </c>
      <c r="S42" s="38">
        <v>7</v>
      </c>
      <c r="T42" s="39">
        <f t="shared" ref="T42:T45" si="9">N42/L42</f>
        <v>0.945098039215686</v>
      </c>
      <c r="U42" s="22" t="s">
        <v>422</v>
      </c>
    </row>
    <row r="43" s="5" customFormat="1" ht="27" customHeight="1" spans="1:21">
      <c r="A43" s="17">
        <v>24</v>
      </c>
      <c r="B43" s="18" t="s">
        <v>496</v>
      </c>
      <c r="C43" s="19">
        <v>33150601505</v>
      </c>
      <c r="D43" s="20" t="s">
        <v>497</v>
      </c>
      <c r="E43" s="27" t="s">
        <v>26</v>
      </c>
      <c r="F43" s="27" t="s">
        <v>26</v>
      </c>
      <c r="G43" s="27" t="s">
        <v>26</v>
      </c>
      <c r="H43" s="20" t="s">
        <v>27</v>
      </c>
      <c r="I43" s="20">
        <v>1315</v>
      </c>
      <c r="J43" s="20">
        <v>1260</v>
      </c>
      <c r="K43" s="20">
        <v>1075</v>
      </c>
      <c r="L43" s="30">
        <v>1480</v>
      </c>
      <c r="M43" s="30">
        <v>1395</v>
      </c>
      <c r="N43" s="35">
        <f t="shared" si="6"/>
        <v>1395</v>
      </c>
      <c r="O43" s="35">
        <f t="shared" si="7"/>
        <v>1300</v>
      </c>
      <c r="P43" s="35">
        <f t="shared" si="8"/>
        <v>1105</v>
      </c>
      <c r="Q43" s="38">
        <v>9</v>
      </c>
      <c r="R43" s="39">
        <f t="shared" si="3"/>
        <v>0.888513513513513</v>
      </c>
      <c r="S43" s="38">
        <v>8</v>
      </c>
      <c r="T43" s="39">
        <f t="shared" si="9"/>
        <v>0.942567567567568</v>
      </c>
      <c r="U43" s="22" t="s">
        <v>422</v>
      </c>
    </row>
    <row r="44" s="5" customFormat="1" ht="27" customHeight="1" spans="1:21">
      <c r="A44" s="17">
        <v>25</v>
      </c>
      <c r="B44" s="18" t="s">
        <v>498</v>
      </c>
      <c r="C44" s="19">
        <v>33150601506</v>
      </c>
      <c r="D44" s="20" t="s">
        <v>499</v>
      </c>
      <c r="E44" s="27" t="s">
        <v>26</v>
      </c>
      <c r="F44" s="27" t="s">
        <v>26</v>
      </c>
      <c r="G44" s="27" t="s">
        <v>26</v>
      </c>
      <c r="H44" s="20" t="s">
        <v>27</v>
      </c>
      <c r="I44" s="20">
        <v>1125</v>
      </c>
      <c r="J44" s="20">
        <v>1080</v>
      </c>
      <c r="K44" s="20">
        <v>918</v>
      </c>
      <c r="L44" s="30">
        <v>1275</v>
      </c>
      <c r="M44" s="30">
        <v>1210</v>
      </c>
      <c r="N44" s="35">
        <f t="shared" si="6"/>
        <v>1205</v>
      </c>
      <c r="O44" s="35">
        <f t="shared" si="7"/>
        <v>1120</v>
      </c>
      <c r="P44" s="35">
        <f t="shared" si="8"/>
        <v>950</v>
      </c>
      <c r="Q44" s="38">
        <v>8</v>
      </c>
      <c r="R44" s="39">
        <f t="shared" si="3"/>
        <v>0.882352941176471</v>
      </c>
      <c r="S44" s="38">
        <v>7</v>
      </c>
      <c r="T44" s="39">
        <f t="shared" si="9"/>
        <v>0.945098039215686</v>
      </c>
      <c r="U44" s="22" t="s">
        <v>422</v>
      </c>
    </row>
    <row r="45" s="5" customFormat="1" ht="27" customHeight="1" spans="1:21">
      <c r="A45" s="17">
        <v>26</v>
      </c>
      <c r="B45" s="18" t="s">
        <v>500</v>
      </c>
      <c r="C45" s="19">
        <v>33150601507</v>
      </c>
      <c r="D45" s="20" t="s">
        <v>501</v>
      </c>
      <c r="E45" s="27" t="s">
        <v>26</v>
      </c>
      <c r="F45" s="27" t="s">
        <v>26</v>
      </c>
      <c r="G45" s="27" t="s">
        <v>26</v>
      </c>
      <c r="H45" s="20" t="s">
        <v>27</v>
      </c>
      <c r="I45" s="20">
        <v>1315</v>
      </c>
      <c r="J45" s="20">
        <v>1260</v>
      </c>
      <c r="K45" s="20">
        <v>1075</v>
      </c>
      <c r="L45" s="30">
        <v>1480</v>
      </c>
      <c r="M45" s="30">
        <v>1395</v>
      </c>
      <c r="N45" s="35">
        <f t="shared" si="6"/>
        <v>1395</v>
      </c>
      <c r="O45" s="35">
        <f t="shared" si="7"/>
        <v>1300</v>
      </c>
      <c r="P45" s="35">
        <f t="shared" si="8"/>
        <v>1105</v>
      </c>
      <c r="Q45" s="38">
        <v>7</v>
      </c>
      <c r="R45" s="39">
        <f t="shared" si="3"/>
        <v>0.888513513513513</v>
      </c>
      <c r="S45" s="38">
        <v>6</v>
      </c>
      <c r="T45" s="39">
        <f t="shared" si="9"/>
        <v>0.942567567567568</v>
      </c>
      <c r="U45" s="22" t="s">
        <v>422</v>
      </c>
    </row>
    <row r="46" s="5" customFormat="1" ht="27" hidden="1" customHeight="1" spans="1:21">
      <c r="A46" s="17"/>
      <c r="B46" s="18" t="s">
        <v>502</v>
      </c>
      <c r="C46" s="19">
        <v>331506016</v>
      </c>
      <c r="D46" s="20" t="s">
        <v>503</v>
      </c>
      <c r="E46" s="27" t="s">
        <v>504</v>
      </c>
      <c r="F46" s="27" t="s">
        <v>26</v>
      </c>
      <c r="G46" s="27" t="s">
        <v>505</v>
      </c>
      <c r="H46" s="20" t="s">
        <v>27</v>
      </c>
      <c r="I46" s="20">
        <v>1625</v>
      </c>
      <c r="J46" s="20">
        <v>1560</v>
      </c>
      <c r="K46" s="20">
        <v>1326</v>
      </c>
      <c r="L46" s="30">
        <v>1760</v>
      </c>
      <c r="M46" s="30">
        <v>1580</v>
      </c>
      <c r="N46" s="35"/>
      <c r="O46" s="35"/>
      <c r="P46" s="35"/>
      <c r="Q46" s="38"/>
      <c r="R46" s="39">
        <f t="shared" si="3"/>
        <v>0.923295454545455</v>
      </c>
      <c r="S46" s="38"/>
      <c r="T46" s="39"/>
      <c r="U46" s="22" t="s">
        <v>435</v>
      </c>
    </row>
    <row r="47" s="5" customFormat="1" ht="27" hidden="1" customHeight="1" spans="1:21">
      <c r="A47" s="17"/>
      <c r="B47" s="18" t="s">
        <v>506</v>
      </c>
      <c r="C47" s="19">
        <v>33150601601</v>
      </c>
      <c r="D47" s="20" t="s">
        <v>507</v>
      </c>
      <c r="E47" s="27" t="s">
        <v>26</v>
      </c>
      <c r="F47" s="27" t="s">
        <v>26</v>
      </c>
      <c r="G47" s="27" t="s">
        <v>508</v>
      </c>
      <c r="H47" s="20" t="s">
        <v>27</v>
      </c>
      <c r="I47" s="20">
        <v>1787.5</v>
      </c>
      <c r="J47" s="20">
        <v>1716</v>
      </c>
      <c r="K47" s="20">
        <v>1458.6</v>
      </c>
      <c r="L47" s="30">
        <v>1930</v>
      </c>
      <c r="M47" s="30">
        <v>1740</v>
      </c>
      <c r="N47" s="35"/>
      <c r="O47" s="35"/>
      <c r="P47" s="35"/>
      <c r="Q47" s="38"/>
      <c r="R47" s="39">
        <f t="shared" si="3"/>
        <v>0.926165803108808</v>
      </c>
      <c r="S47" s="38"/>
      <c r="T47" s="39"/>
      <c r="U47" s="22" t="s">
        <v>435</v>
      </c>
    </row>
    <row r="48" s="5" customFormat="1" ht="27" hidden="1" customHeight="1" spans="1:21">
      <c r="A48" s="17"/>
      <c r="B48" s="18" t="s">
        <v>509</v>
      </c>
      <c r="C48" s="19">
        <v>33150601602</v>
      </c>
      <c r="D48" s="20" t="s">
        <v>510</v>
      </c>
      <c r="E48" s="27" t="s">
        <v>26</v>
      </c>
      <c r="F48" s="27" t="s">
        <v>26</v>
      </c>
      <c r="G48" s="27" t="s">
        <v>26</v>
      </c>
      <c r="H48" s="20" t="s">
        <v>27</v>
      </c>
      <c r="I48" s="20">
        <v>2115</v>
      </c>
      <c r="J48" s="20">
        <v>2030</v>
      </c>
      <c r="K48" s="20">
        <v>1725</v>
      </c>
      <c r="L48" s="30">
        <v>2290</v>
      </c>
      <c r="M48" s="30">
        <v>2055</v>
      </c>
      <c r="N48" s="35"/>
      <c r="O48" s="35"/>
      <c r="P48" s="35"/>
      <c r="Q48" s="38"/>
      <c r="R48" s="39">
        <f t="shared" si="3"/>
        <v>0.923580786026201</v>
      </c>
      <c r="S48" s="38"/>
      <c r="T48" s="39"/>
      <c r="U48" s="22" t="s">
        <v>435</v>
      </c>
    </row>
    <row r="49" s="5" customFormat="1" ht="27" hidden="1" customHeight="1" spans="1:21">
      <c r="A49" s="17"/>
      <c r="B49" s="18" t="s">
        <v>511</v>
      </c>
      <c r="C49" s="19">
        <v>33150601603</v>
      </c>
      <c r="D49" s="20" t="s">
        <v>512</v>
      </c>
      <c r="E49" s="27" t="s">
        <v>26</v>
      </c>
      <c r="F49" s="27" t="s">
        <v>26</v>
      </c>
      <c r="G49" s="27" t="s">
        <v>508</v>
      </c>
      <c r="H49" s="20" t="s">
        <v>27</v>
      </c>
      <c r="I49" s="20">
        <v>2325</v>
      </c>
      <c r="J49" s="20">
        <v>2230</v>
      </c>
      <c r="K49" s="20">
        <v>1895</v>
      </c>
      <c r="L49" s="30">
        <v>2510</v>
      </c>
      <c r="M49" s="30">
        <v>2260</v>
      </c>
      <c r="N49" s="35"/>
      <c r="O49" s="35"/>
      <c r="P49" s="35"/>
      <c r="Q49" s="38"/>
      <c r="R49" s="39">
        <f t="shared" ref="R49:R80" si="10">I49/L49</f>
        <v>0.926294820717131</v>
      </c>
      <c r="S49" s="38"/>
      <c r="T49" s="39"/>
      <c r="U49" s="22" t="s">
        <v>435</v>
      </c>
    </row>
    <row r="50" s="5" customFormat="1" ht="27" customHeight="1" spans="1:21">
      <c r="A50" s="17">
        <v>27</v>
      </c>
      <c r="B50" s="18" t="s">
        <v>513</v>
      </c>
      <c r="C50" s="19">
        <v>33150601604</v>
      </c>
      <c r="D50" s="20" t="s">
        <v>514</v>
      </c>
      <c r="E50" s="27" t="s">
        <v>26</v>
      </c>
      <c r="F50" s="27" t="s">
        <v>26</v>
      </c>
      <c r="G50" s="27" t="s">
        <v>26</v>
      </c>
      <c r="H50" s="20" t="s">
        <v>27</v>
      </c>
      <c r="I50" s="20">
        <v>2125</v>
      </c>
      <c r="J50" s="20">
        <v>2040</v>
      </c>
      <c r="K50" s="20">
        <v>1734</v>
      </c>
      <c r="L50" s="30">
        <v>2360</v>
      </c>
      <c r="M50" s="30">
        <v>2180</v>
      </c>
      <c r="N50" s="35">
        <v>2205</v>
      </c>
      <c r="O50" s="35">
        <v>2080</v>
      </c>
      <c r="P50" s="35">
        <v>1766</v>
      </c>
      <c r="Q50" s="38">
        <v>8</v>
      </c>
      <c r="R50" s="39">
        <f t="shared" si="10"/>
        <v>0.900423728813559</v>
      </c>
      <c r="S50" s="38">
        <v>7</v>
      </c>
      <c r="T50" s="39">
        <f t="shared" ref="T50:T53" si="11">N50/L50</f>
        <v>0.934322033898305</v>
      </c>
      <c r="U50" s="22" t="s">
        <v>422</v>
      </c>
    </row>
    <row r="51" s="5" customFormat="1" ht="27" customHeight="1" spans="1:21">
      <c r="A51" s="17">
        <v>28</v>
      </c>
      <c r="B51" s="18" t="s">
        <v>515</v>
      </c>
      <c r="C51" s="19">
        <v>33150601605</v>
      </c>
      <c r="D51" s="20" t="s">
        <v>516</v>
      </c>
      <c r="E51" s="27" t="s">
        <v>26</v>
      </c>
      <c r="F51" s="27" t="s">
        <v>26</v>
      </c>
      <c r="G51" s="27" t="s">
        <v>508</v>
      </c>
      <c r="H51" s="20" t="s">
        <v>27</v>
      </c>
      <c r="I51" s="20">
        <v>2287.5</v>
      </c>
      <c r="J51" s="20">
        <v>2196</v>
      </c>
      <c r="K51" s="20">
        <v>1866.6</v>
      </c>
      <c r="L51" s="30">
        <v>2530</v>
      </c>
      <c r="M51" s="30">
        <v>2340</v>
      </c>
      <c r="N51" s="35">
        <v>2367.5</v>
      </c>
      <c r="O51" s="35">
        <v>2236</v>
      </c>
      <c r="P51" s="35">
        <v>1898.6</v>
      </c>
      <c r="Q51" s="38">
        <v>7</v>
      </c>
      <c r="R51" s="39">
        <f t="shared" si="10"/>
        <v>0.904150197628458</v>
      </c>
      <c r="S51" s="38">
        <v>6</v>
      </c>
      <c r="T51" s="39">
        <f t="shared" si="11"/>
        <v>0.935770750988142</v>
      </c>
      <c r="U51" s="22" t="s">
        <v>422</v>
      </c>
    </row>
    <row r="52" s="5" customFormat="1" ht="27" customHeight="1" spans="1:21">
      <c r="A52" s="17">
        <v>29</v>
      </c>
      <c r="B52" s="18" t="s">
        <v>517</v>
      </c>
      <c r="C52" s="19">
        <v>33150601606</v>
      </c>
      <c r="D52" s="20" t="s">
        <v>518</v>
      </c>
      <c r="E52" s="27" t="s">
        <v>26</v>
      </c>
      <c r="F52" s="27" t="s">
        <v>26</v>
      </c>
      <c r="G52" s="27" t="s">
        <v>26</v>
      </c>
      <c r="H52" s="20" t="s">
        <v>27</v>
      </c>
      <c r="I52" s="20">
        <v>2615</v>
      </c>
      <c r="J52" s="20">
        <v>2510</v>
      </c>
      <c r="K52" s="20">
        <v>2135</v>
      </c>
      <c r="L52" s="30">
        <v>2890</v>
      </c>
      <c r="M52" s="30">
        <v>2655</v>
      </c>
      <c r="N52" s="35">
        <v>2695</v>
      </c>
      <c r="O52" s="35">
        <v>2550</v>
      </c>
      <c r="P52" s="35">
        <v>2165</v>
      </c>
      <c r="Q52" s="38">
        <v>8</v>
      </c>
      <c r="R52" s="39">
        <f t="shared" si="10"/>
        <v>0.904844290657439</v>
      </c>
      <c r="S52" s="38">
        <v>7</v>
      </c>
      <c r="T52" s="39">
        <f t="shared" si="11"/>
        <v>0.932525951557093</v>
      </c>
      <c r="U52" s="22" t="s">
        <v>422</v>
      </c>
    </row>
    <row r="53" s="5" customFormat="1" ht="27" customHeight="1" spans="1:21">
      <c r="A53" s="17">
        <v>30</v>
      </c>
      <c r="B53" s="18" t="s">
        <v>519</v>
      </c>
      <c r="C53" s="19">
        <v>33150601607</v>
      </c>
      <c r="D53" s="20" t="s">
        <v>520</v>
      </c>
      <c r="E53" s="27" t="s">
        <v>26</v>
      </c>
      <c r="F53" s="27" t="s">
        <v>26</v>
      </c>
      <c r="G53" s="27" t="s">
        <v>508</v>
      </c>
      <c r="H53" s="20" t="s">
        <v>27</v>
      </c>
      <c r="I53" s="20">
        <v>2825</v>
      </c>
      <c r="J53" s="20">
        <v>2710</v>
      </c>
      <c r="K53" s="20">
        <v>2305</v>
      </c>
      <c r="L53" s="30">
        <v>3110</v>
      </c>
      <c r="M53" s="30">
        <v>2860</v>
      </c>
      <c r="N53" s="35">
        <v>2905</v>
      </c>
      <c r="O53" s="35">
        <v>2750</v>
      </c>
      <c r="P53" s="35">
        <v>2335</v>
      </c>
      <c r="Q53" s="38">
        <v>6</v>
      </c>
      <c r="R53" s="39">
        <f t="shared" si="10"/>
        <v>0.908360128617363</v>
      </c>
      <c r="S53" s="38">
        <v>6</v>
      </c>
      <c r="T53" s="39">
        <f t="shared" si="11"/>
        <v>0.934083601286174</v>
      </c>
      <c r="U53" s="22" t="s">
        <v>422</v>
      </c>
    </row>
    <row r="54" s="5" customFormat="1" ht="27" hidden="1" customHeight="1" spans="1:21">
      <c r="A54" s="17"/>
      <c r="B54" s="18" t="s">
        <v>521</v>
      </c>
      <c r="C54" s="19">
        <v>331506017</v>
      </c>
      <c r="D54" s="20" t="s">
        <v>522</v>
      </c>
      <c r="E54" s="27" t="s">
        <v>523</v>
      </c>
      <c r="F54" s="27" t="s">
        <v>26</v>
      </c>
      <c r="G54" s="27" t="s">
        <v>505</v>
      </c>
      <c r="H54" s="20" t="s">
        <v>27</v>
      </c>
      <c r="I54" s="20">
        <v>1500</v>
      </c>
      <c r="J54" s="20">
        <v>1440</v>
      </c>
      <c r="K54" s="20">
        <v>1224</v>
      </c>
      <c r="L54" s="30">
        <v>1620</v>
      </c>
      <c r="M54" s="30">
        <v>1460</v>
      </c>
      <c r="N54" s="35"/>
      <c r="O54" s="35"/>
      <c r="P54" s="35"/>
      <c r="Q54" s="38"/>
      <c r="R54" s="39">
        <f t="shared" si="10"/>
        <v>0.925925925925926</v>
      </c>
      <c r="S54" s="38"/>
      <c r="T54" s="39"/>
      <c r="U54" s="22" t="s">
        <v>435</v>
      </c>
    </row>
    <row r="55" s="5" customFormat="1" ht="27" hidden="1" customHeight="1" spans="1:21">
      <c r="A55" s="17"/>
      <c r="B55" s="18" t="s">
        <v>524</v>
      </c>
      <c r="C55" s="19">
        <v>33150601701</v>
      </c>
      <c r="D55" s="20" t="s">
        <v>525</v>
      </c>
      <c r="E55" s="27" t="s">
        <v>26</v>
      </c>
      <c r="F55" s="27" t="s">
        <v>26</v>
      </c>
      <c r="G55" s="27" t="s">
        <v>508</v>
      </c>
      <c r="H55" s="20" t="s">
        <v>27</v>
      </c>
      <c r="I55" s="20">
        <v>1650</v>
      </c>
      <c r="J55" s="20">
        <v>1584</v>
      </c>
      <c r="K55" s="20">
        <v>1346.4</v>
      </c>
      <c r="L55" s="30">
        <v>1780</v>
      </c>
      <c r="M55" s="30">
        <v>1600</v>
      </c>
      <c r="N55" s="35"/>
      <c r="O55" s="35"/>
      <c r="P55" s="35"/>
      <c r="Q55" s="38"/>
      <c r="R55" s="39">
        <f t="shared" si="10"/>
        <v>0.926966292134832</v>
      </c>
      <c r="S55" s="38"/>
      <c r="T55" s="39"/>
      <c r="U55" s="22" t="s">
        <v>435</v>
      </c>
    </row>
    <row r="56" s="5" customFormat="1" ht="27" hidden="1" customHeight="1" spans="1:21">
      <c r="A56" s="17"/>
      <c r="B56" s="18" t="s">
        <v>526</v>
      </c>
      <c r="C56" s="19">
        <v>33150601702</v>
      </c>
      <c r="D56" s="20" t="s">
        <v>527</v>
      </c>
      <c r="E56" s="27" t="s">
        <v>26</v>
      </c>
      <c r="F56" s="27" t="s">
        <v>26</v>
      </c>
      <c r="G56" s="27" t="s">
        <v>26</v>
      </c>
      <c r="H56" s="20" t="s">
        <v>27</v>
      </c>
      <c r="I56" s="20">
        <v>1950</v>
      </c>
      <c r="J56" s="20">
        <v>1870</v>
      </c>
      <c r="K56" s="20">
        <v>1590</v>
      </c>
      <c r="L56" s="30">
        <v>2105</v>
      </c>
      <c r="M56" s="30">
        <v>1900</v>
      </c>
      <c r="N56" s="35"/>
      <c r="O56" s="35"/>
      <c r="P56" s="35"/>
      <c r="Q56" s="38"/>
      <c r="R56" s="39">
        <f t="shared" si="10"/>
        <v>0.926365795724466</v>
      </c>
      <c r="S56" s="38"/>
      <c r="T56" s="39"/>
      <c r="U56" s="22" t="s">
        <v>435</v>
      </c>
    </row>
    <row r="57" s="5" customFormat="1" ht="27" hidden="1" customHeight="1" spans="1:21">
      <c r="A57" s="17"/>
      <c r="B57" s="18" t="s">
        <v>528</v>
      </c>
      <c r="C57" s="19">
        <v>33150601703</v>
      </c>
      <c r="D57" s="20" t="s">
        <v>529</v>
      </c>
      <c r="E57" s="27" t="s">
        <v>26</v>
      </c>
      <c r="F57" s="27" t="s">
        <v>26</v>
      </c>
      <c r="G57" s="27" t="s">
        <v>508</v>
      </c>
      <c r="H57" s="20" t="s">
        <v>27</v>
      </c>
      <c r="I57" s="20">
        <v>2145</v>
      </c>
      <c r="J57" s="20">
        <v>2060</v>
      </c>
      <c r="K57" s="20">
        <v>1750</v>
      </c>
      <c r="L57" s="30">
        <v>2315</v>
      </c>
      <c r="M57" s="30">
        <v>2080</v>
      </c>
      <c r="N57" s="35"/>
      <c r="O57" s="35"/>
      <c r="P57" s="35"/>
      <c r="Q57" s="38"/>
      <c r="R57" s="39">
        <f t="shared" si="10"/>
        <v>0.926565874730022</v>
      </c>
      <c r="S57" s="38"/>
      <c r="T57" s="39"/>
      <c r="U57" s="22" t="s">
        <v>435</v>
      </c>
    </row>
    <row r="58" s="5" customFormat="1" ht="27" customHeight="1" spans="1:21">
      <c r="A58" s="17">
        <v>31</v>
      </c>
      <c r="B58" s="18" t="s">
        <v>530</v>
      </c>
      <c r="C58" s="19">
        <v>33150601704</v>
      </c>
      <c r="D58" s="20" t="s">
        <v>531</v>
      </c>
      <c r="E58" s="27" t="s">
        <v>26</v>
      </c>
      <c r="F58" s="27" t="s">
        <v>26</v>
      </c>
      <c r="G58" s="27" t="s">
        <v>26</v>
      </c>
      <c r="H58" s="20" t="s">
        <v>27</v>
      </c>
      <c r="I58" s="20">
        <v>2000</v>
      </c>
      <c r="J58" s="20">
        <v>1920</v>
      </c>
      <c r="K58" s="20">
        <v>1632</v>
      </c>
      <c r="L58" s="30">
        <v>2220</v>
      </c>
      <c r="M58" s="30">
        <v>2060</v>
      </c>
      <c r="N58" s="35">
        <v>2080</v>
      </c>
      <c r="O58" s="35">
        <v>1960</v>
      </c>
      <c r="P58" s="35">
        <v>1664</v>
      </c>
      <c r="Q58" s="38">
        <v>8</v>
      </c>
      <c r="R58" s="39">
        <f t="shared" si="10"/>
        <v>0.900900900900901</v>
      </c>
      <c r="S58" s="38">
        <v>7</v>
      </c>
      <c r="T58" s="39">
        <f t="shared" ref="T58:T61" si="12">N58/L58</f>
        <v>0.936936936936937</v>
      </c>
      <c r="U58" s="22" t="s">
        <v>422</v>
      </c>
    </row>
    <row r="59" s="5" customFormat="1" ht="27" customHeight="1" spans="1:21">
      <c r="A59" s="17">
        <v>32</v>
      </c>
      <c r="B59" s="18" t="s">
        <v>532</v>
      </c>
      <c r="C59" s="19">
        <v>33150601705</v>
      </c>
      <c r="D59" s="20" t="s">
        <v>533</v>
      </c>
      <c r="E59" s="27" t="s">
        <v>26</v>
      </c>
      <c r="F59" s="27" t="s">
        <v>26</v>
      </c>
      <c r="G59" s="27" t="s">
        <v>508</v>
      </c>
      <c r="H59" s="20" t="s">
        <v>27</v>
      </c>
      <c r="I59" s="20">
        <v>2150</v>
      </c>
      <c r="J59" s="20">
        <v>2064</v>
      </c>
      <c r="K59" s="20">
        <v>1754.4</v>
      </c>
      <c r="L59" s="30">
        <v>2380</v>
      </c>
      <c r="M59" s="30">
        <v>2200</v>
      </c>
      <c r="N59" s="35">
        <v>2230</v>
      </c>
      <c r="O59" s="35">
        <v>2104</v>
      </c>
      <c r="P59" s="35">
        <v>1786.4</v>
      </c>
      <c r="Q59" s="38">
        <v>7</v>
      </c>
      <c r="R59" s="39">
        <f t="shared" si="10"/>
        <v>0.903361344537815</v>
      </c>
      <c r="S59" s="38">
        <v>6</v>
      </c>
      <c r="T59" s="39">
        <f t="shared" si="12"/>
        <v>0.936974789915966</v>
      </c>
      <c r="U59" s="22" t="s">
        <v>422</v>
      </c>
    </row>
    <row r="60" s="5" customFormat="1" ht="27" customHeight="1" spans="1:21">
      <c r="A60" s="17">
        <v>33</v>
      </c>
      <c r="B60" s="18" t="s">
        <v>534</v>
      </c>
      <c r="C60" s="19">
        <v>33150601706</v>
      </c>
      <c r="D60" s="20" t="s">
        <v>535</v>
      </c>
      <c r="E60" s="27" t="s">
        <v>26</v>
      </c>
      <c r="F60" s="27" t="s">
        <v>26</v>
      </c>
      <c r="G60" s="27" t="s">
        <v>26</v>
      </c>
      <c r="H60" s="20" t="s">
        <v>27</v>
      </c>
      <c r="I60" s="20">
        <v>2450</v>
      </c>
      <c r="J60" s="20">
        <v>2350</v>
      </c>
      <c r="K60" s="20">
        <v>2000</v>
      </c>
      <c r="L60" s="30">
        <v>2705</v>
      </c>
      <c r="M60" s="30">
        <v>2500</v>
      </c>
      <c r="N60" s="35">
        <v>2530</v>
      </c>
      <c r="O60" s="35">
        <v>2390</v>
      </c>
      <c r="P60" s="35">
        <v>2030</v>
      </c>
      <c r="Q60" s="38">
        <v>7</v>
      </c>
      <c r="R60" s="39">
        <f t="shared" si="10"/>
        <v>0.905730129390019</v>
      </c>
      <c r="S60" s="38">
        <v>7</v>
      </c>
      <c r="T60" s="39">
        <f t="shared" si="12"/>
        <v>0.935304990757856</v>
      </c>
      <c r="U60" s="22" t="s">
        <v>422</v>
      </c>
    </row>
    <row r="61" s="5" customFormat="1" ht="27" customHeight="1" spans="1:21">
      <c r="A61" s="17">
        <v>34</v>
      </c>
      <c r="B61" s="18" t="s">
        <v>536</v>
      </c>
      <c r="C61" s="19">
        <v>33150601707</v>
      </c>
      <c r="D61" s="20" t="s">
        <v>537</v>
      </c>
      <c r="E61" s="27" t="s">
        <v>26</v>
      </c>
      <c r="F61" s="27" t="s">
        <v>26</v>
      </c>
      <c r="G61" s="27" t="s">
        <v>508</v>
      </c>
      <c r="H61" s="20" t="s">
        <v>27</v>
      </c>
      <c r="I61" s="20">
        <v>2645</v>
      </c>
      <c r="J61" s="20">
        <v>2540</v>
      </c>
      <c r="K61" s="20">
        <v>2160</v>
      </c>
      <c r="L61" s="30">
        <v>2915</v>
      </c>
      <c r="M61" s="30">
        <v>2680</v>
      </c>
      <c r="N61" s="35">
        <v>2725</v>
      </c>
      <c r="O61" s="35">
        <v>2580</v>
      </c>
      <c r="P61" s="35">
        <v>2190</v>
      </c>
      <c r="Q61" s="38">
        <v>6</v>
      </c>
      <c r="R61" s="39">
        <f t="shared" si="10"/>
        <v>0.9073756432247</v>
      </c>
      <c r="S61" s="38">
        <v>6</v>
      </c>
      <c r="T61" s="39">
        <f t="shared" si="12"/>
        <v>0.934819897084048</v>
      </c>
      <c r="U61" s="22" t="s">
        <v>422</v>
      </c>
    </row>
    <row r="62" s="5" customFormat="1" ht="27" hidden="1" customHeight="1" spans="1:21">
      <c r="A62" s="17"/>
      <c r="B62" s="18" t="s">
        <v>538</v>
      </c>
      <c r="C62" s="19">
        <v>331506018</v>
      </c>
      <c r="D62" s="20" t="s">
        <v>539</v>
      </c>
      <c r="E62" s="27" t="s">
        <v>540</v>
      </c>
      <c r="F62" s="27" t="s">
        <v>26</v>
      </c>
      <c r="G62" s="27" t="s">
        <v>505</v>
      </c>
      <c r="H62" s="20" t="s">
        <v>27</v>
      </c>
      <c r="I62" s="20">
        <v>1000</v>
      </c>
      <c r="J62" s="20">
        <v>960</v>
      </c>
      <c r="K62" s="20">
        <v>816</v>
      </c>
      <c r="L62" s="30">
        <v>1080</v>
      </c>
      <c r="M62" s="30">
        <v>970</v>
      </c>
      <c r="N62" s="35"/>
      <c r="O62" s="35"/>
      <c r="P62" s="35"/>
      <c r="Q62" s="38"/>
      <c r="R62" s="39">
        <f t="shared" si="10"/>
        <v>0.925925925925926</v>
      </c>
      <c r="S62" s="38"/>
      <c r="T62" s="39"/>
      <c r="U62" s="22" t="s">
        <v>435</v>
      </c>
    </row>
    <row r="63" s="5" customFormat="1" ht="27" hidden="1" customHeight="1" spans="1:21">
      <c r="A63" s="17"/>
      <c r="B63" s="18" t="s">
        <v>541</v>
      </c>
      <c r="C63" s="19">
        <v>33150601801</v>
      </c>
      <c r="D63" s="20" t="s">
        <v>542</v>
      </c>
      <c r="E63" s="27" t="s">
        <v>26</v>
      </c>
      <c r="F63" s="27" t="s">
        <v>26</v>
      </c>
      <c r="G63" s="27" t="s">
        <v>508</v>
      </c>
      <c r="H63" s="20" t="s">
        <v>27</v>
      </c>
      <c r="I63" s="20">
        <v>1100</v>
      </c>
      <c r="J63" s="20">
        <v>1056</v>
      </c>
      <c r="K63" s="20">
        <v>897.6</v>
      </c>
      <c r="L63" s="30">
        <v>1190</v>
      </c>
      <c r="M63" s="30">
        <v>1070</v>
      </c>
      <c r="N63" s="35"/>
      <c r="O63" s="35"/>
      <c r="P63" s="35"/>
      <c r="Q63" s="38"/>
      <c r="R63" s="39">
        <f t="shared" si="10"/>
        <v>0.92436974789916</v>
      </c>
      <c r="S63" s="38"/>
      <c r="T63" s="39"/>
      <c r="U63" s="22" t="s">
        <v>435</v>
      </c>
    </row>
    <row r="64" s="5" customFormat="1" ht="27" hidden="1" customHeight="1" spans="1:21">
      <c r="A64" s="17"/>
      <c r="B64" s="18" t="s">
        <v>543</v>
      </c>
      <c r="C64" s="19">
        <v>33150601802</v>
      </c>
      <c r="D64" s="20" t="s">
        <v>544</v>
      </c>
      <c r="E64" s="27" t="s">
        <v>26</v>
      </c>
      <c r="F64" s="27" t="s">
        <v>26</v>
      </c>
      <c r="G64" s="27" t="s">
        <v>26</v>
      </c>
      <c r="H64" s="20" t="s">
        <v>27</v>
      </c>
      <c r="I64" s="20">
        <v>1300</v>
      </c>
      <c r="J64" s="20">
        <v>1250</v>
      </c>
      <c r="K64" s="20">
        <v>1065</v>
      </c>
      <c r="L64" s="30">
        <v>1405</v>
      </c>
      <c r="M64" s="30">
        <v>1260</v>
      </c>
      <c r="N64" s="35"/>
      <c r="O64" s="35"/>
      <c r="P64" s="35"/>
      <c r="Q64" s="38"/>
      <c r="R64" s="39">
        <f t="shared" si="10"/>
        <v>0.925266903914591</v>
      </c>
      <c r="S64" s="38"/>
      <c r="T64" s="39"/>
      <c r="U64" s="22" t="s">
        <v>435</v>
      </c>
    </row>
    <row r="65" s="5" customFormat="1" ht="27" hidden="1" customHeight="1" spans="1:21">
      <c r="A65" s="17"/>
      <c r="B65" s="18" t="s">
        <v>545</v>
      </c>
      <c r="C65" s="19">
        <v>33150601803</v>
      </c>
      <c r="D65" s="20" t="s">
        <v>546</v>
      </c>
      <c r="E65" s="27" t="s">
        <v>26</v>
      </c>
      <c r="F65" s="27" t="s">
        <v>26</v>
      </c>
      <c r="G65" s="27" t="s">
        <v>508</v>
      </c>
      <c r="H65" s="20" t="s">
        <v>27</v>
      </c>
      <c r="I65" s="20">
        <v>1430</v>
      </c>
      <c r="J65" s="20">
        <v>1375</v>
      </c>
      <c r="K65" s="20">
        <v>1170</v>
      </c>
      <c r="L65" s="30">
        <v>1545</v>
      </c>
      <c r="M65" s="30">
        <v>1390</v>
      </c>
      <c r="N65" s="35"/>
      <c r="O65" s="35"/>
      <c r="P65" s="35"/>
      <c r="Q65" s="38"/>
      <c r="R65" s="39">
        <f t="shared" si="10"/>
        <v>0.925566343042071</v>
      </c>
      <c r="S65" s="38"/>
      <c r="T65" s="39"/>
      <c r="U65" s="22" t="s">
        <v>435</v>
      </c>
    </row>
    <row r="66" s="5" customFormat="1" ht="27" customHeight="1" spans="1:21">
      <c r="A66" s="17">
        <v>35</v>
      </c>
      <c r="B66" s="18" t="s">
        <v>547</v>
      </c>
      <c r="C66" s="19">
        <v>33150601804</v>
      </c>
      <c r="D66" s="20" t="s">
        <v>548</v>
      </c>
      <c r="E66" s="27" t="s">
        <v>26</v>
      </c>
      <c r="F66" s="27" t="s">
        <v>26</v>
      </c>
      <c r="G66" s="27" t="s">
        <v>26</v>
      </c>
      <c r="H66" s="20" t="s">
        <v>27</v>
      </c>
      <c r="I66" s="20">
        <v>1500</v>
      </c>
      <c r="J66" s="20">
        <v>1440</v>
      </c>
      <c r="K66" s="20">
        <v>1224</v>
      </c>
      <c r="L66" s="30">
        <v>1680</v>
      </c>
      <c r="M66" s="30">
        <v>1570</v>
      </c>
      <c r="N66" s="35">
        <v>1580</v>
      </c>
      <c r="O66" s="35">
        <v>1480</v>
      </c>
      <c r="P66" s="35">
        <v>1256</v>
      </c>
      <c r="Q66" s="38">
        <v>9</v>
      </c>
      <c r="R66" s="39">
        <f t="shared" si="10"/>
        <v>0.892857142857143</v>
      </c>
      <c r="S66" s="38">
        <v>7</v>
      </c>
      <c r="T66" s="39">
        <f t="shared" ref="T66:T69" si="13">N66/L66</f>
        <v>0.94047619047619</v>
      </c>
      <c r="U66" s="22" t="s">
        <v>422</v>
      </c>
    </row>
    <row r="67" s="5" customFormat="1" ht="27" customHeight="1" spans="1:21">
      <c r="A67" s="17">
        <v>36</v>
      </c>
      <c r="B67" s="18" t="s">
        <v>549</v>
      </c>
      <c r="C67" s="19">
        <v>33150601805</v>
      </c>
      <c r="D67" s="20" t="s">
        <v>550</v>
      </c>
      <c r="E67" s="27" t="s">
        <v>26</v>
      </c>
      <c r="F67" s="27" t="s">
        <v>26</v>
      </c>
      <c r="G67" s="27" t="s">
        <v>508</v>
      </c>
      <c r="H67" s="20" t="s">
        <v>27</v>
      </c>
      <c r="I67" s="20">
        <v>1600</v>
      </c>
      <c r="J67" s="20">
        <v>1536</v>
      </c>
      <c r="K67" s="20">
        <v>1305.6</v>
      </c>
      <c r="L67" s="30">
        <v>1790</v>
      </c>
      <c r="M67" s="30">
        <v>1670</v>
      </c>
      <c r="N67" s="35">
        <v>1680</v>
      </c>
      <c r="O67" s="35">
        <v>1576</v>
      </c>
      <c r="P67" s="35">
        <v>1337.6</v>
      </c>
      <c r="Q67" s="38">
        <v>8</v>
      </c>
      <c r="R67" s="39">
        <f t="shared" si="10"/>
        <v>0.893854748603352</v>
      </c>
      <c r="S67" s="38">
        <v>9</v>
      </c>
      <c r="T67" s="39">
        <f t="shared" si="13"/>
        <v>0.93854748603352</v>
      </c>
      <c r="U67" s="22" t="s">
        <v>422</v>
      </c>
    </row>
    <row r="68" s="5" customFormat="1" ht="27" customHeight="1" spans="1:21">
      <c r="A68" s="17">
        <v>37</v>
      </c>
      <c r="B68" s="18" t="s">
        <v>551</v>
      </c>
      <c r="C68" s="19">
        <v>33150601806</v>
      </c>
      <c r="D68" s="20" t="s">
        <v>552</v>
      </c>
      <c r="E68" s="27" t="s">
        <v>26</v>
      </c>
      <c r="F68" s="27" t="s">
        <v>26</v>
      </c>
      <c r="G68" s="27"/>
      <c r="H68" s="20" t="s">
        <v>27</v>
      </c>
      <c r="I68" s="20">
        <v>1800</v>
      </c>
      <c r="J68" s="20">
        <v>1730</v>
      </c>
      <c r="K68" s="20">
        <v>1475</v>
      </c>
      <c r="L68" s="30">
        <v>2005</v>
      </c>
      <c r="M68" s="30">
        <v>1860</v>
      </c>
      <c r="N68" s="35">
        <v>1880</v>
      </c>
      <c r="O68" s="35">
        <v>1770</v>
      </c>
      <c r="P68" s="35">
        <v>1505</v>
      </c>
      <c r="Q68" s="38">
        <v>9</v>
      </c>
      <c r="R68" s="39">
        <f t="shared" si="10"/>
        <v>0.897755610972569</v>
      </c>
      <c r="S68" s="38">
        <v>9</v>
      </c>
      <c r="T68" s="39">
        <f t="shared" si="13"/>
        <v>0.937655860349127</v>
      </c>
      <c r="U68" s="22" t="s">
        <v>422</v>
      </c>
    </row>
    <row r="69" s="5" customFormat="1" ht="27" customHeight="1" spans="1:21">
      <c r="A69" s="17">
        <v>38</v>
      </c>
      <c r="B69" s="18" t="s">
        <v>553</v>
      </c>
      <c r="C69" s="19">
        <v>33150601807</v>
      </c>
      <c r="D69" s="20" t="s">
        <v>554</v>
      </c>
      <c r="E69" s="27" t="s">
        <v>26</v>
      </c>
      <c r="F69" s="27" t="s">
        <v>26</v>
      </c>
      <c r="G69" s="27" t="s">
        <v>508</v>
      </c>
      <c r="H69" s="20" t="s">
        <v>27</v>
      </c>
      <c r="I69" s="20">
        <v>1930</v>
      </c>
      <c r="J69" s="20">
        <v>1855</v>
      </c>
      <c r="K69" s="20">
        <v>1580</v>
      </c>
      <c r="L69" s="30">
        <v>2145</v>
      </c>
      <c r="M69" s="30">
        <v>1990</v>
      </c>
      <c r="N69" s="35">
        <v>2010</v>
      </c>
      <c r="O69" s="35">
        <v>1895</v>
      </c>
      <c r="P69" s="35">
        <v>1610</v>
      </c>
      <c r="Q69" s="38">
        <v>8</v>
      </c>
      <c r="R69" s="39">
        <f t="shared" si="10"/>
        <v>0.8997668997669</v>
      </c>
      <c r="S69" s="38">
        <v>9</v>
      </c>
      <c r="T69" s="39">
        <f t="shared" si="13"/>
        <v>0.937062937062937</v>
      </c>
      <c r="U69" s="22" t="s">
        <v>422</v>
      </c>
    </row>
    <row r="70" s="5" customFormat="1" ht="27" hidden="1" customHeight="1" spans="1:21">
      <c r="A70" s="17"/>
      <c r="B70" s="18" t="s">
        <v>555</v>
      </c>
      <c r="C70" s="19">
        <v>331506019</v>
      </c>
      <c r="D70" s="20" t="s">
        <v>556</v>
      </c>
      <c r="E70" s="27" t="s">
        <v>26</v>
      </c>
      <c r="F70" s="27" t="s">
        <v>26</v>
      </c>
      <c r="G70" s="27" t="s">
        <v>505</v>
      </c>
      <c r="H70" s="20" t="s">
        <v>27</v>
      </c>
      <c r="I70" s="20">
        <v>1500</v>
      </c>
      <c r="J70" s="20">
        <v>1440</v>
      </c>
      <c r="K70" s="20">
        <v>1224</v>
      </c>
      <c r="L70" s="30">
        <v>1620</v>
      </c>
      <c r="M70" s="30">
        <v>1460</v>
      </c>
      <c r="N70" s="35"/>
      <c r="O70" s="35"/>
      <c r="P70" s="35"/>
      <c r="Q70" s="38"/>
      <c r="R70" s="39">
        <f t="shared" si="10"/>
        <v>0.925925925925926</v>
      </c>
      <c r="S70" s="38"/>
      <c r="T70" s="39"/>
      <c r="U70" s="22" t="s">
        <v>435</v>
      </c>
    </row>
    <row r="71" s="5" customFormat="1" ht="27" hidden="1" customHeight="1" spans="1:21">
      <c r="A71" s="17"/>
      <c r="B71" s="18" t="s">
        <v>557</v>
      </c>
      <c r="C71" s="19">
        <v>33150601901</v>
      </c>
      <c r="D71" s="20" t="s">
        <v>558</v>
      </c>
      <c r="E71" s="27" t="s">
        <v>26</v>
      </c>
      <c r="F71" s="27" t="s">
        <v>26</v>
      </c>
      <c r="G71" s="27" t="s">
        <v>508</v>
      </c>
      <c r="H71" s="20" t="s">
        <v>27</v>
      </c>
      <c r="I71" s="20">
        <v>1650</v>
      </c>
      <c r="J71" s="20">
        <v>1584</v>
      </c>
      <c r="K71" s="20">
        <v>1346.4</v>
      </c>
      <c r="L71" s="30">
        <v>1780</v>
      </c>
      <c r="M71" s="30">
        <v>1600</v>
      </c>
      <c r="N71" s="35"/>
      <c r="O71" s="35"/>
      <c r="P71" s="35"/>
      <c r="Q71" s="38"/>
      <c r="R71" s="39">
        <f t="shared" si="10"/>
        <v>0.926966292134832</v>
      </c>
      <c r="S71" s="38"/>
      <c r="T71" s="39"/>
      <c r="U71" s="22" t="s">
        <v>435</v>
      </c>
    </row>
    <row r="72" s="5" customFormat="1" ht="27" hidden="1" customHeight="1" spans="1:21">
      <c r="A72" s="17"/>
      <c r="B72" s="18" t="s">
        <v>559</v>
      </c>
      <c r="C72" s="19">
        <v>33150601902</v>
      </c>
      <c r="D72" s="20" t="s">
        <v>560</v>
      </c>
      <c r="E72" s="27" t="s">
        <v>26</v>
      </c>
      <c r="F72" s="27" t="s">
        <v>26</v>
      </c>
      <c r="G72" s="27" t="s">
        <v>26</v>
      </c>
      <c r="H72" s="20" t="s">
        <v>27</v>
      </c>
      <c r="I72" s="20">
        <v>1950</v>
      </c>
      <c r="J72" s="20">
        <v>1870</v>
      </c>
      <c r="K72" s="20">
        <v>1590</v>
      </c>
      <c r="L72" s="30">
        <v>2105</v>
      </c>
      <c r="M72" s="30">
        <v>1900</v>
      </c>
      <c r="N72" s="35"/>
      <c r="O72" s="35"/>
      <c r="P72" s="35"/>
      <c r="Q72" s="38"/>
      <c r="R72" s="39">
        <f t="shared" si="10"/>
        <v>0.926365795724466</v>
      </c>
      <c r="S72" s="38"/>
      <c r="T72" s="39"/>
      <c r="U72" s="22" t="s">
        <v>435</v>
      </c>
    </row>
    <row r="73" s="5" customFormat="1" ht="27" hidden="1" customHeight="1" spans="1:21">
      <c r="A73" s="17"/>
      <c r="B73" s="18" t="s">
        <v>561</v>
      </c>
      <c r="C73" s="19">
        <v>33150601903</v>
      </c>
      <c r="D73" s="20" t="s">
        <v>562</v>
      </c>
      <c r="E73" s="27" t="s">
        <v>26</v>
      </c>
      <c r="F73" s="27" t="s">
        <v>26</v>
      </c>
      <c r="G73" s="27" t="s">
        <v>508</v>
      </c>
      <c r="H73" s="20" t="s">
        <v>27</v>
      </c>
      <c r="I73" s="20">
        <v>2145</v>
      </c>
      <c r="J73" s="20">
        <v>2060</v>
      </c>
      <c r="K73" s="20">
        <v>1750</v>
      </c>
      <c r="L73" s="30">
        <v>2315</v>
      </c>
      <c r="M73" s="30">
        <v>2080</v>
      </c>
      <c r="N73" s="35"/>
      <c r="O73" s="35"/>
      <c r="P73" s="35"/>
      <c r="Q73" s="38"/>
      <c r="R73" s="39">
        <f t="shared" si="10"/>
        <v>0.926565874730022</v>
      </c>
      <c r="S73" s="38"/>
      <c r="T73" s="39"/>
      <c r="U73" s="22" t="s">
        <v>435</v>
      </c>
    </row>
    <row r="74" s="5" customFormat="1" ht="27" customHeight="1" spans="1:21">
      <c r="A74" s="17">
        <v>39</v>
      </c>
      <c r="B74" s="18" t="s">
        <v>563</v>
      </c>
      <c r="C74" s="19">
        <v>33150601904</v>
      </c>
      <c r="D74" s="20" t="s">
        <v>564</v>
      </c>
      <c r="E74" s="27" t="s">
        <v>26</v>
      </c>
      <c r="F74" s="27" t="s">
        <v>26</v>
      </c>
      <c r="G74" s="27" t="s">
        <v>26</v>
      </c>
      <c r="H74" s="20" t="s">
        <v>27</v>
      </c>
      <c r="I74" s="20">
        <v>2000</v>
      </c>
      <c r="J74" s="20">
        <v>1920</v>
      </c>
      <c r="K74" s="20">
        <v>1632</v>
      </c>
      <c r="L74" s="30">
        <v>2220</v>
      </c>
      <c r="M74" s="30">
        <v>2060</v>
      </c>
      <c r="N74" s="35">
        <v>2080</v>
      </c>
      <c r="O74" s="35">
        <v>1960</v>
      </c>
      <c r="P74" s="35">
        <v>1664</v>
      </c>
      <c r="Q74" s="38">
        <v>9</v>
      </c>
      <c r="R74" s="39">
        <f t="shared" si="10"/>
        <v>0.900900900900901</v>
      </c>
      <c r="S74" s="38">
        <v>7</v>
      </c>
      <c r="T74" s="39">
        <f t="shared" ref="T74:T77" si="14">N74/L74</f>
        <v>0.936936936936937</v>
      </c>
      <c r="U74" s="22" t="s">
        <v>422</v>
      </c>
    </row>
    <row r="75" s="5" customFormat="1" ht="27" customHeight="1" spans="1:21">
      <c r="A75" s="17">
        <v>40</v>
      </c>
      <c r="B75" s="18" t="s">
        <v>565</v>
      </c>
      <c r="C75" s="19">
        <v>33150601905</v>
      </c>
      <c r="D75" s="20" t="s">
        <v>566</v>
      </c>
      <c r="E75" s="27" t="s">
        <v>26</v>
      </c>
      <c r="F75" s="27" t="s">
        <v>26</v>
      </c>
      <c r="G75" s="27" t="s">
        <v>508</v>
      </c>
      <c r="H75" s="20" t="s">
        <v>27</v>
      </c>
      <c r="I75" s="20">
        <v>2150</v>
      </c>
      <c r="J75" s="20">
        <v>2064</v>
      </c>
      <c r="K75" s="20">
        <v>1754.4</v>
      </c>
      <c r="L75" s="30">
        <v>2380</v>
      </c>
      <c r="M75" s="30">
        <v>2200</v>
      </c>
      <c r="N75" s="35">
        <v>2230</v>
      </c>
      <c r="O75" s="35">
        <v>2104</v>
      </c>
      <c r="P75" s="35">
        <v>1786.4</v>
      </c>
      <c r="Q75" s="38">
        <v>8</v>
      </c>
      <c r="R75" s="39">
        <f t="shared" si="10"/>
        <v>0.903361344537815</v>
      </c>
      <c r="S75" s="38">
        <v>7</v>
      </c>
      <c r="T75" s="39">
        <f t="shared" si="14"/>
        <v>0.936974789915966</v>
      </c>
      <c r="U75" s="22" t="s">
        <v>422</v>
      </c>
    </row>
    <row r="76" s="5" customFormat="1" ht="27" customHeight="1" spans="1:21">
      <c r="A76" s="17">
        <v>41</v>
      </c>
      <c r="B76" s="18" t="s">
        <v>567</v>
      </c>
      <c r="C76" s="19">
        <v>33150601906</v>
      </c>
      <c r="D76" s="20" t="s">
        <v>568</v>
      </c>
      <c r="E76" s="27" t="s">
        <v>26</v>
      </c>
      <c r="F76" s="27" t="s">
        <v>26</v>
      </c>
      <c r="G76" s="27" t="s">
        <v>26</v>
      </c>
      <c r="H76" s="20" t="s">
        <v>27</v>
      </c>
      <c r="I76" s="20">
        <v>2450</v>
      </c>
      <c r="J76" s="20">
        <v>2350</v>
      </c>
      <c r="K76" s="20">
        <v>2000</v>
      </c>
      <c r="L76" s="30">
        <v>2705</v>
      </c>
      <c r="M76" s="30">
        <v>2500</v>
      </c>
      <c r="N76" s="35">
        <v>2530</v>
      </c>
      <c r="O76" s="35">
        <v>2390</v>
      </c>
      <c r="P76" s="35">
        <v>2030</v>
      </c>
      <c r="Q76" s="38">
        <v>7</v>
      </c>
      <c r="R76" s="39">
        <f t="shared" si="10"/>
        <v>0.905730129390019</v>
      </c>
      <c r="S76" s="38">
        <v>7</v>
      </c>
      <c r="T76" s="39">
        <f t="shared" si="14"/>
        <v>0.935304990757856</v>
      </c>
      <c r="U76" s="22" t="s">
        <v>422</v>
      </c>
    </row>
    <row r="77" s="5" customFormat="1" ht="27" customHeight="1" spans="1:21">
      <c r="A77" s="17">
        <v>42</v>
      </c>
      <c r="B77" s="18" t="s">
        <v>569</v>
      </c>
      <c r="C77" s="19">
        <v>33150601907</v>
      </c>
      <c r="D77" s="20" t="s">
        <v>570</v>
      </c>
      <c r="E77" s="27" t="s">
        <v>26</v>
      </c>
      <c r="F77" s="27" t="s">
        <v>26</v>
      </c>
      <c r="G77" s="27" t="s">
        <v>508</v>
      </c>
      <c r="H77" s="20" t="s">
        <v>27</v>
      </c>
      <c r="I77" s="20">
        <v>2645</v>
      </c>
      <c r="J77" s="20">
        <v>2540</v>
      </c>
      <c r="K77" s="20">
        <v>2160</v>
      </c>
      <c r="L77" s="30">
        <v>2915</v>
      </c>
      <c r="M77" s="30">
        <v>2680</v>
      </c>
      <c r="N77" s="35">
        <v>2725</v>
      </c>
      <c r="O77" s="35">
        <v>2580</v>
      </c>
      <c r="P77" s="35">
        <v>2190</v>
      </c>
      <c r="Q77" s="38">
        <v>7</v>
      </c>
      <c r="R77" s="39">
        <f t="shared" si="10"/>
        <v>0.9073756432247</v>
      </c>
      <c r="S77" s="38">
        <v>7</v>
      </c>
      <c r="T77" s="39">
        <f t="shared" si="14"/>
        <v>0.934819897084048</v>
      </c>
      <c r="U77" s="22" t="s">
        <v>422</v>
      </c>
    </row>
    <row r="78" s="5" customFormat="1" ht="27" hidden="1" customHeight="1" spans="1:21">
      <c r="A78" s="17"/>
      <c r="B78" s="18" t="s">
        <v>571</v>
      </c>
      <c r="C78" s="19">
        <v>331506020</v>
      </c>
      <c r="D78" s="20" t="s">
        <v>572</v>
      </c>
      <c r="E78" s="27" t="s">
        <v>573</v>
      </c>
      <c r="F78" s="27" t="s">
        <v>26</v>
      </c>
      <c r="G78" s="27" t="s">
        <v>505</v>
      </c>
      <c r="H78" s="20" t="s">
        <v>27</v>
      </c>
      <c r="I78" s="20">
        <v>1625</v>
      </c>
      <c r="J78" s="20">
        <v>1560</v>
      </c>
      <c r="K78" s="20">
        <v>1326</v>
      </c>
      <c r="L78" s="30">
        <v>2030</v>
      </c>
      <c r="M78" s="30">
        <v>1820</v>
      </c>
      <c r="N78" s="35"/>
      <c r="O78" s="35"/>
      <c r="P78" s="35"/>
      <c r="Q78" s="38"/>
      <c r="R78" s="39">
        <f t="shared" si="10"/>
        <v>0.800492610837438</v>
      </c>
      <c r="S78" s="38"/>
      <c r="T78" s="39"/>
      <c r="U78" s="22" t="s">
        <v>435</v>
      </c>
    </row>
    <row r="79" s="5" customFormat="1" ht="27" hidden="1" customHeight="1" spans="1:21">
      <c r="A79" s="17"/>
      <c r="B79" s="18" t="s">
        <v>574</v>
      </c>
      <c r="C79" s="19">
        <v>33150602001</v>
      </c>
      <c r="D79" s="20" t="s">
        <v>575</v>
      </c>
      <c r="E79" s="27" t="s">
        <v>26</v>
      </c>
      <c r="F79" s="27" t="s">
        <v>26</v>
      </c>
      <c r="G79" s="27" t="s">
        <v>508</v>
      </c>
      <c r="H79" s="20" t="s">
        <v>27</v>
      </c>
      <c r="I79" s="20">
        <v>1787.5</v>
      </c>
      <c r="J79" s="20">
        <v>1716</v>
      </c>
      <c r="K79" s="20">
        <v>1458.6</v>
      </c>
      <c r="L79" s="30">
        <v>2220</v>
      </c>
      <c r="M79" s="30">
        <v>2000</v>
      </c>
      <c r="N79" s="35"/>
      <c r="O79" s="35"/>
      <c r="P79" s="35"/>
      <c r="Q79" s="38"/>
      <c r="R79" s="39">
        <f t="shared" si="10"/>
        <v>0.80518018018018</v>
      </c>
      <c r="S79" s="38"/>
      <c r="T79" s="39"/>
      <c r="U79" s="22" t="s">
        <v>435</v>
      </c>
    </row>
    <row r="80" s="5" customFormat="1" ht="27" hidden="1" customHeight="1" spans="1:21">
      <c r="A80" s="17"/>
      <c r="B80" s="18" t="s">
        <v>576</v>
      </c>
      <c r="C80" s="19">
        <v>33150602007</v>
      </c>
      <c r="D80" s="20" t="s">
        <v>577</v>
      </c>
      <c r="E80" s="27" t="s">
        <v>573</v>
      </c>
      <c r="F80" s="27" t="s">
        <v>26</v>
      </c>
      <c r="G80" s="27" t="s">
        <v>26</v>
      </c>
      <c r="H80" s="20" t="s">
        <v>27</v>
      </c>
      <c r="I80" s="20">
        <v>2115</v>
      </c>
      <c r="J80" s="20">
        <v>2030</v>
      </c>
      <c r="K80" s="20">
        <v>1725</v>
      </c>
      <c r="L80" s="30">
        <v>2630</v>
      </c>
      <c r="M80" s="30">
        <v>2360</v>
      </c>
      <c r="N80" s="35"/>
      <c r="O80" s="35"/>
      <c r="P80" s="35"/>
      <c r="Q80" s="38"/>
      <c r="R80" s="39">
        <f t="shared" si="10"/>
        <v>0.804182509505703</v>
      </c>
      <c r="S80" s="38"/>
      <c r="T80" s="39"/>
      <c r="U80" s="22" t="s">
        <v>435</v>
      </c>
    </row>
    <row r="81" s="5" customFormat="1" ht="27" hidden="1" customHeight="1" spans="1:21">
      <c r="A81" s="17"/>
      <c r="B81" s="18" t="s">
        <v>578</v>
      </c>
      <c r="C81" s="19">
        <v>33150602008</v>
      </c>
      <c r="D81" s="20" t="s">
        <v>579</v>
      </c>
      <c r="E81" s="27" t="s">
        <v>26</v>
      </c>
      <c r="F81" s="27" t="s">
        <v>26</v>
      </c>
      <c r="G81" s="27" t="s">
        <v>508</v>
      </c>
      <c r="H81" s="20" t="s">
        <v>27</v>
      </c>
      <c r="I81" s="20">
        <v>2325</v>
      </c>
      <c r="J81" s="20">
        <v>2230</v>
      </c>
      <c r="K81" s="20">
        <v>1895</v>
      </c>
      <c r="L81" s="30">
        <v>2890</v>
      </c>
      <c r="M81" s="30">
        <v>2600</v>
      </c>
      <c r="N81" s="35"/>
      <c r="O81" s="35"/>
      <c r="P81" s="35"/>
      <c r="Q81" s="38"/>
      <c r="R81" s="39">
        <f t="shared" ref="R81:R105" si="15">I81/L81</f>
        <v>0.804498269896194</v>
      </c>
      <c r="S81" s="38"/>
      <c r="T81" s="39"/>
      <c r="U81" s="22" t="s">
        <v>435</v>
      </c>
    </row>
    <row r="82" s="5" customFormat="1" ht="27" customHeight="1" spans="1:21">
      <c r="A82" s="17">
        <v>43</v>
      </c>
      <c r="B82" s="18" t="s">
        <v>580</v>
      </c>
      <c r="C82" s="19">
        <v>33150602009</v>
      </c>
      <c r="D82" s="20" t="s">
        <v>581</v>
      </c>
      <c r="E82" s="27" t="s">
        <v>26</v>
      </c>
      <c r="F82" s="27" t="s">
        <v>26</v>
      </c>
      <c r="G82" s="27" t="s">
        <v>26</v>
      </c>
      <c r="H82" s="20" t="s">
        <v>27</v>
      </c>
      <c r="I82" s="20">
        <v>2125</v>
      </c>
      <c r="J82" s="20">
        <v>2040</v>
      </c>
      <c r="K82" s="20">
        <v>1734</v>
      </c>
      <c r="L82" s="30">
        <v>2710</v>
      </c>
      <c r="M82" s="30">
        <v>2500</v>
      </c>
      <c r="N82" s="35">
        <v>2205</v>
      </c>
      <c r="O82" s="35">
        <v>2080</v>
      </c>
      <c r="P82" s="35">
        <v>1766</v>
      </c>
      <c r="Q82" s="38">
        <v>8</v>
      </c>
      <c r="R82" s="39">
        <f t="shared" si="15"/>
        <v>0.784132841328413</v>
      </c>
      <c r="S82" s="38">
        <v>8</v>
      </c>
      <c r="T82" s="39">
        <f t="shared" ref="T82:T85" si="16">N82/L82</f>
        <v>0.813653136531365</v>
      </c>
      <c r="U82" s="22" t="s">
        <v>422</v>
      </c>
    </row>
    <row r="83" s="5" customFormat="1" ht="27" customHeight="1" spans="1:21">
      <c r="A83" s="17">
        <v>44</v>
      </c>
      <c r="B83" s="18" t="s">
        <v>582</v>
      </c>
      <c r="C83" s="19">
        <v>33150602010</v>
      </c>
      <c r="D83" s="20" t="s">
        <v>583</v>
      </c>
      <c r="E83" s="27" t="s">
        <v>26</v>
      </c>
      <c r="F83" s="27" t="s">
        <v>26</v>
      </c>
      <c r="G83" s="27" t="s">
        <v>508</v>
      </c>
      <c r="H83" s="20" t="s">
        <v>27</v>
      </c>
      <c r="I83" s="20">
        <v>2287.5</v>
      </c>
      <c r="J83" s="20">
        <v>2196</v>
      </c>
      <c r="K83" s="20">
        <v>1866.6</v>
      </c>
      <c r="L83" s="30">
        <v>2910</v>
      </c>
      <c r="M83" s="30">
        <v>2690</v>
      </c>
      <c r="N83" s="35">
        <v>2367.5</v>
      </c>
      <c r="O83" s="35">
        <v>2236</v>
      </c>
      <c r="P83" s="35">
        <v>1898.6</v>
      </c>
      <c r="Q83" s="38">
        <v>8</v>
      </c>
      <c r="R83" s="39">
        <f t="shared" si="15"/>
        <v>0.786082474226804</v>
      </c>
      <c r="S83" s="38">
        <v>8</v>
      </c>
      <c r="T83" s="39">
        <f t="shared" si="16"/>
        <v>0.813573883161512</v>
      </c>
      <c r="U83" s="22" t="s">
        <v>422</v>
      </c>
    </row>
    <row r="84" s="5" customFormat="1" ht="27" customHeight="1" spans="1:21">
      <c r="A84" s="17">
        <v>45</v>
      </c>
      <c r="B84" s="18" t="s">
        <v>584</v>
      </c>
      <c r="C84" s="19">
        <v>33150602011</v>
      </c>
      <c r="D84" s="20" t="s">
        <v>585</v>
      </c>
      <c r="E84" s="27" t="s">
        <v>26</v>
      </c>
      <c r="F84" s="27" t="s">
        <v>26</v>
      </c>
      <c r="G84" s="27" t="s">
        <v>26</v>
      </c>
      <c r="H84" s="20" t="s">
        <v>27</v>
      </c>
      <c r="I84" s="20">
        <v>2615</v>
      </c>
      <c r="J84" s="20">
        <v>2510</v>
      </c>
      <c r="K84" s="20">
        <v>2135</v>
      </c>
      <c r="L84" s="30">
        <v>3520</v>
      </c>
      <c r="M84" s="30">
        <v>3250</v>
      </c>
      <c r="N84" s="35">
        <v>2695</v>
      </c>
      <c r="O84" s="35">
        <v>2550</v>
      </c>
      <c r="P84" s="35">
        <f>K80+440</f>
        <v>2165</v>
      </c>
      <c r="Q84" s="38">
        <v>8</v>
      </c>
      <c r="R84" s="39">
        <f t="shared" si="15"/>
        <v>0.742897727272727</v>
      </c>
      <c r="S84" s="38">
        <v>7</v>
      </c>
      <c r="T84" s="39">
        <f t="shared" si="16"/>
        <v>0.765625</v>
      </c>
      <c r="U84" s="22" t="s">
        <v>422</v>
      </c>
    </row>
    <row r="85" s="5" customFormat="1" ht="27" customHeight="1" spans="1:21">
      <c r="A85" s="17">
        <v>46</v>
      </c>
      <c r="B85" s="18" t="s">
        <v>586</v>
      </c>
      <c r="C85" s="19">
        <v>33150602012</v>
      </c>
      <c r="D85" s="20" t="s">
        <v>587</v>
      </c>
      <c r="E85" s="27" t="s">
        <v>26</v>
      </c>
      <c r="F85" s="27" t="s">
        <v>26</v>
      </c>
      <c r="G85" s="27" t="s">
        <v>508</v>
      </c>
      <c r="H85" s="20" t="s">
        <v>27</v>
      </c>
      <c r="I85" s="20">
        <v>2825</v>
      </c>
      <c r="J85" s="20">
        <v>2710</v>
      </c>
      <c r="K85" s="20">
        <v>2305</v>
      </c>
      <c r="L85" s="30">
        <v>3780</v>
      </c>
      <c r="M85" s="30">
        <v>3500</v>
      </c>
      <c r="N85" s="35">
        <v>2905</v>
      </c>
      <c r="O85" s="35">
        <v>2750</v>
      </c>
      <c r="P85" s="35">
        <f>K81+440</f>
        <v>2335</v>
      </c>
      <c r="Q85" s="38">
        <v>8</v>
      </c>
      <c r="R85" s="39">
        <f t="shared" si="15"/>
        <v>0.747354497354497</v>
      </c>
      <c r="S85" s="38">
        <v>7</v>
      </c>
      <c r="T85" s="39">
        <f t="shared" si="16"/>
        <v>0.768518518518518</v>
      </c>
      <c r="U85" s="22" t="s">
        <v>422</v>
      </c>
    </row>
    <row r="86" s="5" customFormat="1" ht="27" hidden="1" customHeight="1" spans="1:21">
      <c r="A86" s="17"/>
      <c r="B86" s="18" t="s">
        <v>588</v>
      </c>
      <c r="C86" s="19">
        <v>331506022</v>
      </c>
      <c r="D86" s="20" t="s">
        <v>589</v>
      </c>
      <c r="E86" s="27" t="s">
        <v>26</v>
      </c>
      <c r="F86" s="27" t="s">
        <v>26</v>
      </c>
      <c r="G86" s="27" t="s">
        <v>590</v>
      </c>
      <c r="H86" s="20" t="s">
        <v>27</v>
      </c>
      <c r="I86" s="20">
        <v>1125</v>
      </c>
      <c r="J86" s="20">
        <v>1080</v>
      </c>
      <c r="K86" s="20">
        <v>918</v>
      </c>
      <c r="L86" s="30">
        <v>1220</v>
      </c>
      <c r="M86" s="30">
        <v>1090</v>
      </c>
      <c r="N86" s="35"/>
      <c r="O86" s="35"/>
      <c r="P86" s="35"/>
      <c r="Q86" s="38">
        <v>7</v>
      </c>
      <c r="R86" s="39">
        <f t="shared" si="15"/>
        <v>0.922131147540984</v>
      </c>
      <c r="S86" s="38"/>
      <c r="T86" s="39"/>
      <c r="U86" s="22" t="s">
        <v>422</v>
      </c>
    </row>
    <row r="87" s="5" customFormat="1" ht="27" hidden="1" customHeight="1" spans="1:21">
      <c r="A87" s="17"/>
      <c r="B87" s="18" t="s">
        <v>591</v>
      </c>
      <c r="C87" s="19">
        <v>33150602201</v>
      </c>
      <c r="D87" s="20" t="s">
        <v>592</v>
      </c>
      <c r="E87" s="27" t="s">
        <v>26</v>
      </c>
      <c r="F87" s="27" t="s">
        <v>26</v>
      </c>
      <c r="G87" s="27" t="s">
        <v>218</v>
      </c>
      <c r="H87" s="20" t="s">
        <v>27</v>
      </c>
      <c r="I87" s="20">
        <v>1687.5</v>
      </c>
      <c r="J87" s="20">
        <v>1620</v>
      </c>
      <c r="K87" s="20">
        <v>1377</v>
      </c>
      <c r="L87" s="30">
        <v>1820</v>
      </c>
      <c r="M87" s="30">
        <v>1640</v>
      </c>
      <c r="N87" s="35"/>
      <c r="O87" s="35"/>
      <c r="P87" s="35"/>
      <c r="Q87" s="38">
        <v>7</v>
      </c>
      <c r="R87" s="39">
        <f t="shared" si="15"/>
        <v>0.927197802197802</v>
      </c>
      <c r="S87" s="38"/>
      <c r="T87" s="39"/>
      <c r="U87" s="22" t="s">
        <v>422</v>
      </c>
    </row>
    <row r="88" s="5" customFormat="1" ht="27" hidden="1" customHeight="1" spans="1:21">
      <c r="A88" s="17"/>
      <c r="B88" s="18" t="s">
        <v>593</v>
      </c>
      <c r="C88" s="19">
        <v>33150602202</v>
      </c>
      <c r="D88" s="20" t="s">
        <v>594</v>
      </c>
      <c r="E88" s="27" t="s">
        <v>26</v>
      </c>
      <c r="F88" s="27" t="s">
        <v>26</v>
      </c>
      <c r="G88" s="27" t="s">
        <v>26</v>
      </c>
      <c r="H88" s="20" t="s">
        <v>27</v>
      </c>
      <c r="I88" s="20">
        <v>1465</v>
      </c>
      <c r="J88" s="20">
        <v>1405</v>
      </c>
      <c r="K88" s="20">
        <v>1195</v>
      </c>
      <c r="L88" s="30">
        <v>1585</v>
      </c>
      <c r="M88" s="30">
        <v>1415</v>
      </c>
      <c r="N88" s="35"/>
      <c r="O88" s="35"/>
      <c r="P88" s="35"/>
      <c r="Q88" s="38">
        <v>7</v>
      </c>
      <c r="R88" s="39">
        <f t="shared" si="15"/>
        <v>0.924290220820189</v>
      </c>
      <c r="S88" s="38"/>
      <c r="T88" s="39"/>
      <c r="U88" s="22" t="s">
        <v>422</v>
      </c>
    </row>
    <row r="89" s="5" customFormat="1" ht="27" hidden="1" customHeight="1" spans="1:21">
      <c r="A89" s="17"/>
      <c r="B89" s="18" t="s">
        <v>595</v>
      </c>
      <c r="C89" s="19">
        <v>33150602203</v>
      </c>
      <c r="D89" s="20" t="s">
        <v>596</v>
      </c>
      <c r="E89" s="27" t="s">
        <v>26</v>
      </c>
      <c r="F89" s="27" t="s">
        <v>26</v>
      </c>
      <c r="G89" s="27" t="s">
        <v>218</v>
      </c>
      <c r="H89" s="20" t="s">
        <v>27</v>
      </c>
      <c r="I89" s="20">
        <v>2195</v>
      </c>
      <c r="J89" s="20">
        <v>2105</v>
      </c>
      <c r="K89" s="20">
        <v>1790</v>
      </c>
      <c r="L89" s="30">
        <v>2365</v>
      </c>
      <c r="M89" s="30">
        <v>2130</v>
      </c>
      <c r="N89" s="35"/>
      <c r="O89" s="35"/>
      <c r="P89" s="35"/>
      <c r="Q89" s="38">
        <v>7</v>
      </c>
      <c r="R89" s="39">
        <f t="shared" si="15"/>
        <v>0.928118393234672</v>
      </c>
      <c r="S89" s="38"/>
      <c r="T89" s="39"/>
      <c r="U89" s="22" t="s">
        <v>422</v>
      </c>
    </row>
    <row r="90" s="5" customFormat="1" ht="27" customHeight="1" spans="1:21">
      <c r="A90" s="17">
        <v>47</v>
      </c>
      <c r="B90" s="18" t="s">
        <v>597</v>
      </c>
      <c r="C90" s="19">
        <v>33150602204</v>
      </c>
      <c r="D90" s="20" t="s">
        <v>598</v>
      </c>
      <c r="E90" s="27" t="s">
        <v>26</v>
      </c>
      <c r="F90" s="27" t="s">
        <v>26</v>
      </c>
      <c r="G90" s="27" t="s">
        <v>26</v>
      </c>
      <c r="H90" s="20" t="s">
        <v>27</v>
      </c>
      <c r="I90" s="20">
        <v>1625</v>
      </c>
      <c r="J90" s="20">
        <v>1560</v>
      </c>
      <c r="K90" s="20">
        <v>1326</v>
      </c>
      <c r="L90" s="30">
        <v>1820</v>
      </c>
      <c r="M90" s="30">
        <v>1690</v>
      </c>
      <c r="N90" s="35">
        <v>1705</v>
      </c>
      <c r="O90" s="35">
        <v>1600</v>
      </c>
      <c r="P90" s="35">
        <v>1358</v>
      </c>
      <c r="Q90" s="38">
        <v>9</v>
      </c>
      <c r="R90" s="39">
        <f t="shared" si="15"/>
        <v>0.892857142857143</v>
      </c>
      <c r="S90" s="38">
        <v>7</v>
      </c>
      <c r="T90" s="39">
        <f t="shared" ref="T90:T93" si="17">N90/L90</f>
        <v>0.936813186813187</v>
      </c>
      <c r="U90" s="22" t="s">
        <v>422</v>
      </c>
    </row>
    <row r="91" s="5" customFormat="1" ht="27" customHeight="1" spans="1:21">
      <c r="A91" s="17">
        <v>48</v>
      </c>
      <c r="B91" s="18" t="s">
        <v>599</v>
      </c>
      <c r="C91" s="19">
        <v>33150602205</v>
      </c>
      <c r="D91" s="20" t="s">
        <v>600</v>
      </c>
      <c r="E91" s="27" t="s">
        <v>26</v>
      </c>
      <c r="F91" s="27" t="s">
        <v>26</v>
      </c>
      <c r="G91" s="27" t="s">
        <v>218</v>
      </c>
      <c r="H91" s="20" t="s">
        <v>27</v>
      </c>
      <c r="I91" s="20">
        <v>2187.5</v>
      </c>
      <c r="J91" s="20">
        <v>2100</v>
      </c>
      <c r="K91" s="20">
        <v>1785</v>
      </c>
      <c r="L91" s="30">
        <v>2420</v>
      </c>
      <c r="M91" s="30">
        <v>2240</v>
      </c>
      <c r="N91" s="35">
        <v>2267.5</v>
      </c>
      <c r="O91" s="35">
        <v>2140</v>
      </c>
      <c r="P91" s="35">
        <v>1817</v>
      </c>
      <c r="Q91" s="38">
        <v>8</v>
      </c>
      <c r="R91" s="39">
        <f t="shared" si="15"/>
        <v>0.903925619834711</v>
      </c>
      <c r="S91" s="38">
        <v>7</v>
      </c>
      <c r="T91" s="39">
        <f t="shared" si="17"/>
        <v>0.93698347107438</v>
      </c>
      <c r="U91" s="22" t="s">
        <v>422</v>
      </c>
    </row>
    <row r="92" s="5" customFormat="1" ht="27" customHeight="1" spans="1:21">
      <c r="A92" s="17">
        <v>49</v>
      </c>
      <c r="B92" s="18" t="s">
        <v>601</v>
      </c>
      <c r="C92" s="19">
        <v>33150602206</v>
      </c>
      <c r="D92" s="20" t="s">
        <v>602</v>
      </c>
      <c r="E92" s="27" t="s">
        <v>26</v>
      </c>
      <c r="F92" s="27" t="s">
        <v>26</v>
      </c>
      <c r="G92" s="27" t="s">
        <v>26</v>
      </c>
      <c r="H92" s="20" t="s">
        <v>27</v>
      </c>
      <c r="I92" s="20">
        <v>1965</v>
      </c>
      <c r="J92" s="20">
        <v>1885</v>
      </c>
      <c r="K92" s="20">
        <v>1605</v>
      </c>
      <c r="L92" s="30">
        <v>2185</v>
      </c>
      <c r="M92" s="30">
        <v>2015</v>
      </c>
      <c r="N92" s="35">
        <v>2045</v>
      </c>
      <c r="O92" s="35">
        <v>1925</v>
      </c>
      <c r="P92" s="35">
        <v>1635</v>
      </c>
      <c r="Q92" s="38">
        <v>9</v>
      </c>
      <c r="R92" s="39">
        <f t="shared" si="15"/>
        <v>0.899313501144165</v>
      </c>
      <c r="S92" s="38">
        <v>7</v>
      </c>
      <c r="T92" s="39">
        <f t="shared" si="17"/>
        <v>0.935926773455378</v>
      </c>
      <c r="U92" s="22" t="s">
        <v>422</v>
      </c>
    </row>
    <row r="93" s="5" customFormat="1" ht="27" customHeight="1" spans="1:21">
      <c r="A93" s="17">
        <v>50</v>
      </c>
      <c r="B93" s="18" t="s">
        <v>603</v>
      </c>
      <c r="C93" s="19">
        <v>33150602207</v>
      </c>
      <c r="D93" s="20" t="s">
        <v>604</v>
      </c>
      <c r="E93" s="27" t="s">
        <v>26</v>
      </c>
      <c r="F93" s="27" t="s">
        <v>26</v>
      </c>
      <c r="G93" s="27" t="s">
        <v>218</v>
      </c>
      <c r="H93" s="20" t="s">
        <v>27</v>
      </c>
      <c r="I93" s="20">
        <v>2695</v>
      </c>
      <c r="J93" s="20">
        <v>2585</v>
      </c>
      <c r="K93" s="20">
        <v>2200</v>
      </c>
      <c r="L93" s="30">
        <v>2965</v>
      </c>
      <c r="M93" s="30">
        <v>2730</v>
      </c>
      <c r="N93" s="35">
        <v>2775</v>
      </c>
      <c r="O93" s="35">
        <v>2625</v>
      </c>
      <c r="P93" s="35">
        <v>2230</v>
      </c>
      <c r="Q93" s="38">
        <v>7</v>
      </c>
      <c r="R93" s="39">
        <f t="shared" si="15"/>
        <v>0.90893760539629</v>
      </c>
      <c r="S93" s="38">
        <v>7</v>
      </c>
      <c r="T93" s="39">
        <f t="shared" si="17"/>
        <v>0.935919055649241</v>
      </c>
      <c r="U93" s="22" t="s">
        <v>422</v>
      </c>
    </row>
    <row r="94" s="5" customFormat="1" ht="27" hidden="1" customHeight="1" spans="1:21">
      <c r="A94" s="17"/>
      <c r="B94" s="18" t="s">
        <v>605</v>
      </c>
      <c r="C94" s="19">
        <v>331506024</v>
      </c>
      <c r="D94" s="20" t="s">
        <v>606</v>
      </c>
      <c r="E94" s="27" t="s">
        <v>607</v>
      </c>
      <c r="F94" s="27" t="s">
        <v>26</v>
      </c>
      <c r="G94" s="27" t="s">
        <v>26</v>
      </c>
      <c r="H94" s="20" t="s">
        <v>27</v>
      </c>
      <c r="I94" s="20">
        <v>1625</v>
      </c>
      <c r="J94" s="20">
        <v>1560</v>
      </c>
      <c r="K94" s="20">
        <v>1326</v>
      </c>
      <c r="L94" s="30">
        <v>1760</v>
      </c>
      <c r="M94" s="30">
        <v>1580</v>
      </c>
      <c r="N94" s="35"/>
      <c r="O94" s="35"/>
      <c r="P94" s="35"/>
      <c r="Q94" s="38">
        <v>7</v>
      </c>
      <c r="R94" s="39">
        <f t="shared" si="15"/>
        <v>0.923295454545455</v>
      </c>
      <c r="S94" s="38"/>
      <c r="T94" s="39"/>
      <c r="U94" s="22" t="s">
        <v>422</v>
      </c>
    </row>
    <row r="95" s="5" customFormat="1" ht="27" hidden="1" customHeight="1" spans="1:21">
      <c r="A95" s="17"/>
      <c r="B95" s="18" t="s">
        <v>608</v>
      </c>
      <c r="C95" s="19">
        <v>33150602404</v>
      </c>
      <c r="D95" s="20" t="s">
        <v>609</v>
      </c>
      <c r="E95" s="27" t="s">
        <v>26</v>
      </c>
      <c r="F95" s="27" t="s">
        <v>26</v>
      </c>
      <c r="G95" s="27" t="s">
        <v>26</v>
      </c>
      <c r="H95" s="20" t="s">
        <v>27</v>
      </c>
      <c r="I95" s="20">
        <v>2115</v>
      </c>
      <c r="J95" s="20">
        <v>2030</v>
      </c>
      <c r="K95" s="20">
        <v>1725</v>
      </c>
      <c r="L95" s="30">
        <v>2290</v>
      </c>
      <c r="M95" s="30">
        <v>2055</v>
      </c>
      <c r="N95" s="35"/>
      <c r="O95" s="35"/>
      <c r="P95" s="35"/>
      <c r="Q95" s="38">
        <v>7</v>
      </c>
      <c r="R95" s="39">
        <f t="shared" si="15"/>
        <v>0.923580786026201</v>
      </c>
      <c r="S95" s="38"/>
      <c r="T95" s="39"/>
      <c r="U95" s="22" t="s">
        <v>422</v>
      </c>
    </row>
    <row r="96" s="5" customFormat="1" ht="27" customHeight="1" spans="1:21">
      <c r="A96" s="17">
        <v>51</v>
      </c>
      <c r="B96" s="18" t="s">
        <v>610</v>
      </c>
      <c r="C96" s="19">
        <v>33150602405</v>
      </c>
      <c r="D96" s="20" t="s">
        <v>611</v>
      </c>
      <c r="E96" s="27" t="s">
        <v>26</v>
      </c>
      <c r="F96" s="27" t="s">
        <v>26</v>
      </c>
      <c r="G96" s="27" t="s">
        <v>26</v>
      </c>
      <c r="H96" s="20" t="s">
        <v>27</v>
      </c>
      <c r="I96" s="20">
        <v>2125</v>
      </c>
      <c r="J96" s="20">
        <v>2040</v>
      </c>
      <c r="K96" s="20">
        <v>1734</v>
      </c>
      <c r="L96" s="30">
        <v>2360</v>
      </c>
      <c r="M96" s="30">
        <v>2180</v>
      </c>
      <c r="N96" s="35">
        <v>2205</v>
      </c>
      <c r="O96" s="35">
        <v>2080</v>
      </c>
      <c r="P96" s="35">
        <v>1766</v>
      </c>
      <c r="Q96" s="38">
        <v>8</v>
      </c>
      <c r="R96" s="39">
        <f t="shared" si="15"/>
        <v>0.900423728813559</v>
      </c>
      <c r="S96" s="38">
        <v>7</v>
      </c>
      <c r="T96" s="39">
        <f t="shared" ref="T96:T101" si="18">N96/L96</f>
        <v>0.934322033898305</v>
      </c>
      <c r="U96" s="22" t="s">
        <v>422</v>
      </c>
    </row>
    <row r="97" s="5" customFormat="1" ht="27" customHeight="1" spans="1:21">
      <c r="A97" s="17">
        <v>52</v>
      </c>
      <c r="B97" s="18" t="s">
        <v>612</v>
      </c>
      <c r="C97" s="19">
        <v>33150602406</v>
      </c>
      <c r="D97" s="20" t="s">
        <v>613</v>
      </c>
      <c r="E97" s="27" t="s">
        <v>26</v>
      </c>
      <c r="F97" s="27" t="s">
        <v>26</v>
      </c>
      <c r="G97" s="27" t="s">
        <v>26</v>
      </c>
      <c r="H97" s="20" t="s">
        <v>27</v>
      </c>
      <c r="I97" s="20">
        <v>2615</v>
      </c>
      <c r="J97" s="20">
        <v>2510</v>
      </c>
      <c r="K97" s="20">
        <v>2135</v>
      </c>
      <c r="L97" s="30">
        <v>2890</v>
      </c>
      <c r="M97" s="30">
        <v>2655</v>
      </c>
      <c r="N97" s="35">
        <v>2695</v>
      </c>
      <c r="O97" s="35">
        <v>2550</v>
      </c>
      <c r="P97" s="35">
        <v>2165</v>
      </c>
      <c r="Q97" s="38">
        <v>8</v>
      </c>
      <c r="R97" s="39">
        <f t="shared" si="15"/>
        <v>0.904844290657439</v>
      </c>
      <c r="S97" s="38">
        <v>8</v>
      </c>
      <c r="T97" s="39">
        <f t="shared" si="18"/>
        <v>0.932525951557093</v>
      </c>
      <c r="U97" s="22" t="s">
        <v>422</v>
      </c>
    </row>
    <row r="98" s="5" customFormat="1" ht="27" hidden="1" customHeight="1" spans="1:21">
      <c r="A98" s="17"/>
      <c r="B98" s="18" t="s">
        <v>614</v>
      </c>
      <c r="C98" s="19">
        <v>331522007</v>
      </c>
      <c r="D98" s="20" t="s">
        <v>615</v>
      </c>
      <c r="E98" s="27" t="s">
        <v>26</v>
      </c>
      <c r="F98" s="27" t="s">
        <v>26</v>
      </c>
      <c r="G98" s="27" t="s">
        <v>26</v>
      </c>
      <c r="H98" s="20" t="s">
        <v>27</v>
      </c>
      <c r="I98" s="20">
        <v>1125</v>
      </c>
      <c r="J98" s="20">
        <v>1080</v>
      </c>
      <c r="K98" s="20">
        <v>918</v>
      </c>
      <c r="L98" s="30">
        <v>1130</v>
      </c>
      <c r="M98" s="30">
        <v>1010</v>
      </c>
      <c r="N98" s="35"/>
      <c r="O98" s="35"/>
      <c r="P98" s="35"/>
      <c r="Q98" s="38">
        <v>5</v>
      </c>
      <c r="R98" s="39">
        <f t="shared" si="15"/>
        <v>0.995575221238938</v>
      </c>
      <c r="S98" s="38"/>
      <c r="T98" s="39"/>
      <c r="U98" s="22" t="s">
        <v>422</v>
      </c>
    </row>
    <row r="99" s="5" customFormat="1" ht="27" hidden="1" customHeight="1" spans="1:21">
      <c r="A99" s="17"/>
      <c r="B99" s="18" t="s">
        <v>616</v>
      </c>
      <c r="C99" s="19">
        <v>33152200701</v>
      </c>
      <c r="D99" s="20" t="s">
        <v>617</v>
      </c>
      <c r="E99" s="27" t="s">
        <v>26</v>
      </c>
      <c r="F99" s="27" t="s">
        <v>26</v>
      </c>
      <c r="G99" s="27" t="s">
        <v>26</v>
      </c>
      <c r="H99" s="20" t="s">
        <v>27</v>
      </c>
      <c r="I99" s="20">
        <v>1465</v>
      </c>
      <c r="J99" s="20">
        <v>1405</v>
      </c>
      <c r="K99" s="20">
        <v>1195</v>
      </c>
      <c r="L99" s="30">
        <v>1470</v>
      </c>
      <c r="M99" s="30">
        <v>1315</v>
      </c>
      <c r="N99" s="35"/>
      <c r="O99" s="35"/>
      <c r="P99" s="35"/>
      <c r="Q99" s="38">
        <v>5</v>
      </c>
      <c r="R99" s="39">
        <f t="shared" si="15"/>
        <v>0.996598639455782</v>
      </c>
      <c r="S99" s="38"/>
      <c r="T99" s="39"/>
      <c r="U99" s="22" t="s">
        <v>422</v>
      </c>
    </row>
    <row r="100" s="5" customFormat="1" ht="27" customHeight="1" spans="1:21">
      <c r="A100" s="17">
        <v>53</v>
      </c>
      <c r="B100" s="18" t="s">
        <v>618</v>
      </c>
      <c r="C100" s="19">
        <v>33152200702</v>
      </c>
      <c r="D100" s="20" t="s">
        <v>619</v>
      </c>
      <c r="E100" s="27" t="s">
        <v>26</v>
      </c>
      <c r="F100" s="27" t="s">
        <v>26</v>
      </c>
      <c r="G100" s="27" t="s">
        <v>26</v>
      </c>
      <c r="H100" s="20" t="s">
        <v>27</v>
      </c>
      <c r="I100" s="20">
        <v>1625</v>
      </c>
      <c r="J100" s="20">
        <v>1560</v>
      </c>
      <c r="K100" s="20">
        <v>1326</v>
      </c>
      <c r="L100" s="30">
        <v>1730</v>
      </c>
      <c r="M100" s="30">
        <v>1550</v>
      </c>
      <c r="N100" s="35">
        <v>1705</v>
      </c>
      <c r="O100" s="35">
        <v>1600</v>
      </c>
      <c r="P100" s="35">
        <v>1358</v>
      </c>
      <c r="Q100" s="38">
        <v>7</v>
      </c>
      <c r="R100" s="39">
        <f t="shared" si="15"/>
        <v>0.939306358381503</v>
      </c>
      <c r="S100" s="38">
        <v>5</v>
      </c>
      <c r="T100" s="39">
        <f t="shared" si="18"/>
        <v>0.985549132947977</v>
      </c>
      <c r="U100" s="22" t="s">
        <v>422</v>
      </c>
    </row>
    <row r="101" s="5" customFormat="1" ht="27" customHeight="1" spans="1:21">
      <c r="A101" s="17">
        <v>54</v>
      </c>
      <c r="B101" s="18" t="s">
        <v>620</v>
      </c>
      <c r="C101" s="19">
        <v>33152200703</v>
      </c>
      <c r="D101" s="20" t="s">
        <v>621</v>
      </c>
      <c r="E101" s="27" t="s">
        <v>26</v>
      </c>
      <c r="F101" s="27" t="s">
        <v>26</v>
      </c>
      <c r="G101" s="27" t="s">
        <v>26</v>
      </c>
      <c r="H101" s="20" t="s">
        <v>27</v>
      </c>
      <c r="I101" s="20">
        <v>1965</v>
      </c>
      <c r="J101" s="20">
        <v>1885</v>
      </c>
      <c r="K101" s="20">
        <v>1605</v>
      </c>
      <c r="L101" s="30">
        <v>2070</v>
      </c>
      <c r="M101" s="30">
        <v>1855</v>
      </c>
      <c r="N101" s="35">
        <v>2045</v>
      </c>
      <c r="O101" s="35">
        <v>1925</v>
      </c>
      <c r="P101" s="35">
        <v>1635</v>
      </c>
      <c r="Q101" s="38">
        <v>7</v>
      </c>
      <c r="R101" s="39">
        <f t="shared" si="15"/>
        <v>0.949275362318841</v>
      </c>
      <c r="S101" s="38">
        <v>5</v>
      </c>
      <c r="T101" s="39">
        <f t="shared" si="18"/>
        <v>0.98792270531401</v>
      </c>
      <c r="U101" s="22" t="s">
        <v>422</v>
      </c>
    </row>
    <row r="102" s="5" customFormat="1" ht="27" hidden="1" customHeight="1" spans="1:21">
      <c r="A102" s="17"/>
      <c r="B102" s="18" t="s">
        <v>622</v>
      </c>
      <c r="C102" s="19">
        <v>331522008</v>
      </c>
      <c r="D102" s="20" t="s">
        <v>623</v>
      </c>
      <c r="E102" s="27" t="s">
        <v>624</v>
      </c>
      <c r="F102" s="27" t="s">
        <v>26</v>
      </c>
      <c r="G102" s="27" t="s">
        <v>26</v>
      </c>
      <c r="H102" s="20" t="s">
        <v>27</v>
      </c>
      <c r="I102" s="20">
        <v>1375</v>
      </c>
      <c r="J102" s="20">
        <v>1320</v>
      </c>
      <c r="K102" s="20">
        <v>1122</v>
      </c>
      <c r="L102" s="30">
        <v>1380</v>
      </c>
      <c r="M102" s="30">
        <v>1240</v>
      </c>
      <c r="N102" s="35"/>
      <c r="O102" s="35"/>
      <c r="P102" s="35"/>
      <c r="Q102" s="38">
        <v>5</v>
      </c>
      <c r="R102" s="39">
        <f t="shared" si="15"/>
        <v>0.996376811594203</v>
      </c>
      <c r="S102" s="38"/>
      <c r="T102" s="39"/>
      <c r="U102" s="22" t="s">
        <v>422</v>
      </c>
    </row>
    <row r="103" s="5" customFormat="1" ht="27" hidden="1" customHeight="1" spans="1:21">
      <c r="A103" s="17"/>
      <c r="B103" s="18" t="s">
        <v>625</v>
      </c>
      <c r="C103" s="19">
        <v>33152200804</v>
      </c>
      <c r="D103" s="20" t="s">
        <v>626</v>
      </c>
      <c r="E103" s="27" t="s">
        <v>26</v>
      </c>
      <c r="F103" s="27" t="s">
        <v>26</v>
      </c>
      <c r="G103" s="27" t="s">
        <v>26</v>
      </c>
      <c r="H103" s="20" t="s">
        <v>27</v>
      </c>
      <c r="I103" s="20">
        <v>1790</v>
      </c>
      <c r="J103" s="20">
        <v>1715</v>
      </c>
      <c r="K103" s="20">
        <v>1460</v>
      </c>
      <c r="L103" s="30">
        <v>1795</v>
      </c>
      <c r="M103" s="30">
        <v>1610</v>
      </c>
      <c r="N103" s="35"/>
      <c r="O103" s="35"/>
      <c r="P103" s="35"/>
      <c r="Q103" s="38">
        <v>5</v>
      </c>
      <c r="R103" s="39">
        <f t="shared" si="15"/>
        <v>0.997214484679666</v>
      </c>
      <c r="S103" s="38"/>
      <c r="T103" s="39"/>
      <c r="U103" s="22" t="s">
        <v>422</v>
      </c>
    </row>
    <row r="104" s="5" customFormat="1" ht="27" customHeight="1" spans="1:21">
      <c r="A104" s="17">
        <v>55</v>
      </c>
      <c r="B104" s="18" t="s">
        <v>627</v>
      </c>
      <c r="C104" s="19">
        <v>33152200805</v>
      </c>
      <c r="D104" s="20" t="s">
        <v>628</v>
      </c>
      <c r="E104" s="27" t="s">
        <v>26</v>
      </c>
      <c r="F104" s="27" t="s">
        <v>26</v>
      </c>
      <c r="G104" s="27" t="s">
        <v>26</v>
      </c>
      <c r="H104" s="20" t="s">
        <v>27</v>
      </c>
      <c r="I104" s="20">
        <v>1875</v>
      </c>
      <c r="J104" s="20">
        <v>1800</v>
      </c>
      <c r="K104" s="20">
        <v>1530</v>
      </c>
      <c r="L104" s="30">
        <v>1980</v>
      </c>
      <c r="M104" s="30">
        <v>1780</v>
      </c>
      <c r="N104" s="35">
        <v>1955</v>
      </c>
      <c r="O104" s="35">
        <v>1840</v>
      </c>
      <c r="P104" s="35">
        <v>1562</v>
      </c>
      <c r="Q104" s="38">
        <v>8</v>
      </c>
      <c r="R104" s="39">
        <f t="shared" si="15"/>
        <v>0.946969696969697</v>
      </c>
      <c r="S104" s="38">
        <v>5</v>
      </c>
      <c r="T104" s="39">
        <f>N104/L104</f>
        <v>0.987373737373737</v>
      </c>
      <c r="U104" s="22" t="s">
        <v>422</v>
      </c>
    </row>
    <row r="105" s="5" customFormat="1" ht="27" customHeight="1" spans="1:21">
      <c r="A105" s="17">
        <v>56</v>
      </c>
      <c r="B105" s="18" t="s">
        <v>629</v>
      </c>
      <c r="C105" s="19">
        <v>33152200806</v>
      </c>
      <c r="D105" s="20" t="s">
        <v>630</v>
      </c>
      <c r="E105" s="27" t="s">
        <v>26</v>
      </c>
      <c r="F105" s="27" t="s">
        <v>26</v>
      </c>
      <c r="G105" s="27" t="s">
        <v>26</v>
      </c>
      <c r="H105" s="20" t="s">
        <v>27</v>
      </c>
      <c r="I105" s="20">
        <v>2290</v>
      </c>
      <c r="J105" s="20">
        <v>2195</v>
      </c>
      <c r="K105" s="20">
        <v>1870</v>
      </c>
      <c r="L105" s="30">
        <v>2395</v>
      </c>
      <c r="M105" s="30">
        <v>2150</v>
      </c>
      <c r="N105" s="35">
        <v>2370</v>
      </c>
      <c r="O105" s="35">
        <v>2235</v>
      </c>
      <c r="P105" s="35">
        <v>1900</v>
      </c>
      <c r="Q105" s="38">
        <v>6</v>
      </c>
      <c r="R105" s="39">
        <f t="shared" si="15"/>
        <v>0.95615866388309</v>
      </c>
      <c r="S105" s="38">
        <v>5</v>
      </c>
      <c r="T105" s="39">
        <f>N105/L105</f>
        <v>0.989561586638831</v>
      </c>
      <c r="U105" s="22" t="s">
        <v>422</v>
      </c>
    </row>
  </sheetData>
  <autoFilter ref="A3:U105">
    <extLst/>
  </autoFilter>
  <mergeCells count="1">
    <mergeCell ref="A2:T2"/>
  </mergeCells>
  <printOptions horizontalCentered="1"/>
  <pageMargins left="0.393055555555556" right="0.393055555555556" top="0.786805555555556" bottom="0.786805555555556" header="0.5" footer="0.5"/>
  <pageSetup paperSize="8" orientation="landscape"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47"/>
  <sheetViews>
    <sheetView tabSelected="1" topLeftCell="F1" workbookViewId="0">
      <selection activeCell="U1" sqref="U1"/>
    </sheetView>
  </sheetViews>
  <sheetFormatPr defaultColWidth="9" defaultRowHeight="14.25"/>
  <cols>
    <col min="4" max="4" width="19.875" customWidth="1"/>
    <col min="5" max="5" width="30.375" customWidth="1"/>
    <col min="6" max="6" width="28.25" customWidth="1"/>
    <col min="7" max="7" width="19.125" customWidth="1"/>
  </cols>
  <sheetData>
    <row r="1" ht="38.25" spans="1:23">
      <c r="A1" s="1" t="s">
        <v>631</v>
      </c>
      <c r="B1" s="1" t="s">
        <v>632</v>
      </c>
      <c r="C1" s="1" t="s">
        <v>633</v>
      </c>
      <c r="D1" s="2" t="s">
        <v>634</v>
      </c>
      <c r="E1" s="1" t="s">
        <v>635</v>
      </c>
      <c r="F1" s="2" t="s">
        <v>636</v>
      </c>
      <c r="G1" s="1" t="s">
        <v>637</v>
      </c>
      <c r="H1" s="1" t="s">
        <v>638</v>
      </c>
      <c r="I1" s="1" t="s">
        <v>639</v>
      </c>
      <c r="J1" s="1" t="s">
        <v>640</v>
      </c>
      <c r="K1" s="1" t="s">
        <v>641</v>
      </c>
      <c r="L1" s="1" t="s">
        <v>642</v>
      </c>
      <c r="M1" s="1" t="s">
        <v>643</v>
      </c>
      <c r="N1" s="1" t="s">
        <v>644</v>
      </c>
      <c r="O1" s="1" t="s">
        <v>645</v>
      </c>
      <c r="P1" s="1" t="s">
        <v>646</v>
      </c>
      <c r="Q1" s="1" t="s">
        <v>647</v>
      </c>
      <c r="R1" s="1" t="s">
        <v>648</v>
      </c>
      <c r="S1" s="1" t="s">
        <v>649</v>
      </c>
      <c r="T1" s="1" t="s">
        <v>650</v>
      </c>
      <c r="U1" s="1" t="s">
        <v>651</v>
      </c>
      <c r="V1" s="1" t="s">
        <v>652</v>
      </c>
      <c r="W1" t="str">
        <f>"insert into server_list_change_all_20250525 ("&amp;_xlfn.TEXTJOIN(",",TRUE,A1:V1)&amp;") values"</f>
        <v>insert into server_list_change_all_20250525 (id,code,sever_type,change_time,old_hilist_code,new_hilist_code,hilist_name,selfpay_prop,old_price,old_price_city,old_price_town,old_price_village,new_price,new_price_city,new_price_town,new_price_village,unit,batch,is_use_old,merge_type,cnt_change_model,cnt_change_value) values</v>
      </c>
    </row>
    <row r="2" spans="1:23">
      <c r="A2">
        <v>209</v>
      </c>
      <c r="B2" s="3" t="s">
        <v>653</v>
      </c>
      <c r="C2" s="3">
        <v>1</v>
      </c>
      <c r="D2" s="4" t="s">
        <v>654</v>
      </c>
      <c r="E2" t="s">
        <v>23</v>
      </c>
      <c r="F2" t="s">
        <v>23</v>
      </c>
      <c r="G2" t="s">
        <v>24</v>
      </c>
      <c r="H2" s="3" t="s">
        <v>653</v>
      </c>
      <c r="I2" s="3" t="s">
        <v>653</v>
      </c>
      <c r="J2">
        <v>6</v>
      </c>
      <c r="K2">
        <v>6</v>
      </c>
      <c r="L2">
        <v>5.1</v>
      </c>
      <c r="M2" s="3" t="s">
        <v>653</v>
      </c>
      <c r="N2">
        <v>4.7</v>
      </c>
      <c r="O2">
        <v>4.2</v>
      </c>
      <c r="P2">
        <v>3.6</v>
      </c>
      <c r="Q2" t="s">
        <v>27</v>
      </c>
      <c r="R2">
        <v>11</v>
      </c>
      <c r="S2">
        <v>1</v>
      </c>
      <c r="T2" s="3" t="s">
        <v>655</v>
      </c>
      <c r="U2" s="3" t="s">
        <v>655</v>
      </c>
      <c r="V2" s="3">
        <v>0</v>
      </c>
      <c r="W2" s="3" t="str">
        <f>"("&amp;A2&amp;","&amp;B2&amp;","&amp;C2&amp;",'"&amp;D2&amp;"','"&amp;E2&amp;"','"&amp;F2&amp;"','"&amp;G2&amp;"',"&amp;H2&amp;","&amp;I2&amp;","&amp;J2&amp;","&amp;K2&amp;","&amp;L2&amp;","&amp;M2&amp;","&amp;N2&amp;","&amp;O2&amp;","&amp;P2&amp;",'"&amp;Q2&amp;"',"&amp;R2&amp;","&amp;S2&amp;",'"&amp;T2&amp;"','"&amp;U2&amp;"',"&amp;V2&amp;"),"</f>
        <v>(209,null,1,'2025-11-27 00:00:00','001211000010000-121100001','001211000010000-121100001','一般物理降温',null,null,6,6,5.1,null,4.7,4.2,3.6,'次',11,1,'normal','normal',0),</v>
      </c>
    </row>
    <row r="3" spans="1:23">
      <c r="A3">
        <v>210</v>
      </c>
      <c r="B3" s="3" t="s">
        <v>653</v>
      </c>
      <c r="C3" s="3">
        <v>1</v>
      </c>
      <c r="D3" s="4" t="s">
        <v>654</v>
      </c>
      <c r="E3" t="s">
        <v>29</v>
      </c>
      <c r="F3" t="s">
        <v>29</v>
      </c>
      <c r="G3" t="s">
        <v>30</v>
      </c>
      <c r="H3" s="3" t="s">
        <v>653</v>
      </c>
      <c r="I3" s="3" t="s">
        <v>653</v>
      </c>
      <c r="J3">
        <v>6</v>
      </c>
      <c r="K3">
        <v>6</v>
      </c>
      <c r="L3">
        <v>5.1</v>
      </c>
      <c r="M3" s="3" t="s">
        <v>653</v>
      </c>
      <c r="N3">
        <v>4.7</v>
      </c>
      <c r="O3">
        <v>4.2</v>
      </c>
      <c r="P3">
        <v>3.6</v>
      </c>
      <c r="Q3" t="s">
        <v>27</v>
      </c>
      <c r="R3">
        <v>11</v>
      </c>
      <c r="S3">
        <v>1</v>
      </c>
      <c r="T3" s="3" t="s">
        <v>655</v>
      </c>
      <c r="U3" s="3" t="s">
        <v>655</v>
      </c>
      <c r="V3" s="3">
        <v>0</v>
      </c>
      <c r="W3" s="3" t="str">
        <f t="shared" ref="W3:W34" si="0">"("&amp;A3&amp;","&amp;B3&amp;","&amp;C3&amp;",'"&amp;D3&amp;"','"&amp;E3&amp;"','"&amp;F3&amp;"','"&amp;G3&amp;"',"&amp;H3&amp;","&amp;I3&amp;","&amp;J3&amp;","&amp;K3&amp;","&amp;L3&amp;","&amp;M3&amp;","&amp;N3&amp;","&amp;O3&amp;","&amp;P3&amp;",'"&amp;Q3&amp;"',"&amp;R3&amp;","&amp;S3&amp;",'"&amp;T3&amp;"','"&amp;U3&amp;"',"&amp;V3&amp;"),"</f>
        <v>(210,null,1,'2025-11-27 00:00:00','001211000010100-12110000101','001211000010100-12110000101','酒精擦浴降温',null,null,6,6,5.1,null,4.7,4.2,3.6,'次',11,1,'normal','normal',0),</v>
      </c>
    </row>
    <row r="4" spans="1:23">
      <c r="A4">
        <v>211</v>
      </c>
      <c r="B4" s="3" t="s">
        <v>653</v>
      </c>
      <c r="C4" s="3">
        <v>1</v>
      </c>
      <c r="D4" s="4" t="s">
        <v>654</v>
      </c>
      <c r="E4" t="s">
        <v>31</v>
      </c>
      <c r="F4" t="s">
        <v>31</v>
      </c>
      <c r="G4" t="s">
        <v>32</v>
      </c>
      <c r="H4" s="3" t="s">
        <v>653</v>
      </c>
      <c r="I4" s="3" t="s">
        <v>653</v>
      </c>
      <c r="J4">
        <v>6</v>
      </c>
      <c r="K4">
        <v>6</v>
      </c>
      <c r="L4">
        <v>5.1</v>
      </c>
      <c r="M4" s="3" t="s">
        <v>653</v>
      </c>
      <c r="N4">
        <v>4.7</v>
      </c>
      <c r="O4">
        <v>4.2</v>
      </c>
      <c r="P4">
        <v>3.6</v>
      </c>
      <c r="Q4" t="s">
        <v>27</v>
      </c>
      <c r="R4">
        <v>11</v>
      </c>
      <c r="S4">
        <v>1</v>
      </c>
      <c r="T4" s="3" t="s">
        <v>655</v>
      </c>
      <c r="U4" s="3" t="s">
        <v>655</v>
      </c>
      <c r="V4" s="3">
        <v>0</v>
      </c>
      <c r="W4" s="3" t="str">
        <f t="shared" si="0"/>
        <v>(211,null,1,'2025-11-27 00:00:00','001211000010200-12110000102','001211000010200-12110000102','冰袋降温',null,null,6,6,5.1,null,4.7,4.2,3.6,'次',11,1,'normal','normal',0),</v>
      </c>
    </row>
    <row r="5" spans="1:23">
      <c r="A5">
        <v>212</v>
      </c>
      <c r="B5" s="3" t="s">
        <v>653</v>
      </c>
      <c r="C5" s="3">
        <v>1</v>
      </c>
      <c r="D5" s="4" t="s">
        <v>654</v>
      </c>
      <c r="E5" t="s">
        <v>33</v>
      </c>
      <c r="F5" t="s">
        <v>33</v>
      </c>
      <c r="G5" t="s">
        <v>34</v>
      </c>
      <c r="H5" s="3" t="s">
        <v>653</v>
      </c>
      <c r="I5" s="3" t="s">
        <v>653</v>
      </c>
      <c r="J5">
        <v>20</v>
      </c>
      <c r="K5">
        <v>20</v>
      </c>
      <c r="L5">
        <v>17</v>
      </c>
      <c r="M5" s="3" t="s">
        <v>653</v>
      </c>
      <c r="N5">
        <v>14</v>
      </c>
      <c r="O5">
        <v>12.5</v>
      </c>
      <c r="P5">
        <v>11</v>
      </c>
      <c r="Q5" t="s">
        <v>27</v>
      </c>
      <c r="R5">
        <v>11</v>
      </c>
      <c r="S5">
        <v>1</v>
      </c>
      <c r="T5" s="3" t="s">
        <v>655</v>
      </c>
      <c r="U5" s="3" t="s">
        <v>655</v>
      </c>
      <c r="V5" s="3">
        <v>0</v>
      </c>
      <c r="W5" s="3" t="str">
        <f t="shared" si="0"/>
        <v>(212,null,1,'2025-11-27 00:00:00','001211000020000-121100002','001211000020000-121100002','特殊物理降温',null,null,20,20,17,null,14,12.5,11,'次',11,1,'normal','normal',0),</v>
      </c>
    </row>
    <row r="6" spans="1:23">
      <c r="A6">
        <v>213</v>
      </c>
      <c r="B6" s="3" t="s">
        <v>653</v>
      </c>
      <c r="C6" s="3">
        <v>1</v>
      </c>
      <c r="D6" s="4" t="s">
        <v>654</v>
      </c>
      <c r="E6" t="s">
        <v>36</v>
      </c>
      <c r="F6" t="s">
        <v>36</v>
      </c>
      <c r="G6" t="s">
        <v>37</v>
      </c>
      <c r="H6" s="3" t="s">
        <v>653</v>
      </c>
      <c r="I6" s="3" t="s">
        <v>653</v>
      </c>
      <c r="J6">
        <v>3</v>
      </c>
      <c r="K6">
        <v>3</v>
      </c>
      <c r="L6">
        <v>2.6</v>
      </c>
      <c r="M6" s="3" t="s">
        <v>653</v>
      </c>
      <c r="N6">
        <v>1.9</v>
      </c>
      <c r="O6">
        <v>1.7</v>
      </c>
      <c r="P6">
        <v>1.5</v>
      </c>
      <c r="Q6" t="s">
        <v>27</v>
      </c>
      <c r="R6">
        <v>11</v>
      </c>
      <c r="S6">
        <v>1</v>
      </c>
      <c r="T6" s="3" t="s">
        <v>655</v>
      </c>
      <c r="U6" s="3" t="s">
        <v>655</v>
      </c>
      <c r="V6" s="3">
        <v>0</v>
      </c>
      <c r="W6" s="3" t="str">
        <f t="shared" si="0"/>
        <v>(213,null,1,'2025-11-27 00:00:00','001213000010000-121300001','001213000010000-121300001','冷热湿敷',null,null,3,3,2.6,null,1.9,1.7,1.5,'次',11,1,'normal','normal',0),</v>
      </c>
    </row>
    <row r="7" spans="1:23">
      <c r="A7">
        <v>214</v>
      </c>
      <c r="B7" s="3" t="s">
        <v>653</v>
      </c>
      <c r="C7" s="3">
        <v>1</v>
      </c>
      <c r="D7" s="4" t="s">
        <v>654</v>
      </c>
      <c r="E7" t="s">
        <v>39</v>
      </c>
      <c r="F7" t="s">
        <v>39</v>
      </c>
      <c r="G7" t="s">
        <v>40</v>
      </c>
      <c r="H7" s="3" t="s">
        <v>653</v>
      </c>
      <c r="I7" s="3" t="s">
        <v>653</v>
      </c>
      <c r="J7">
        <v>42</v>
      </c>
      <c r="K7">
        <v>40</v>
      </c>
      <c r="L7">
        <v>34</v>
      </c>
      <c r="M7" s="3" t="s">
        <v>653</v>
      </c>
      <c r="N7">
        <v>37</v>
      </c>
      <c r="O7">
        <v>33</v>
      </c>
      <c r="P7">
        <v>28</v>
      </c>
      <c r="Q7" t="s">
        <v>43</v>
      </c>
      <c r="R7">
        <v>11</v>
      </c>
      <c r="S7">
        <v>1</v>
      </c>
      <c r="T7" s="3" t="s">
        <v>655</v>
      </c>
      <c r="U7" s="3" t="s">
        <v>655</v>
      </c>
      <c r="V7" s="3">
        <v>0</v>
      </c>
      <c r="W7" s="3" t="str">
        <f t="shared" si="0"/>
        <v>(214,null,1,'2025-11-27 00:00:00','001216000030000-121600003','001216000030000-121600003','持续膀胱冲洗',null,null,42,40,34,null,37,33,28,'日',11,1,'normal','normal',0),</v>
      </c>
    </row>
    <row r="8" spans="1:23">
      <c r="A8">
        <v>215</v>
      </c>
      <c r="B8" s="3" t="s">
        <v>653</v>
      </c>
      <c r="C8" s="3">
        <v>1</v>
      </c>
      <c r="D8" s="4" t="s">
        <v>654</v>
      </c>
      <c r="E8" t="s">
        <v>44</v>
      </c>
      <c r="F8" t="s">
        <v>44</v>
      </c>
      <c r="G8" t="s">
        <v>45</v>
      </c>
      <c r="H8" s="3" t="s">
        <v>653</v>
      </c>
      <c r="I8" s="3" t="s">
        <v>653</v>
      </c>
      <c r="J8">
        <v>42</v>
      </c>
      <c r="K8">
        <v>40</v>
      </c>
      <c r="L8">
        <v>34</v>
      </c>
      <c r="M8" s="3" t="s">
        <v>653</v>
      </c>
      <c r="N8">
        <v>37</v>
      </c>
      <c r="O8">
        <v>33</v>
      </c>
      <c r="P8">
        <v>28</v>
      </c>
      <c r="Q8" t="s">
        <v>43</v>
      </c>
      <c r="R8">
        <v>11</v>
      </c>
      <c r="S8">
        <v>1</v>
      </c>
      <c r="T8" s="3" t="s">
        <v>655</v>
      </c>
      <c r="U8" s="3" t="s">
        <v>655</v>
      </c>
      <c r="V8" s="3">
        <v>0</v>
      </c>
      <c r="W8" s="3" t="str">
        <f t="shared" si="0"/>
        <v>(215,null,1,'2025-11-27 00:00:00','001216000030100-12160000301','001216000030100-12160000301','膀胱冲洗(持续加压)',null,null,42,40,34,null,37,33,28,'日',11,1,'normal','normal',0),</v>
      </c>
    </row>
    <row r="9" spans="1:23">
      <c r="A9">
        <v>216</v>
      </c>
      <c r="B9" s="3" t="s">
        <v>653</v>
      </c>
      <c r="C9" s="3">
        <v>1</v>
      </c>
      <c r="D9" s="4" t="s">
        <v>654</v>
      </c>
      <c r="E9" t="s">
        <v>47</v>
      </c>
      <c r="F9" t="s">
        <v>47</v>
      </c>
      <c r="G9" t="s">
        <v>48</v>
      </c>
      <c r="H9" s="3" t="s">
        <v>653</v>
      </c>
      <c r="I9" s="3" t="s">
        <v>653</v>
      </c>
      <c r="J9">
        <v>55</v>
      </c>
      <c r="K9">
        <v>52</v>
      </c>
      <c r="L9">
        <v>44</v>
      </c>
      <c r="M9" s="3" t="s">
        <v>653</v>
      </c>
      <c r="N9">
        <v>48</v>
      </c>
      <c r="O9">
        <v>43</v>
      </c>
      <c r="P9">
        <v>36</v>
      </c>
      <c r="Q9" t="s">
        <v>43</v>
      </c>
      <c r="R9">
        <v>11</v>
      </c>
      <c r="S9">
        <v>1</v>
      </c>
      <c r="T9" s="3" t="s">
        <v>655</v>
      </c>
      <c r="U9" s="3" t="s">
        <v>655</v>
      </c>
      <c r="V9" s="3">
        <v>0</v>
      </c>
      <c r="W9" s="3" t="str">
        <f t="shared" si="0"/>
        <v>(216,null,1,'2025-11-27 00:00:00','001216000020000-12160000302','001216000020000-12160000302','小儿膀胱冲洗(持续)',null,null,55,52,44,null,48,43,36,'日',11,1,'normal','normal',0),</v>
      </c>
    </row>
    <row r="10" spans="1:23">
      <c r="A10">
        <v>217</v>
      </c>
      <c r="B10" s="3" t="s">
        <v>653</v>
      </c>
      <c r="C10" s="3">
        <v>1</v>
      </c>
      <c r="D10" s="4" t="s">
        <v>654</v>
      </c>
      <c r="E10" t="s">
        <v>49</v>
      </c>
      <c r="F10" t="s">
        <v>49</v>
      </c>
      <c r="G10" t="s">
        <v>50</v>
      </c>
      <c r="H10" s="3" t="s">
        <v>653</v>
      </c>
      <c r="I10" s="3" t="s">
        <v>653</v>
      </c>
      <c r="J10">
        <v>108</v>
      </c>
      <c r="K10">
        <v>97</v>
      </c>
      <c r="L10">
        <v>82</v>
      </c>
      <c r="M10" s="3" t="s">
        <v>653</v>
      </c>
      <c r="N10">
        <v>130</v>
      </c>
      <c r="O10">
        <v>117</v>
      </c>
      <c r="P10">
        <v>100</v>
      </c>
      <c r="Q10" t="s">
        <v>27</v>
      </c>
      <c r="R10">
        <v>11</v>
      </c>
      <c r="S10">
        <v>1</v>
      </c>
      <c r="T10" s="3" t="s">
        <v>655</v>
      </c>
      <c r="U10" s="3" t="s">
        <v>655</v>
      </c>
      <c r="V10" s="3">
        <v>0</v>
      </c>
      <c r="W10" s="3" t="str">
        <f t="shared" si="0"/>
        <v>(217,null,1,'2025-11-27 00:00:00','003109050030000-310905003','003109050030000-310905003','肝穿刺术',null,null,108,97,82,null,130,117,100,'次',11,1,'normal','normal',0),</v>
      </c>
    </row>
    <row r="11" spans="1:23">
      <c r="A11">
        <v>218</v>
      </c>
      <c r="B11" s="3" t="s">
        <v>653</v>
      </c>
      <c r="C11" s="3">
        <v>1</v>
      </c>
      <c r="D11" s="4" t="s">
        <v>654</v>
      </c>
      <c r="E11" t="s">
        <v>55</v>
      </c>
      <c r="F11" t="s">
        <v>55</v>
      </c>
      <c r="G11" t="s">
        <v>56</v>
      </c>
      <c r="H11" s="3" t="s">
        <v>653</v>
      </c>
      <c r="I11" s="3" t="s">
        <v>653</v>
      </c>
      <c r="J11">
        <v>140</v>
      </c>
      <c r="K11">
        <v>125</v>
      </c>
      <c r="L11">
        <v>105</v>
      </c>
      <c r="M11" s="3" t="s">
        <v>653</v>
      </c>
      <c r="N11">
        <v>170</v>
      </c>
      <c r="O11">
        <v>150</v>
      </c>
      <c r="P11">
        <v>130</v>
      </c>
      <c r="Q11" t="s">
        <v>27</v>
      </c>
      <c r="R11">
        <v>11</v>
      </c>
      <c r="S11">
        <v>1</v>
      </c>
      <c r="T11" s="3" t="s">
        <v>655</v>
      </c>
      <c r="U11" s="3" t="s">
        <v>655</v>
      </c>
      <c r="V11" s="3">
        <v>0</v>
      </c>
      <c r="W11" s="3" t="str">
        <f t="shared" si="0"/>
        <v>(218,null,1,'2025-11-27 00:00:00','003109050030000-31090500301','003109050030000-31090500301','小儿肝穿刺术',null,null,140,125,105,null,170,150,130,'次',11,1,'normal','normal',0),</v>
      </c>
    </row>
    <row r="12" spans="1:23">
      <c r="A12">
        <v>219</v>
      </c>
      <c r="B12" s="3" t="s">
        <v>653</v>
      </c>
      <c r="C12" s="3">
        <v>1</v>
      </c>
      <c r="D12" s="4" t="s">
        <v>654</v>
      </c>
      <c r="E12" t="s">
        <v>57</v>
      </c>
      <c r="F12" t="s">
        <v>57</v>
      </c>
      <c r="G12" t="s">
        <v>58</v>
      </c>
      <c r="H12" s="3" t="s">
        <v>653</v>
      </c>
      <c r="I12" s="3" t="s">
        <v>653</v>
      </c>
      <c r="J12">
        <v>110</v>
      </c>
      <c r="K12">
        <v>100</v>
      </c>
      <c r="L12">
        <v>85</v>
      </c>
      <c r="M12" s="3" t="s">
        <v>653</v>
      </c>
      <c r="N12">
        <v>350</v>
      </c>
      <c r="O12">
        <v>315</v>
      </c>
      <c r="P12">
        <v>265</v>
      </c>
      <c r="Q12" t="s">
        <v>27</v>
      </c>
      <c r="R12">
        <v>11</v>
      </c>
      <c r="S12">
        <v>1</v>
      </c>
      <c r="T12" s="3" t="s">
        <v>655</v>
      </c>
      <c r="U12" s="3" t="s">
        <v>655</v>
      </c>
      <c r="V12" s="3">
        <v>0</v>
      </c>
      <c r="W12" s="3" t="str">
        <f t="shared" si="0"/>
        <v>(219,null,1,'2025-11-27 00:00:00','003101000280000-310100028','003101000280000-310100028','经皮穿刺三叉神经半月节注射治疗术',null,null,110,100,85,null,350,315,265,'次',11,1,'normal','normal',0),</v>
      </c>
    </row>
    <row r="13" spans="1:23">
      <c r="A13">
        <v>220</v>
      </c>
      <c r="B13" s="3" t="s">
        <v>653</v>
      </c>
      <c r="C13" s="3">
        <v>1</v>
      </c>
      <c r="D13" s="4" t="s">
        <v>654</v>
      </c>
      <c r="E13" t="s">
        <v>61</v>
      </c>
      <c r="F13" t="s">
        <v>61</v>
      </c>
      <c r="G13" t="s">
        <v>62</v>
      </c>
      <c r="H13" s="3" t="s">
        <v>653</v>
      </c>
      <c r="I13" s="3" t="s">
        <v>653</v>
      </c>
      <c r="J13">
        <v>145</v>
      </c>
      <c r="K13">
        <v>130</v>
      </c>
      <c r="L13">
        <v>110</v>
      </c>
      <c r="M13" s="3" t="s">
        <v>653</v>
      </c>
      <c r="N13">
        <v>455</v>
      </c>
      <c r="O13">
        <v>410</v>
      </c>
      <c r="P13">
        <v>345</v>
      </c>
      <c r="Q13" t="s">
        <v>27</v>
      </c>
      <c r="R13">
        <v>11</v>
      </c>
      <c r="S13">
        <v>1</v>
      </c>
      <c r="T13" s="3" t="s">
        <v>655</v>
      </c>
      <c r="U13" s="3" t="s">
        <v>655</v>
      </c>
      <c r="V13" s="3">
        <v>0</v>
      </c>
      <c r="W13" s="3" t="str">
        <f t="shared" si="0"/>
        <v>(220,null,1,'2025-11-27 00:00:00','003101000280000-31010002801','003101000280000-31010002801','小儿经皮穿刺三叉神经半月节注射治疗术',null,null,145,130,110,null,455,410,345,'次',11,1,'normal','normal',0),</v>
      </c>
    </row>
    <row r="14" spans="1:23">
      <c r="A14">
        <v>221</v>
      </c>
      <c r="B14" s="3" t="s">
        <v>653</v>
      </c>
      <c r="C14" s="3">
        <v>1</v>
      </c>
      <c r="D14" s="4" t="s">
        <v>654</v>
      </c>
      <c r="E14" t="s">
        <v>63</v>
      </c>
      <c r="F14" t="s">
        <v>63</v>
      </c>
      <c r="G14" t="s">
        <v>64</v>
      </c>
      <c r="H14" s="3" t="s">
        <v>653</v>
      </c>
      <c r="I14" s="3" t="s">
        <v>653</v>
      </c>
      <c r="J14">
        <v>110</v>
      </c>
      <c r="K14">
        <v>100</v>
      </c>
      <c r="L14">
        <v>85</v>
      </c>
      <c r="M14" s="3" t="s">
        <v>653</v>
      </c>
      <c r="N14">
        <v>350</v>
      </c>
      <c r="O14">
        <v>315</v>
      </c>
      <c r="P14">
        <v>265</v>
      </c>
      <c r="Q14" t="s">
        <v>27</v>
      </c>
      <c r="R14">
        <v>11</v>
      </c>
      <c r="S14">
        <v>1</v>
      </c>
      <c r="T14" s="3" t="s">
        <v>655</v>
      </c>
      <c r="U14" s="3" t="s">
        <v>655</v>
      </c>
      <c r="V14" s="3">
        <v>0</v>
      </c>
      <c r="W14" s="3" t="str">
        <f t="shared" si="0"/>
        <v>(221,null,1,'2025-11-27 00:00:00','003101000290000-310100029','003101000290000-310100029','经皮穿刺三叉神经半月节射频温控热凝术',null,null,110,100,85,null,350,315,265,'次',11,1,'normal','normal',0),</v>
      </c>
    </row>
    <row r="15" spans="1:23">
      <c r="A15">
        <v>222</v>
      </c>
      <c r="B15" s="3" t="s">
        <v>653</v>
      </c>
      <c r="C15" s="3">
        <v>1</v>
      </c>
      <c r="D15" s="4" t="s">
        <v>654</v>
      </c>
      <c r="E15" t="s">
        <v>66</v>
      </c>
      <c r="F15" t="s">
        <v>66</v>
      </c>
      <c r="G15" t="s">
        <v>67</v>
      </c>
      <c r="H15" s="3" t="s">
        <v>653</v>
      </c>
      <c r="I15" s="3" t="s">
        <v>653</v>
      </c>
      <c r="J15">
        <v>145</v>
      </c>
      <c r="K15">
        <v>130</v>
      </c>
      <c r="L15">
        <v>110</v>
      </c>
      <c r="M15" s="3" t="s">
        <v>653</v>
      </c>
      <c r="N15">
        <v>455</v>
      </c>
      <c r="O15">
        <v>410</v>
      </c>
      <c r="P15">
        <v>345</v>
      </c>
      <c r="Q15" t="s">
        <v>27</v>
      </c>
      <c r="R15">
        <v>11</v>
      </c>
      <c r="S15">
        <v>1</v>
      </c>
      <c r="T15" s="3" t="s">
        <v>655</v>
      </c>
      <c r="U15" s="3" t="s">
        <v>655</v>
      </c>
      <c r="V15" s="3">
        <v>0</v>
      </c>
      <c r="W15" s="3" t="str">
        <f t="shared" si="0"/>
        <v>(222,null,1,'2025-11-27 00:00:00','003101000290000-31010002901','003101000290000-31010002901','小儿经皮穿刺三叉神经半月节射频温控热凝术',null,null,145,130,110,null,455,410,345,'次',11,1,'normal','normal',0),</v>
      </c>
    </row>
    <row r="16" spans="1:23">
      <c r="A16">
        <v>223</v>
      </c>
      <c r="B16" s="3" t="s">
        <v>653</v>
      </c>
      <c r="C16" s="3">
        <v>1</v>
      </c>
      <c r="D16" s="4" t="s">
        <v>654</v>
      </c>
      <c r="E16" t="s">
        <v>68</v>
      </c>
      <c r="F16" t="s">
        <v>68</v>
      </c>
      <c r="G16" t="s">
        <v>69</v>
      </c>
      <c r="H16" s="3" t="s">
        <v>653</v>
      </c>
      <c r="I16" s="3" t="s">
        <v>653</v>
      </c>
      <c r="J16">
        <v>110</v>
      </c>
      <c r="K16">
        <v>100</v>
      </c>
      <c r="L16">
        <v>85</v>
      </c>
      <c r="M16" s="3" t="s">
        <v>653</v>
      </c>
      <c r="N16">
        <v>350</v>
      </c>
      <c r="O16">
        <v>315</v>
      </c>
      <c r="P16">
        <v>265</v>
      </c>
      <c r="Q16" t="s">
        <v>27</v>
      </c>
      <c r="R16">
        <v>11</v>
      </c>
      <c r="S16">
        <v>1</v>
      </c>
      <c r="T16" s="3" t="s">
        <v>655</v>
      </c>
      <c r="U16" s="3" t="s">
        <v>655</v>
      </c>
      <c r="V16" s="3">
        <v>0</v>
      </c>
      <c r="W16" s="3" t="str">
        <f t="shared" si="0"/>
        <v>(223,null,1,'2025-11-27 00:00:00','003101000300000-310100030','003101000300000-310100030','经皮穿刺三叉神经干注射术',null,null,110,100,85,null,350,315,265,'次',11,1,'normal','normal',0),</v>
      </c>
    </row>
    <row r="17" spans="1:23">
      <c r="A17">
        <v>224</v>
      </c>
      <c r="B17" s="3" t="s">
        <v>653</v>
      </c>
      <c r="C17" s="3">
        <v>1</v>
      </c>
      <c r="D17" s="4" t="s">
        <v>654</v>
      </c>
      <c r="E17" t="s">
        <v>70</v>
      </c>
      <c r="F17" t="s">
        <v>70</v>
      </c>
      <c r="G17" t="s">
        <v>71</v>
      </c>
      <c r="H17" s="3" t="s">
        <v>653</v>
      </c>
      <c r="I17" s="3" t="s">
        <v>653</v>
      </c>
      <c r="J17">
        <v>145</v>
      </c>
      <c r="K17">
        <v>130</v>
      </c>
      <c r="L17">
        <v>110</v>
      </c>
      <c r="M17" s="3" t="s">
        <v>653</v>
      </c>
      <c r="N17">
        <v>455</v>
      </c>
      <c r="O17">
        <v>410</v>
      </c>
      <c r="P17">
        <v>345</v>
      </c>
      <c r="Q17" t="s">
        <v>27</v>
      </c>
      <c r="R17">
        <v>11</v>
      </c>
      <c r="S17">
        <v>1</v>
      </c>
      <c r="T17" s="3" t="s">
        <v>655</v>
      </c>
      <c r="U17" s="3" t="s">
        <v>655</v>
      </c>
      <c r="V17" s="3">
        <v>0</v>
      </c>
      <c r="W17" s="3" t="str">
        <f t="shared" si="0"/>
        <v>(224,null,1,'2025-11-27 00:00:00','003101000300000-31010003001','003101000300000-31010003001','小儿经皮穿刺三叉神经干注射术',null,null,145,130,110,null,455,410,345,'次',11,1,'normal','normal',0),</v>
      </c>
    </row>
    <row r="18" spans="1:23">
      <c r="A18">
        <v>225</v>
      </c>
      <c r="B18" s="3" t="s">
        <v>653</v>
      </c>
      <c r="C18" s="3">
        <v>1</v>
      </c>
      <c r="D18" s="4" t="s">
        <v>654</v>
      </c>
      <c r="E18" t="s">
        <v>72</v>
      </c>
      <c r="F18" t="s">
        <v>72</v>
      </c>
      <c r="G18" t="s">
        <v>73</v>
      </c>
      <c r="H18" s="3" t="s">
        <v>653</v>
      </c>
      <c r="I18" s="3" t="s">
        <v>653</v>
      </c>
      <c r="J18">
        <v>30</v>
      </c>
      <c r="K18">
        <v>30</v>
      </c>
      <c r="L18">
        <v>25.5</v>
      </c>
      <c r="M18" s="3" t="s">
        <v>653</v>
      </c>
      <c r="N18">
        <v>54</v>
      </c>
      <c r="O18">
        <v>50</v>
      </c>
      <c r="P18">
        <v>43</v>
      </c>
      <c r="Q18" t="s">
        <v>77</v>
      </c>
      <c r="R18">
        <v>11</v>
      </c>
      <c r="S18">
        <v>1</v>
      </c>
      <c r="T18" s="3" t="s">
        <v>655</v>
      </c>
      <c r="U18" s="3" t="s">
        <v>655</v>
      </c>
      <c r="V18" s="3">
        <v>0</v>
      </c>
      <c r="W18" s="3" t="str">
        <f t="shared" si="0"/>
        <v>(225,null,1,'2025-11-27 00:00:00','003108000040000-310800004','003108000040000-310800004','采自体血及保存',null,null,30,30,25.5,null,54,50,43,'采血次数',11,1,'normal','normal',0),</v>
      </c>
    </row>
    <row r="19" spans="1:23">
      <c r="A19">
        <v>226</v>
      </c>
      <c r="B19" s="3" t="s">
        <v>653</v>
      </c>
      <c r="C19" s="3">
        <v>1</v>
      </c>
      <c r="D19" s="4" t="s">
        <v>654</v>
      </c>
      <c r="E19" t="s">
        <v>78</v>
      </c>
      <c r="F19" t="s">
        <v>78</v>
      </c>
      <c r="G19" t="s">
        <v>79</v>
      </c>
      <c r="H19" s="3" t="s">
        <v>653</v>
      </c>
      <c r="I19" s="3" t="s">
        <v>653</v>
      </c>
      <c r="J19">
        <v>60</v>
      </c>
      <c r="K19">
        <v>60</v>
      </c>
      <c r="L19">
        <v>55.5</v>
      </c>
      <c r="M19" s="3" t="s">
        <v>653</v>
      </c>
      <c r="N19">
        <v>110</v>
      </c>
      <c r="O19">
        <v>100</v>
      </c>
      <c r="P19">
        <v>85</v>
      </c>
      <c r="Q19" t="s">
        <v>77</v>
      </c>
      <c r="R19">
        <v>11</v>
      </c>
      <c r="S19">
        <v>1</v>
      </c>
      <c r="T19" s="3" t="s">
        <v>655</v>
      </c>
      <c r="U19" s="3" t="s">
        <v>655</v>
      </c>
      <c r="V19" s="3">
        <v>0</v>
      </c>
      <c r="W19" s="3" t="str">
        <f t="shared" si="0"/>
        <v>(226,null,1,'2025-11-27 00:00:00','003108000040000-31080000402','003108000040000-31080000402','采自体血及保存(手工自采成分血)',null,null,60,60,55.5,null,110,100,85,'采血次数',11,1,'normal','normal',0),</v>
      </c>
    </row>
    <row r="20" spans="1:23">
      <c r="A20">
        <v>227</v>
      </c>
      <c r="B20" s="3" t="s">
        <v>653</v>
      </c>
      <c r="C20" s="3">
        <v>1</v>
      </c>
      <c r="D20" s="4" t="s">
        <v>654</v>
      </c>
      <c r="E20" t="s">
        <v>81</v>
      </c>
      <c r="F20" t="s">
        <v>81</v>
      </c>
      <c r="G20" t="s">
        <v>82</v>
      </c>
      <c r="H20" s="3" t="s">
        <v>653</v>
      </c>
      <c r="I20" s="3" t="s">
        <v>653</v>
      </c>
      <c r="J20">
        <v>5000</v>
      </c>
      <c r="K20">
        <v>5000</v>
      </c>
      <c r="L20">
        <v>4250</v>
      </c>
      <c r="M20" s="3" t="s">
        <v>653</v>
      </c>
      <c r="N20">
        <v>9000</v>
      </c>
      <c r="O20">
        <v>8100</v>
      </c>
      <c r="P20">
        <v>6885</v>
      </c>
      <c r="Q20" t="s">
        <v>27</v>
      </c>
      <c r="R20">
        <v>11</v>
      </c>
      <c r="S20">
        <v>1</v>
      </c>
      <c r="T20" s="3" t="s">
        <v>655</v>
      </c>
      <c r="U20" s="3" t="s">
        <v>655</v>
      </c>
      <c r="V20" s="3">
        <v>0</v>
      </c>
      <c r="W20" s="3" t="str">
        <f t="shared" si="0"/>
        <v>(227,null,1,'2025-11-27 00:00:00','003108000170000-310800017','003108000170000-310800017','血细胞分化簇抗原(CD)34阳性造血干细胞分选',null,null,5000,5000,4250,null,9000,8100,6885,'次',11,1,'normal','normal',0),</v>
      </c>
    </row>
    <row r="21" spans="1:23">
      <c r="A21">
        <v>228</v>
      </c>
      <c r="B21" s="3" t="s">
        <v>653</v>
      </c>
      <c r="C21" s="3">
        <v>1</v>
      </c>
      <c r="D21" s="4" t="s">
        <v>654</v>
      </c>
      <c r="E21" t="s">
        <v>84</v>
      </c>
      <c r="F21" t="s">
        <v>84</v>
      </c>
      <c r="G21" t="s">
        <v>85</v>
      </c>
      <c r="H21" s="3" t="s">
        <v>653</v>
      </c>
      <c r="I21" s="3" t="s">
        <v>653</v>
      </c>
      <c r="J21">
        <v>300</v>
      </c>
      <c r="K21">
        <v>300</v>
      </c>
      <c r="L21">
        <v>255</v>
      </c>
      <c r="M21" s="3" t="s">
        <v>653</v>
      </c>
      <c r="N21">
        <v>540</v>
      </c>
      <c r="O21">
        <v>485</v>
      </c>
      <c r="P21">
        <v>415</v>
      </c>
      <c r="Q21" t="s">
        <v>27</v>
      </c>
      <c r="R21">
        <v>11</v>
      </c>
      <c r="S21">
        <v>1</v>
      </c>
      <c r="T21" s="3" t="s">
        <v>655</v>
      </c>
      <c r="U21" s="3" t="s">
        <v>655</v>
      </c>
      <c r="V21" s="3">
        <v>0</v>
      </c>
      <c r="W21" s="3" t="str">
        <f t="shared" si="0"/>
        <v>(228,null,1,'2025-11-27 00:00:00','003108000180000-310800018','003108000180000-310800018','血细胞分化簇抗原(CD)34阳性造血干细胞移植',null,null,300,300,255,null,540,485,415,'次',11,1,'normal','normal',0),</v>
      </c>
    </row>
    <row r="22" spans="1:23">
      <c r="A22">
        <v>229</v>
      </c>
      <c r="B22" s="3" t="s">
        <v>653</v>
      </c>
      <c r="C22" s="3">
        <v>1</v>
      </c>
      <c r="D22" s="4" t="s">
        <v>654</v>
      </c>
      <c r="E22" t="s">
        <v>86</v>
      </c>
      <c r="F22" t="s">
        <v>86</v>
      </c>
      <c r="G22" t="s">
        <v>87</v>
      </c>
      <c r="H22" s="3" t="s">
        <v>653</v>
      </c>
      <c r="I22" s="3" t="s">
        <v>653</v>
      </c>
      <c r="J22">
        <v>3500</v>
      </c>
      <c r="K22">
        <v>3500</v>
      </c>
      <c r="L22">
        <v>2975</v>
      </c>
      <c r="M22" s="3" t="s">
        <v>653</v>
      </c>
      <c r="N22">
        <v>6300</v>
      </c>
      <c r="O22">
        <v>5670</v>
      </c>
      <c r="P22">
        <v>4820</v>
      </c>
      <c r="Q22" t="s">
        <v>27</v>
      </c>
      <c r="R22">
        <v>11</v>
      </c>
      <c r="S22">
        <v>1</v>
      </c>
      <c r="T22" s="3" t="s">
        <v>655</v>
      </c>
      <c r="U22" s="3" t="s">
        <v>655</v>
      </c>
      <c r="V22" s="3">
        <v>0</v>
      </c>
      <c r="W22" s="3" t="str">
        <f t="shared" si="0"/>
        <v>(229,null,1,'2025-11-27 00:00:00','003108000200000-310800020','003108000200000-310800020','骨髓移植术',null,null,3500,3500,2975,null,6300,5670,4820,'次',11,1,'normal','normal',0),</v>
      </c>
    </row>
    <row r="23" spans="1:23">
      <c r="A23">
        <v>230</v>
      </c>
      <c r="B23" s="3" t="s">
        <v>653</v>
      </c>
      <c r="C23" s="3">
        <v>1</v>
      </c>
      <c r="D23" s="4" t="s">
        <v>654</v>
      </c>
      <c r="E23" t="s">
        <v>90</v>
      </c>
      <c r="F23" t="s">
        <v>90</v>
      </c>
      <c r="G23" t="s">
        <v>91</v>
      </c>
      <c r="H23" s="3" t="s">
        <v>653</v>
      </c>
      <c r="I23" s="3" t="s">
        <v>653</v>
      </c>
      <c r="J23">
        <v>3500</v>
      </c>
      <c r="K23">
        <v>3500</v>
      </c>
      <c r="L23">
        <v>2975</v>
      </c>
      <c r="M23" s="3" t="s">
        <v>653</v>
      </c>
      <c r="N23">
        <v>6300</v>
      </c>
      <c r="O23">
        <v>5670</v>
      </c>
      <c r="P23">
        <v>4820</v>
      </c>
      <c r="Q23" t="s">
        <v>27</v>
      </c>
      <c r="R23">
        <v>11</v>
      </c>
      <c r="S23">
        <v>1</v>
      </c>
      <c r="T23" s="3" t="s">
        <v>655</v>
      </c>
      <c r="U23" s="3" t="s">
        <v>655</v>
      </c>
      <c r="V23" s="3">
        <v>0</v>
      </c>
      <c r="W23" s="3" t="str">
        <f t="shared" si="0"/>
        <v>(230,null,1,'2025-11-27 00:00:00','003108000210000-310800021','003108000210000-310800021','外周血干细胞移植术',null,null,3500,3500,2975,null,6300,5670,4820,'次',11,1,'normal','normal',0),</v>
      </c>
    </row>
    <row r="24" spans="1:23">
      <c r="A24">
        <v>231</v>
      </c>
      <c r="B24" s="3" t="s">
        <v>653</v>
      </c>
      <c r="C24" s="3">
        <v>1</v>
      </c>
      <c r="D24" s="4" t="s">
        <v>654</v>
      </c>
      <c r="E24" t="s">
        <v>92</v>
      </c>
      <c r="F24" t="s">
        <v>92</v>
      </c>
      <c r="G24" t="s">
        <v>93</v>
      </c>
      <c r="H24" s="3" t="s">
        <v>653</v>
      </c>
      <c r="I24" s="3" t="s">
        <v>653</v>
      </c>
      <c r="J24">
        <v>3500</v>
      </c>
      <c r="K24">
        <v>3500</v>
      </c>
      <c r="L24">
        <v>2975</v>
      </c>
      <c r="M24" s="3" t="s">
        <v>653</v>
      </c>
      <c r="N24">
        <v>6300</v>
      </c>
      <c r="O24">
        <v>5670</v>
      </c>
      <c r="P24">
        <v>4820</v>
      </c>
      <c r="Q24" t="s">
        <v>27</v>
      </c>
      <c r="R24">
        <v>11</v>
      </c>
      <c r="S24">
        <v>1</v>
      </c>
      <c r="T24" s="3" t="s">
        <v>655</v>
      </c>
      <c r="U24" s="3" t="s">
        <v>655</v>
      </c>
      <c r="V24" s="3">
        <v>0</v>
      </c>
      <c r="W24" s="3" t="str">
        <f t="shared" si="0"/>
        <v>(231,null,1,'2025-11-27 00:00:00','003108000220000-310800022','003108000220000-310800022','自体骨髓或外周血干细胞支持治疗',null,null,3500,3500,2975,null,6300,5670,4820,'次',11,1,'normal','normal',0),</v>
      </c>
    </row>
    <row r="25" spans="1:23">
      <c r="A25">
        <v>232</v>
      </c>
      <c r="B25" s="3" t="s">
        <v>653</v>
      </c>
      <c r="C25" s="3">
        <v>1</v>
      </c>
      <c r="D25" s="4" t="s">
        <v>654</v>
      </c>
      <c r="E25" t="s">
        <v>95</v>
      </c>
      <c r="F25" t="s">
        <v>95</v>
      </c>
      <c r="G25" t="s">
        <v>96</v>
      </c>
      <c r="H25" s="3" t="s">
        <v>653</v>
      </c>
      <c r="I25" s="3" t="s">
        <v>653</v>
      </c>
      <c r="J25">
        <v>3500</v>
      </c>
      <c r="K25">
        <v>3500</v>
      </c>
      <c r="L25">
        <v>2975</v>
      </c>
      <c r="M25" s="3" t="s">
        <v>653</v>
      </c>
      <c r="N25">
        <v>6300</v>
      </c>
      <c r="O25">
        <v>5670</v>
      </c>
      <c r="P25">
        <v>4820</v>
      </c>
      <c r="Q25" t="s">
        <v>27</v>
      </c>
      <c r="R25">
        <v>11</v>
      </c>
      <c r="S25">
        <v>1</v>
      </c>
      <c r="T25" s="3" t="s">
        <v>655</v>
      </c>
      <c r="U25" s="3" t="s">
        <v>655</v>
      </c>
      <c r="V25" s="3">
        <v>0</v>
      </c>
      <c r="W25" s="3" t="str">
        <f t="shared" si="0"/>
        <v>(232,null,1,'2025-11-27 00:00:00','003108000230000-310800023','003108000230000-310800023','脐血移植术',null,null,3500,3500,2975,null,6300,5670,4820,'次',11,1,'normal','normal',0),</v>
      </c>
    </row>
    <row r="26" spans="1:23">
      <c r="A26">
        <v>233</v>
      </c>
      <c r="B26" s="3" t="s">
        <v>653</v>
      </c>
      <c r="C26" s="3">
        <v>1</v>
      </c>
      <c r="D26" s="4" t="s">
        <v>654</v>
      </c>
      <c r="E26" t="s">
        <v>98</v>
      </c>
      <c r="F26" t="s">
        <v>98</v>
      </c>
      <c r="G26" t="s">
        <v>99</v>
      </c>
      <c r="H26" s="3" t="s">
        <v>653</v>
      </c>
      <c r="I26" s="3" t="s">
        <v>653</v>
      </c>
      <c r="J26">
        <v>750</v>
      </c>
      <c r="K26">
        <v>720</v>
      </c>
      <c r="L26">
        <v>612</v>
      </c>
      <c r="M26" s="3" t="s">
        <v>653</v>
      </c>
      <c r="N26">
        <v>970</v>
      </c>
      <c r="O26">
        <v>875</v>
      </c>
      <c r="P26">
        <v>745</v>
      </c>
      <c r="Q26" t="s">
        <v>27</v>
      </c>
      <c r="R26">
        <v>11</v>
      </c>
      <c r="S26">
        <v>1</v>
      </c>
      <c r="T26" s="3" t="s">
        <v>655</v>
      </c>
      <c r="U26" s="3" t="s">
        <v>655</v>
      </c>
      <c r="V26" s="3">
        <v>0</v>
      </c>
      <c r="W26" s="3" t="str">
        <f t="shared" si="0"/>
        <v>(233,null,1,'2025-11-27 00:00:00','003204000020000-320400002','003204000020000-320400002','经皮心内膜心肌活检术',null,null,750,720,612,null,970,875,745,'次',11,1,'normal','normal',0),</v>
      </c>
    </row>
    <row r="27" spans="1:23">
      <c r="A27">
        <v>234</v>
      </c>
      <c r="B27" s="3" t="s">
        <v>653</v>
      </c>
      <c r="C27" s="3">
        <v>1</v>
      </c>
      <c r="D27" s="4" t="s">
        <v>654</v>
      </c>
      <c r="E27" t="s">
        <v>102</v>
      </c>
      <c r="F27" t="s">
        <v>102</v>
      </c>
      <c r="G27" t="s">
        <v>103</v>
      </c>
      <c r="H27" s="3" t="s">
        <v>653</v>
      </c>
      <c r="I27" s="3" t="s">
        <v>653</v>
      </c>
      <c r="J27">
        <v>975</v>
      </c>
      <c r="K27">
        <v>935</v>
      </c>
      <c r="L27">
        <v>795</v>
      </c>
      <c r="M27" s="3" t="s">
        <v>653</v>
      </c>
      <c r="N27">
        <v>1260</v>
      </c>
      <c r="O27">
        <v>1140</v>
      </c>
      <c r="P27">
        <v>970</v>
      </c>
      <c r="Q27" t="s">
        <v>27</v>
      </c>
      <c r="R27">
        <v>11</v>
      </c>
      <c r="S27">
        <v>1</v>
      </c>
      <c r="T27" s="3" t="s">
        <v>655</v>
      </c>
      <c r="U27" s="3" t="s">
        <v>655</v>
      </c>
      <c r="V27" s="3">
        <v>0</v>
      </c>
      <c r="W27" s="3" t="str">
        <f t="shared" si="0"/>
        <v>(234,null,1,'2025-11-27 00:00:00','003204000020000-32040000201','003204000020000-32040000201','小儿经皮心内膜心肌活检术',null,null,975,935,795,null,1260,1140,970,'次',11,1,'normal','normal',0),</v>
      </c>
    </row>
    <row r="28" spans="1:23">
      <c r="A28">
        <v>235</v>
      </c>
      <c r="B28" s="3" t="s">
        <v>653</v>
      </c>
      <c r="C28" s="3">
        <v>1</v>
      </c>
      <c r="D28" s="4" t="s">
        <v>654</v>
      </c>
      <c r="E28" t="s">
        <v>104</v>
      </c>
      <c r="F28" t="s">
        <v>104</v>
      </c>
      <c r="G28" t="s">
        <v>105</v>
      </c>
      <c r="H28" s="3" t="s">
        <v>653</v>
      </c>
      <c r="I28" s="3" t="s">
        <v>653</v>
      </c>
      <c r="J28">
        <v>2500</v>
      </c>
      <c r="K28">
        <v>2400</v>
      </c>
      <c r="L28">
        <v>2040</v>
      </c>
      <c r="M28" s="3" t="s">
        <v>653</v>
      </c>
      <c r="N28">
        <v>3250</v>
      </c>
      <c r="O28">
        <v>2950</v>
      </c>
      <c r="P28">
        <v>2500</v>
      </c>
      <c r="Q28" t="s">
        <v>27</v>
      </c>
      <c r="R28">
        <v>11</v>
      </c>
      <c r="S28">
        <v>1</v>
      </c>
      <c r="T28" s="3" t="s">
        <v>655</v>
      </c>
      <c r="U28" s="3" t="s">
        <v>655</v>
      </c>
      <c r="V28" s="3">
        <v>0</v>
      </c>
      <c r="W28" s="3" t="str">
        <f t="shared" si="0"/>
        <v>(235,null,1,'2025-11-27 00:00:00','003205000020000-320500002','003205000020000-320500002','经皮冠状动脉腔内成形术(PTCA)',null,null,2500,2400,2040,null,3250,2950,2500,'次',11,1,'normal','normal',0),</v>
      </c>
    </row>
    <row r="29" spans="1:23">
      <c r="A29">
        <v>236</v>
      </c>
      <c r="B29" s="3" t="s">
        <v>653</v>
      </c>
      <c r="C29" s="3">
        <v>1</v>
      </c>
      <c r="D29" s="4" t="s">
        <v>654</v>
      </c>
      <c r="E29" t="s">
        <v>108</v>
      </c>
      <c r="F29" t="s">
        <v>108</v>
      </c>
      <c r="G29" t="s">
        <v>109</v>
      </c>
      <c r="H29" s="3" t="s">
        <v>653</v>
      </c>
      <c r="I29" s="3" t="s">
        <v>653</v>
      </c>
      <c r="J29">
        <v>500</v>
      </c>
      <c r="K29">
        <v>480</v>
      </c>
      <c r="L29">
        <v>408</v>
      </c>
      <c r="M29" s="3" t="s">
        <v>653</v>
      </c>
      <c r="N29">
        <v>650</v>
      </c>
      <c r="O29">
        <v>590</v>
      </c>
      <c r="P29">
        <v>500</v>
      </c>
      <c r="Q29" t="s">
        <v>27</v>
      </c>
      <c r="R29">
        <v>11</v>
      </c>
      <c r="S29">
        <v>1</v>
      </c>
      <c r="T29" s="3" t="s">
        <v>655</v>
      </c>
      <c r="U29" s="3" t="s">
        <v>655</v>
      </c>
      <c r="V29" s="3">
        <v>0</v>
      </c>
      <c r="W29" s="3" t="str">
        <f t="shared" si="0"/>
        <v>(236,null,1,'2025-11-27 00:00:00','003205000020001-32050000201','003205000020001-32050000201','使用经皮冠状动脉腔内成形术(扩张多支血管加收)',null,null,500,480,408,null,650,590,500,'次',11,1,'normal','normal',0),</v>
      </c>
    </row>
    <row r="30" spans="1:23">
      <c r="A30">
        <v>237</v>
      </c>
      <c r="B30" s="3" t="s">
        <v>653</v>
      </c>
      <c r="C30" s="3">
        <v>1</v>
      </c>
      <c r="D30" s="4" t="s">
        <v>654</v>
      </c>
      <c r="E30" t="s">
        <v>111</v>
      </c>
      <c r="F30" t="s">
        <v>111</v>
      </c>
      <c r="G30" t="s">
        <v>112</v>
      </c>
      <c r="H30" s="3" t="s">
        <v>653</v>
      </c>
      <c r="I30" s="3" t="s">
        <v>653</v>
      </c>
      <c r="J30">
        <v>3250</v>
      </c>
      <c r="K30">
        <v>3120</v>
      </c>
      <c r="L30">
        <v>2650</v>
      </c>
      <c r="M30" s="3" t="s">
        <v>653</v>
      </c>
      <c r="N30">
        <v>4210</v>
      </c>
      <c r="O30">
        <v>3795</v>
      </c>
      <c r="P30">
        <v>3225</v>
      </c>
      <c r="Q30" t="s">
        <v>27</v>
      </c>
      <c r="R30">
        <v>11</v>
      </c>
      <c r="S30">
        <v>1</v>
      </c>
      <c r="T30" s="3" t="s">
        <v>655</v>
      </c>
      <c r="U30" s="3" t="s">
        <v>655</v>
      </c>
      <c r="V30" s="3">
        <v>0</v>
      </c>
      <c r="W30" s="3" t="str">
        <f t="shared" si="0"/>
        <v>(237,null,1,'2025-11-27 00:00:00','003205000020000-32050000202','003205000020000-32050000202','小儿经皮冠状动脉腔内成形术(PTCA)',null,null,3250,3120,2650,null,4210,3795,3225,'次',11,1,'normal','normal',0),</v>
      </c>
    </row>
    <row r="31" spans="1:23">
      <c r="A31">
        <v>238</v>
      </c>
      <c r="B31" s="3" t="s">
        <v>653</v>
      </c>
      <c r="C31" s="3">
        <v>1</v>
      </c>
      <c r="D31" s="4" t="s">
        <v>654</v>
      </c>
      <c r="E31" t="s">
        <v>113</v>
      </c>
      <c r="F31" t="s">
        <v>113</v>
      </c>
      <c r="G31" t="s">
        <v>114</v>
      </c>
      <c r="H31" s="3" t="s">
        <v>653</v>
      </c>
      <c r="I31" s="3" t="s">
        <v>653</v>
      </c>
      <c r="J31">
        <v>650</v>
      </c>
      <c r="K31">
        <v>625</v>
      </c>
      <c r="L31">
        <v>530</v>
      </c>
      <c r="M31" s="3" t="s">
        <v>653</v>
      </c>
      <c r="N31">
        <v>845</v>
      </c>
      <c r="O31">
        <v>767</v>
      </c>
      <c r="P31">
        <v>650</v>
      </c>
      <c r="Q31" t="s">
        <v>27</v>
      </c>
      <c r="R31">
        <v>11</v>
      </c>
      <c r="S31">
        <v>1</v>
      </c>
      <c r="T31" s="3" t="s">
        <v>655</v>
      </c>
      <c r="U31" s="3" t="s">
        <v>655</v>
      </c>
      <c r="V31" s="3">
        <v>0</v>
      </c>
      <c r="W31" s="3" t="str">
        <f t="shared" si="0"/>
        <v>(238,null,1,'2025-11-27 00:00:00','003205000020001-32050000203','003205000020001-32050000203','小儿使用经皮冠状动脉腔内成形术(扩张多支血管加收)',null,null,650,625,530,null,845,767,650,'次',11,1,'normal','normal',0),</v>
      </c>
    </row>
    <row r="32" spans="1:23">
      <c r="A32">
        <v>239</v>
      </c>
      <c r="B32" s="3" t="s">
        <v>653</v>
      </c>
      <c r="C32" s="3">
        <v>1</v>
      </c>
      <c r="D32" s="4" t="s">
        <v>654</v>
      </c>
      <c r="E32" t="s">
        <v>116</v>
      </c>
      <c r="F32" t="s">
        <v>116</v>
      </c>
      <c r="G32" t="s">
        <v>117</v>
      </c>
      <c r="H32" s="3" t="s">
        <v>653</v>
      </c>
      <c r="I32" s="3" t="s">
        <v>653</v>
      </c>
      <c r="J32">
        <v>3125</v>
      </c>
      <c r="K32">
        <v>3000</v>
      </c>
      <c r="L32">
        <v>2550</v>
      </c>
      <c r="M32" s="3" t="s">
        <v>653</v>
      </c>
      <c r="N32">
        <v>4050</v>
      </c>
      <c r="O32">
        <v>3650</v>
      </c>
      <c r="P32">
        <v>3100</v>
      </c>
      <c r="Q32" t="s">
        <v>27</v>
      </c>
      <c r="R32">
        <v>11</v>
      </c>
      <c r="S32">
        <v>1</v>
      </c>
      <c r="T32" s="3" t="s">
        <v>655</v>
      </c>
      <c r="U32" s="3" t="s">
        <v>655</v>
      </c>
      <c r="V32" s="3">
        <v>0</v>
      </c>
      <c r="W32" s="3" t="str">
        <f t="shared" si="0"/>
        <v>(239,null,1,'2025-11-27 00:00:00','003205000070000-320500007','003205000070000-320500007','冠脉血管内超声检查术(IVUS)',null,null,3125,3000,2550,null,4050,3650,3100,'次',11,1,'normal','normal',0),</v>
      </c>
    </row>
    <row r="33" spans="1:23">
      <c r="A33">
        <v>240</v>
      </c>
      <c r="B33" s="3" t="s">
        <v>653</v>
      </c>
      <c r="C33" s="3">
        <v>1</v>
      </c>
      <c r="D33" s="4" t="s">
        <v>654</v>
      </c>
      <c r="E33" t="s">
        <v>120</v>
      </c>
      <c r="F33" t="s">
        <v>120</v>
      </c>
      <c r="G33" t="s">
        <v>121</v>
      </c>
      <c r="H33" s="3" t="s">
        <v>653</v>
      </c>
      <c r="I33" s="3" t="s">
        <v>653</v>
      </c>
      <c r="J33">
        <v>3750</v>
      </c>
      <c r="K33">
        <v>3600</v>
      </c>
      <c r="L33">
        <v>3060</v>
      </c>
      <c r="M33" s="3" t="s">
        <v>653</v>
      </c>
      <c r="N33">
        <v>4860</v>
      </c>
      <c r="O33">
        <v>4380</v>
      </c>
      <c r="P33">
        <v>3720</v>
      </c>
      <c r="Q33" t="s">
        <v>27</v>
      </c>
      <c r="R33">
        <v>11</v>
      </c>
      <c r="S33">
        <v>1</v>
      </c>
      <c r="T33" s="3" t="s">
        <v>655</v>
      </c>
      <c r="U33" s="3" t="s">
        <v>655</v>
      </c>
      <c r="V33" s="3">
        <v>0</v>
      </c>
      <c r="W33" s="3" t="str">
        <f t="shared" si="0"/>
        <v>(240,null,1,'2025-11-27 00:00:00','003205000070000-32050000701','003205000070000-32050000701','冠脉血管内超声检查术(多普勒血流测量术)',null,null,3750,3600,3060,null,4860,4380,3720,'次',11,1,'normal','normal',0),</v>
      </c>
    </row>
    <row r="34" spans="1:23">
      <c r="A34">
        <v>241</v>
      </c>
      <c r="B34" s="3" t="s">
        <v>653</v>
      </c>
      <c r="C34" s="3">
        <v>1</v>
      </c>
      <c r="D34" s="4" t="s">
        <v>654</v>
      </c>
      <c r="E34" t="s">
        <v>123</v>
      </c>
      <c r="F34" t="s">
        <v>123</v>
      </c>
      <c r="G34" t="s">
        <v>124</v>
      </c>
      <c r="H34" s="3" t="s">
        <v>653</v>
      </c>
      <c r="I34" s="3" t="s">
        <v>653</v>
      </c>
      <c r="J34">
        <v>4065</v>
      </c>
      <c r="K34">
        <v>3900</v>
      </c>
      <c r="L34">
        <v>3315</v>
      </c>
      <c r="M34" s="3" t="s">
        <v>653</v>
      </c>
      <c r="N34">
        <v>5265</v>
      </c>
      <c r="O34">
        <v>4745</v>
      </c>
      <c r="P34">
        <v>4030</v>
      </c>
      <c r="Q34" t="s">
        <v>27</v>
      </c>
      <c r="R34">
        <v>11</v>
      </c>
      <c r="S34">
        <v>1</v>
      </c>
      <c r="T34" s="3" t="s">
        <v>655</v>
      </c>
      <c r="U34" s="3" t="s">
        <v>655</v>
      </c>
      <c r="V34" s="3">
        <v>0</v>
      </c>
      <c r="W34" s="3" t="str">
        <f t="shared" si="0"/>
        <v>(241,null,1,'2025-11-27 00:00:00','003205000070000-32050000702','003205000070000-32050000702','小儿冠脉血管内超声检查术(IVUS)',null,null,4065,3900,3315,null,5265,4745,4030,'次',11,1,'normal','normal',0),</v>
      </c>
    </row>
    <row r="35" spans="1:23">
      <c r="A35">
        <v>242</v>
      </c>
      <c r="B35" s="3" t="s">
        <v>653</v>
      </c>
      <c r="C35" s="3">
        <v>1</v>
      </c>
      <c r="D35" s="4" t="s">
        <v>654</v>
      </c>
      <c r="E35" t="s">
        <v>125</v>
      </c>
      <c r="F35" t="s">
        <v>125</v>
      </c>
      <c r="G35" t="s">
        <v>126</v>
      </c>
      <c r="H35" s="3" t="s">
        <v>653</v>
      </c>
      <c r="I35" s="3" t="s">
        <v>653</v>
      </c>
      <c r="J35">
        <v>4875</v>
      </c>
      <c r="K35">
        <v>4680</v>
      </c>
      <c r="L35">
        <v>3980</v>
      </c>
      <c r="M35" s="3" t="s">
        <v>653</v>
      </c>
      <c r="N35">
        <v>6320</v>
      </c>
      <c r="O35">
        <v>5695</v>
      </c>
      <c r="P35">
        <v>4835</v>
      </c>
      <c r="Q35" t="s">
        <v>27</v>
      </c>
      <c r="R35">
        <v>11</v>
      </c>
      <c r="S35">
        <v>1</v>
      </c>
      <c r="T35" s="3" t="s">
        <v>655</v>
      </c>
      <c r="U35" s="3" t="s">
        <v>655</v>
      </c>
      <c r="V35" s="3">
        <v>0</v>
      </c>
      <c r="W35" s="3" t="str">
        <f t="shared" ref="W35:W66" si="1">"("&amp;A35&amp;","&amp;B35&amp;","&amp;C35&amp;",'"&amp;D35&amp;"','"&amp;E35&amp;"','"&amp;F35&amp;"','"&amp;G35&amp;"',"&amp;H35&amp;","&amp;I35&amp;","&amp;J35&amp;","&amp;K35&amp;","&amp;L35&amp;","&amp;M35&amp;","&amp;N35&amp;","&amp;O35&amp;","&amp;P35&amp;",'"&amp;Q35&amp;"',"&amp;R35&amp;","&amp;S35&amp;",'"&amp;T35&amp;"','"&amp;U35&amp;"',"&amp;V35&amp;"),"</f>
        <v>(242,null,1,'2025-11-27 00:00:00','003205000070000-32050000703','003205000070000-32050000703','小儿冠脉血管内超声检查术(多普勒血流测量术)',null,null,4875,4680,3980,null,6320,5695,4835,'次',11,1,'normal','normal',0),</v>
      </c>
    </row>
    <row r="36" spans="1:23">
      <c r="A36">
        <v>243</v>
      </c>
      <c r="B36" s="3" t="s">
        <v>653</v>
      </c>
      <c r="C36" s="3">
        <v>1</v>
      </c>
      <c r="D36" s="4" t="s">
        <v>654</v>
      </c>
      <c r="E36" t="s">
        <v>127</v>
      </c>
      <c r="F36" t="s">
        <v>127</v>
      </c>
      <c r="G36" t="s">
        <v>128</v>
      </c>
      <c r="H36" s="3" t="s">
        <v>653</v>
      </c>
      <c r="I36" s="3" t="s">
        <v>653</v>
      </c>
      <c r="J36">
        <v>3125</v>
      </c>
      <c r="K36">
        <v>3000</v>
      </c>
      <c r="L36">
        <v>2550</v>
      </c>
      <c r="M36" s="3" t="s">
        <v>653</v>
      </c>
      <c r="N36">
        <v>4050</v>
      </c>
      <c r="O36">
        <v>3645</v>
      </c>
      <c r="P36">
        <v>3095</v>
      </c>
      <c r="Q36" t="s">
        <v>27</v>
      </c>
      <c r="R36">
        <v>11</v>
      </c>
      <c r="S36">
        <v>1</v>
      </c>
      <c r="T36" s="3" t="s">
        <v>655</v>
      </c>
      <c r="U36" s="3" t="s">
        <v>655</v>
      </c>
      <c r="V36" s="3">
        <v>0</v>
      </c>
      <c r="W36" s="3" t="str">
        <f t="shared" si="1"/>
        <v>(243,null,1,'2025-11-27 00:00:00','003205000140000-320500014','003205000140000-320500014','冠脉内局部放射治疗术',null,null,3125,3000,2550,null,4050,3645,3095,'次',11,1,'normal','normal',0),</v>
      </c>
    </row>
    <row r="37" spans="1:23">
      <c r="A37">
        <v>244</v>
      </c>
      <c r="B37" s="3" t="s">
        <v>653</v>
      </c>
      <c r="C37" s="3">
        <v>1</v>
      </c>
      <c r="D37" s="4" t="s">
        <v>654</v>
      </c>
      <c r="E37" t="s">
        <v>130</v>
      </c>
      <c r="F37" t="s">
        <v>130</v>
      </c>
      <c r="G37" t="s">
        <v>131</v>
      </c>
      <c r="H37" s="3" t="s">
        <v>653</v>
      </c>
      <c r="I37" s="3" t="s">
        <v>653</v>
      </c>
      <c r="J37">
        <v>4065</v>
      </c>
      <c r="K37">
        <v>3900</v>
      </c>
      <c r="L37">
        <v>3315</v>
      </c>
      <c r="M37" s="3" t="s">
        <v>653</v>
      </c>
      <c r="N37">
        <v>5265</v>
      </c>
      <c r="O37">
        <v>4740</v>
      </c>
      <c r="P37">
        <v>4025</v>
      </c>
      <c r="Q37" t="s">
        <v>27</v>
      </c>
      <c r="R37">
        <v>11</v>
      </c>
      <c r="S37">
        <v>1</v>
      </c>
      <c r="T37" s="3" t="s">
        <v>655</v>
      </c>
      <c r="U37" s="3" t="s">
        <v>655</v>
      </c>
      <c r="V37" s="3">
        <v>0</v>
      </c>
      <c r="W37" s="3" t="str">
        <f t="shared" si="1"/>
        <v>(244,null,1,'2025-11-27 00:00:00','003205000140000-32050001401','003205000140000-32050001401','小儿冠脉内局部放射治疗术',null,null,4065,3900,3315,null,5265,4740,4025,'次',11,1,'normal','normal',0),</v>
      </c>
    </row>
    <row r="38" spans="1:23">
      <c r="A38">
        <v>245</v>
      </c>
      <c r="B38" s="3" t="s">
        <v>653</v>
      </c>
      <c r="C38" s="3">
        <v>1</v>
      </c>
      <c r="D38" s="4" t="s">
        <v>654</v>
      </c>
      <c r="E38" t="s">
        <v>132</v>
      </c>
      <c r="F38" t="s">
        <v>132</v>
      </c>
      <c r="G38" t="s">
        <v>133</v>
      </c>
      <c r="H38" s="3" t="s">
        <v>653</v>
      </c>
      <c r="I38" s="3" t="s">
        <v>653</v>
      </c>
      <c r="J38">
        <v>3500</v>
      </c>
      <c r="K38">
        <v>3360</v>
      </c>
      <c r="L38">
        <v>2856</v>
      </c>
      <c r="M38" s="3" t="s">
        <v>653</v>
      </c>
      <c r="N38">
        <v>4535</v>
      </c>
      <c r="O38">
        <v>4080</v>
      </c>
      <c r="P38">
        <v>3470</v>
      </c>
      <c r="Q38" t="s">
        <v>27</v>
      </c>
      <c r="R38">
        <v>11</v>
      </c>
      <c r="S38">
        <v>1</v>
      </c>
      <c r="T38" s="3" t="s">
        <v>655</v>
      </c>
      <c r="U38" s="3" t="s">
        <v>655</v>
      </c>
      <c r="V38" s="3">
        <v>0</v>
      </c>
      <c r="W38" s="3" t="str">
        <f t="shared" si="1"/>
        <v>(245,null,1,'2025-11-27 00:00:00','003206000020000-320600002','003206000020000-320600002','单纯脑动静脉瘘栓塞术',null,null,3500,3360,2856,null,4535,4080,3470,'次',11,1,'normal','normal',0),</v>
      </c>
    </row>
    <row r="39" spans="1:23">
      <c r="A39">
        <v>246</v>
      </c>
      <c r="B39" s="3" t="s">
        <v>653</v>
      </c>
      <c r="C39" s="3">
        <v>1</v>
      </c>
      <c r="D39" s="4" t="s">
        <v>654</v>
      </c>
      <c r="E39" t="s">
        <v>134</v>
      </c>
      <c r="F39" t="s">
        <v>134</v>
      </c>
      <c r="G39" t="s">
        <v>135</v>
      </c>
      <c r="H39" s="3" t="s">
        <v>653</v>
      </c>
      <c r="I39" s="3" t="s">
        <v>653</v>
      </c>
      <c r="J39">
        <v>4550</v>
      </c>
      <c r="K39">
        <v>4370</v>
      </c>
      <c r="L39">
        <v>3715</v>
      </c>
      <c r="M39" s="3" t="s">
        <v>653</v>
      </c>
      <c r="N39">
        <v>5895</v>
      </c>
      <c r="O39">
        <v>5305</v>
      </c>
      <c r="P39">
        <v>4510</v>
      </c>
      <c r="Q39" t="s">
        <v>27</v>
      </c>
      <c r="R39">
        <v>11</v>
      </c>
      <c r="S39">
        <v>1</v>
      </c>
      <c r="T39" s="3" t="s">
        <v>655</v>
      </c>
      <c r="U39" s="3" t="s">
        <v>655</v>
      </c>
      <c r="V39" s="3">
        <v>0</v>
      </c>
      <c r="W39" s="3" t="str">
        <f t="shared" si="1"/>
        <v>(246,null,1,'2025-11-27 00:00:00','003206000020000-32060000201','003206000020000-32060000201','小儿单纯脑动静脉瘘栓塞术',null,null,4550,4370,3715,null,5895,5305,4510,'次',11,1,'normal','normal',0),</v>
      </c>
    </row>
    <row r="40" spans="1:23">
      <c r="A40">
        <v>247</v>
      </c>
      <c r="B40" s="3" t="s">
        <v>653</v>
      </c>
      <c r="C40" s="3">
        <v>1</v>
      </c>
      <c r="D40" s="4" t="s">
        <v>654</v>
      </c>
      <c r="E40" t="s">
        <v>136</v>
      </c>
      <c r="F40" t="s">
        <v>136</v>
      </c>
      <c r="G40" t="s">
        <v>137</v>
      </c>
      <c r="H40" s="3" t="s">
        <v>653</v>
      </c>
      <c r="I40" s="3" t="s">
        <v>653</v>
      </c>
      <c r="J40">
        <v>2500</v>
      </c>
      <c r="K40">
        <v>2400</v>
      </c>
      <c r="L40">
        <v>2040</v>
      </c>
      <c r="M40" s="3" t="s">
        <v>653</v>
      </c>
      <c r="N40">
        <v>3240</v>
      </c>
      <c r="O40">
        <v>2920</v>
      </c>
      <c r="P40">
        <v>2480</v>
      </c>
      <c r="Q40" t="s">
        <v>27</v>
      </c>
      <c r="R40">
        <v>11</v>
      </c>
      <c r="S40">
        <v>1</v>
      </c>
      <c r="T40" s="3" t="s">
        <v>655</v>
      </c>
      <c r="U40" s="3" t="s">
        <v>655</v>
      </c>
      <c r="V40" s="3">
        <v>0</v>
      </c>
      <c r="W40" s="3" t="str">
        <f t="shared" si="1"/>
        <v>(247,null,1,'2025-11-27 00:00:00','003206000030000-320600003','003206000030000-320600003','经皮穿刺脑血管腔内球囊成形术',null,null,2500,2400,2040,null,3240,2920,2480,'次',11,1,'normal','normal',0),</v>
      </c>
    </row>
    <row r="41" spans="1:23">
      <c r="A41">
        <v>248</v>
      </c>
      <c r="B41" s="3" t="s">
        <v>653</v>
      </c>
      <c r="C41" s="3">
        <v>1</v>
      </c>
      <c r="D41" s="4" t="s">
        <v>654</v>
      </c>
      <c r="E41" t="s">
        <v>138</v>
      </c>
      <c r="F41" t="s">
        <v>138</v>
      </c>
      <c r="G41" t="s">
        <v>139</v>
      </c>
      <c r="H41" s="3" t="s">
        <v>653</v>
      </c>
      <c r="I41" s="3" t="s">
        <v>653</v>
      </c>
      <c r="J41">
        <v>3250</v>
      </c>
      <c r="K41">
        <v>3120</v>
      </c>
      <c r="L41">
        <v>2650</v>
      </c>
      <c r="M41" s="3" t="s">
        <v>653</v>
      </c>
      <c r="N41">
        <v>4210</v>
      </c>
      <c r="O41">
        <v>3795</v>
      </c>
      <c r="P41">
        <v>3225</v>
      </c>
      <c r="Q41" t="s">
        <v>27</v>
      </c>
      <c r="R41">
        <v>11</v>
      </c>
      <c r="S41">
        <v>1</v>
      </c>
      <c r="T41" s="3" t="s">
        <v>655</v>
      </c>
      <c r="U41" s="3" t="s">
        <v>655</v>
      </c>
      <c r="V41" s="3">
        <v>0</v>
      </c>
      <c r="W41" s="3" t="str">
        <f t="shared" si="1"/>
        <v>(248,null,1,'2025-11-27 00:00:00','003206000030000-32060000301','003206000030000-32060000301','小儿经皮穿刺脑血管腔内球囊成形术',null,null,3250,3120,2650,null,4210,3795,3225,'次',11,1,'normal','normal',0),</v>
      </c>
    </row>
    <row r="42" spans="1:23">
      <c r="A42">
        <v>249</v>
      </c>
      <c r="B42" s="3" t="s">
        <v>653</v>
      </c>
      <c r="C42" s="3">
        <v>1</v>
      </c>
      <c r="D42" s="4" t="s">
        <v>654</v>
      </c>
      <c r="E42" t="s">
        <v>140</v>
      </c>
      <c r="F42" t="s">
        <v>140</v>
      </c>
      <c r="G42" t="s">
        <v>141</v>
      </c>
      <c r="H42" s="3" t="s">
        <v>653</v>
      </c>
      <c r="I42" s="3" t="s">
        <v>653</v>
      </c>
      <c r="J42">
        <v>2500</v>
      </c>
      <c r="K42">
        <v>2400</v>
      </c>
      <c r="L42">
        <v>2040</v>
      </c>
      <c r="M42" s="3" t="s">
        <v>653</v>
      </c>
      <c r="N42">
        <v>3240</v>
      </c>
      <c r="O42">
        <v>2916</v>
      </c>
      <c r="P42">
        <v>2478</v>
      </c>
      <c r="Q42" t="s">
        <v>27</v>
      </c>
      <c r="R42">
        <v>11</v>
      </c>
      <c r="S42">
        <v>1</v>
      </c>
      <c r="T42" s="3" t="s">
        <v>655</v>
      </c>
      <c r="U42" s="3" t="s">
        <v>655</v>
      </c>
      <c r="V42" s="3">
        <v>0</v>
      </c>
      <c r="W42" s="3" t="str">
        <f t="shared" si="1"/>
        <v>(249,null,1,'2025-11-27 00:00:00','003206000050000-320600005','003206000050000-320600005','经皮穿刺脑血管腔内溶栓术',null,null,2500,2400,2040,null,3240,2916,2478,'次',11,1,'normal','normal',0),</v>
      </c>
    </row>
    <row r="43" spans="1:23">
      <c r="A43">
        <v>250</v>
      </c>
      <c r="B43" s="3" t="s">
        <v>653</v>
      </c>
      <c r="C43" s="3">
        <v>1</v>
      </c>
      <c r="D43" s="4" t="s">
        <v>654</v>
      </c>
      <c r="E43" t="s">
        <v>142</v>
      </c>
      <c r="F43" t="s">
        <v>142</v>
      </c>
      <c r="G43" t="s">
        <v>143</v>
      </c>
      <c r="H43" s="3" t="s">
        <v>653</v>
      </c>
      <c r="I43" s="3" t="s">
        <v>653</v>
      </c>
      <c r="J43">
        <v>3250</v>
      </c>
      <c r="K43">
        <v>3120</v>
      </c>
      <c r="L43">
        <v>2650</v>
      </c>
      <c r="M43" s="3" t="s">
        <v>653</v>
      </c>
      <c r="N43">
        <v>4210</v>
      </c>
      <c r="O43">
        <v>3795</v>
      </c>
      <c r="P43">
        <v>3225</v>
      </c>
      <c r="Q43" t="s">
        <v>27</v>
      </c>
      <c r="R43">
        <v>11</v>
      </c>
      <c r="S43">
        <v>1</v>
      </c>
      <c r="T43" s="3" t="s">
        <v>655</v>
      </c>
      <c r="U43" s="3" t="s">
        <v>655</v>
      </c>
      <c r="V43" s="3">
        <v>0</v>
      </c>
      <c r="W43" s="3" t="str">
        <f t="shared" si="1"/>
        <v>(250,null,1,'2025-11-27 00:00:00','003206000050000-32060000501','003206000050000-32060000501','小儿经皮穿刺脑血管腔内溶栓术',null,null,3250,3120,2650,null,4210,3795,3225,'次',11,1,'normal','normal',0),</v>
      </c>
    </row>
    <row r="44" spans="1:23">
      <c r="A44">
        <v>251</v>
      </c>
      <c r="B44" s="3" t="s">
        <v>653</v>
      </c>
      <c r="C44" s="3">
        <v>1</v>
      </c>
      <c r="D44" s="4" t="s">
        <v>654</v>
      </c>
      <c r="E44" t="s">
        <v>144</v>
      </c>
      <c r="F44" t="s">
        <v>144</v>
      </c>
      <c r="G44" t="s">
        <v>145</v>
      </c>
      <c r="H44" s="3" t="s">
        <v>653</v>
      </c>
      <c r="I44" s="3" t="s">
        <v>653</v>
      </c>
      <c r="J44">
        <v>2250</v>
      </c>
      <c r="K44">
        <v>2160</v>
      </c>
      <c r="L44">
        <v>1836</v>
      </c>
      <c r="M44" s="3" t="s">
        <v>653</v>
      </c>
      <c r="N44">
        <v>2915</v>
      </c>
      <c r="O44">
        <v>2625</v>
      </c>
      <c r="P44">
        <v>2230</v>
      </c>
      <c r="Q44" t="s">
        <v>27</v>
      </c>
      <c r="R44">
        <v>11</v>
      </c>
      <c r="S44">
        <v>1</v>
      </c>
      <c r="T44" s="3" t="s">
        <v>655</v>
      </c>
      <c r="U44" s="3" t="s">
        <v>655</v>
      </c>
      <c r="V44" s="3">
        <v>0</v>
      </c>
      <c r="W44" s="3" t="str">
        <f t="shared" si="1"/>
        <v>(251,null,1,'2025-11-27 00:00:00','003206000060000-320600006','003206000060000-320600006','经皮穿刺脑血管腔内化疗术',null,null,2250,2160,1836,null,2915,2625,2230,'次',11,1,'normal','normal',0),</v>
      </c>
    </row>
    <row r="45" spans="1:23">
      <c r="A45">
        <v>252</v>
      </c>
      <c r="B45" s="3" t="s">
        <v>653</v>
      </c>
      <c r="C45" s="3">
        <v>1</v>
      </c>
      <c r="D45" s="4" t="s">
        <v>654</v>
      </c>
      <c r="E45" t="s">
        <v>146</v>
      </c>
      <c r="F45" t="s">
        <v>146</v>
      </c>
      <c r="G45" t="s">
        <v>147</v>
      </c>
      <c r="H45" s="3" t="s">
        <v>653</v>
      </c>
      <c r="I45" s="3" t="s">
        <v>653</v>
      </c>
      <c r="J45">
        <v>2925</v>
      </c>
      <c r="K45">
        <v>2810</v>
      </c>
      <c r="L45">
        <v>2390</v>
      </c>
      <c r="M45" s="3" t="s">
        <v>653</v>
      </c>
      <c r="N45">
        <v>3790</v>
      </c>
      <c r="O45">
        <v>3415</v>
      </c>
      <c r="P45">
        <v>2900</v>
      </c>
      <c r="Q45" t="s">
        <v>27</v>
      </c>
      <c r="R45">
        <v>11</v>
      </c>
      <c r="S45">
        <v>1</v>
      </c>
      <c r="T45" s="3" t="s">
        <v>655</v>
      </c>
      <c r="U45" s="3" t="s">
        <v>655</v>
      </c>
      <c r="V45" s="3">
        <v>0</v>
      </c>
      <c r="W45" s="3" t="str">
        <f t="shared" si="1"/>
        <v>(252,null,1,'2025-11-27 00:00:00','003206000060000-32060000601','003206000060000-32060000601','小儿经皮穿刺脑血管腔内化疗术',null,null,2925,2810,2390,null,3790,3415,2900,'次',11,1,'normal','normal',0),</v>
      </c>
    </row>
    <row r="46" spans="1:23">
      <c r="A46">
        <v>253</v>
      </c>
      <c r="B46" s="3" t="s">
        <v>653</v>
      </c>
      <c r="C46" s="3">
        <v>1</v>
      </c>
      <c r="D46" s="4" t="s">
        <v>654</v>
      </c>
      <c r="E46" t="s">
        <v>148</v>
      </c>
      <c r="F46" t="s">
        <v>148</v>
      </c>
      <c r="G46" t="s">
        <v>149</v>
      </c>
      <c r="H46" s="3" t="s">
        <v>653</v>
      </c>
      <c r="I46" s="3" t="s">
        <v>653</v>
      </c>
      <c r="J46">
        <v>3125</v>
      </c>
      <c r="K46">
        <v>3000</v>
      </c>
      <c r="L46">
        <v>2550</v>
      </c>
      <c r="M46" s="3" t="s">
        <v>653</v>
      </c>
      <c r="N46">
        <v>4050</v>
      </c>
      <c r="O46">
        <v>3645</v>
      </c>
      <c r="P46">
        <v>3095</v>
      </c>
      <c r="Q46" t="s">
        <v>27</v>
      </c>
      <c r="R46">
        <v>11</v>
      </c>
      <c r="S46">
        <v>1</v>
      </c>
      <c r="T46" s="3" t="s">
        <v>655</v>
      </c>
      <c r="U46" s="3" t="s">
        <v>655</v>
      </c>
      <c r="V46" s="3">
        <v>0</v>
      </c>
      <c r="W46" s="3" t="str">
        <f t="shared" si="1"/>
        <v>(253,null,1,'2025-11-27 00:00:00','003206000070000-320600007','003206000070000-320600007','颈内动脉海绵窦瘘栓塞术',null,null,3125,3000,2550,null,4050,3645,3095,'次',11,1,'normal','normal',0),</v>
      </c>
    </row>
    <row r="47" spans="1:23">
      <c r="A47">
        <v>254</v>
      </c>
      <c r="B47" s="3" t="s">
        <v>653</v>
      </c>
      <c r="C47" s="3">
        <v>1</v>
      </c>
      <c r="D47" s="4" t="s">
        <v>654</v>
      </c>
      <c r="E47" t="s">
        <v>150</v>
      </c>
      <c r="F47" t="s">
        <v>150</v>
      </c>
      <c r="G47" t="s">
        <v>151</v>
      </c>
      <c r="H47" s="3" t="s">
        <v>653</v>
      </c>
      <c r="I47" s="3" t="s">
        <v>653</v>
      </c>
      <c r="J47">
        <v>4065</v>
      </c>
      <c r="K47">
        <v>3900</v>
      </c>
      <c r="L47">
        <v>3315</v>
      </c>
      <c r="M47" s="3" t="s">
        <v>653</v>
      </c>
      <c r="N47">
        <v>5265</v>
      </c>
      <c r="O47">
        <v>4740</v>
      </c>
      <c r="P47">
        <v>4025</v>
      </c>
      <c r="Q47" t="s">
        <v>27</v>
      </c>
      <c r="R47">
        <v>11</v>
      </c>
      <c r="S47">
        <v>1</v>
      </c>
      <c r="T47" s="3" t="s">
        <v>655</v>
      </c>
      <c r="U47" s="3" t="s">
        <v>655</v>
      </c>
      <c r="V47" s="3">
        <v>0</v>
      </c>
      <c r="W47" s="3" t="str">
        <f t="shared" si="1"/>
        <v>(254,null,1,'2025-11-27 00:00:00','003206000070000-32060000701','003206000070000-32060000701','小儿颈内动脉海绵窦瘘栓塞术',null,null,4065,3900,3315,null,5265,4740,4025,'次',11,1,'normal','normal',0),</v>
      </c>
    </row>
    <row r="48" spans="1:23">
      <c r="A48">
        <v>255</v>
      </c>
      <c r="B48" s="3" t="s">
        <v>653</v>
      </c>
      <c r="C48" s="3">
        <v>1</v>
      </c>
      <c r="D48" s="4" t="s">
        <v>654</v>
      </c>
      <c r="E48" t="s">
        <v>152</v>
      </c>
      <c r="F48" t="s">
        <v>152</v>
      </c>
      <c r="G48" t="s">
        <v>153</v>
      </c>
      <c r="H48" s="3" t="s">
        <v>653</v>
      </c>
      <c r="I48" s="3" t="s">
        <v>653</v>
      </c>
      <c r="J48">
        <v>2500</v>
      </c>
      <c r="K48">
        <v>2400</v>
      </c>
      <c r="L48">
        <v>2040</v>
      </c>
      <c r="M48" s="3" t="s">
        <v>653</v>
      </c>
      <c r="N48">
        <v>3240</v>
      </c>
      <c r="O48">
        <v>2920</v>
      </c>
      <c r="P48">
        <v>2480</v>
      </c>
      <c r="Q48" t="s">
        <v>27</v>
      </c>
      <c r="R48">
        <v>11</v>
      </c>
      <c r="S48">
        <v>1</v>
      </c>
      <c r="T48" s="3" t="s">
        <v>655</v>
      </c>
      <c r="U48" s="3" t="s">
        <v>655</v>
      </c>
      <c r="V48" s="3">
        <v>0</v>
      </c>
      <c r="W48" s="3" t="str">
        <f t="shared" si="1"/>
        <v>(255,null,1,'2025-11-27 00:00:00','003206000090000-320600009','003206000090000-320600009','脑及颅内血管畸形栓塞术',null,null,2500,2400,2040,null,3240,2920,2480,'次',11,1,'normal','normal',0),</v>
      </c>
    </row>
    <row r="49" spans="1:23">
      <c r="A49">
        <v>256</v>
      </c>
      <c r="B49" s="3" t="s">
        <v>653</v>
      </c>
      <c r="C49" s="3">
        <v>1</v>
      </c>
      <c r="D49" s="4" t="s">
        <v>654</v>
      </c>
      <c r="E49" t="s">
        <v>154</v>
      </c>
      <c r="F49" t="s">
        <v>154</v>
      </c>
      <c r="G49" t="s">
        <v>155</v>
      </c>
      <c r="H49" s="3" t="s">
        <v>653</v>
      </c>
      <c r="I49" s="3" t="s">
        <v>653</v>
      </c>
      <c r="J49">
        <v>3250</v>
      </c>
      <c r="K49">
        <v>3120</v>
      </c>
      <c r="L49">
        <v>2650</v>
      </c>
      <c r="M49" s="3" t="s">
        <v>653</v>
      </c>
      <c r="N49">
        <v>4210</v>
      </c>
      <c r="O49">
        <v>3795</v>
      </c>
      <c r="P49">
        <v>3225</v>
      </c>
      <c r="Q49" t="s">
        <v>27</v>
      </c>
      <c r="R49">
        <v>11</v>
      </c>
      <c r="S49">
        <v>1</v>
      </c>
      <c r="T49" s="3" t="s">
        <v>655</v>
      </c>
      <c r="U49" s="3" t="s">
        <v>655</v>
      </c>
      <c r="V49" s="3">
        <v>0</v>
      </c>
      <c r="W49" s="3" t="str">
        <f t="shared" si="1"/>
        <v>(256,null,1,'2025-11-27 00:00:00','003206000090000-32060000901','003206000090000-32060000901','小儿脑及颅内血管畸形栓塞术',null,null,3250,3120,2650,null,4210,3795,3225,'次',11,1,'normal','normal',0),</v>
      </c>
    </row>
    <row r="50" spans="1:23">
      <c r="A50">
        <v>257</v>
      </c>
      <c r="B50" s="3" t="s">
        <v>653</v>
      </c>
      <c r="C50" s="3">
        <v>1</v>
      </c>
      <c r="D50" s="4" t="s">
        <v>654</v>
      </c>
      <c r="E50" t="s">
        <v>156</v>
      </c>
      <c r="F50" t="s">
        <v>156</v>
      </c>
      <c r="G50" t="s">
        <v>157</v>
      </c>
      <c r="H50" s="3" t="s">
        <v>653</v>
      </c>
      <c r="I50" s="3" t="s">
        <v>653</v>
      </c>
      <c r="J50">
        <v>1875</v>
      </c>
      <c r="K50">
        <v>1800</v>
      </c>
      <c r="L50">
        <v>1530</v>
      </c>
      <c r="M50" s="3" t="s">
        <v>653</v>
      </c>
      <c r="N50">
        <v>2430</v>
      </c>
      <c r="O50">
        <v>2200</v>
      </c>
      <c r="P50">
        <v>1870</v>
      </c>
      <c r="Q50" t="s">
        <v>27</v>
      </c>
      <c r="R50">
        <v>11</v>
      </c>
      <c r="S50">
        <v>1</v>
      </c>
      <c r="T50" s="3" t="s">
        <v>655</v>
      </c>
      <c r="U50" s="3" t="s">
        <v>655</v>
      </c>
      <c r="V50" s="3">
        <v>0</v>
      </c>
      <c r="W50" s="3" t="str">
        <f t="shared" si="1"/>
        <v>(257,null,1,'2025-11-27 00:00:00','003206000100000-320600010','003206000100000-320600010','脊髓动脉造影术',null,null,1875,1800,1530,null,2430,2200,1870,'次',11,1,'normal','normal',0),</v>
      </c>
    </row>
    <row r="51" spans="1:23">
      <c r="A51">
        <v>258</v>
      </c>
      <c r="B51" s="3" t="s">
        <v>653</v>
      </c>
      <c r="C51" s="3">
        <v>1</v>
      </c>
      <c r="D51" s="4" t="s">
        <v>654</v>
      </c>
      <c r="E51" t="s">
        <v>158</v>
      </c>
      <c r="F51" t="s">
        <v>158</v>
      </c>
      <c r="G51" t="s">
        <v>159</v>
      </c>
      <c r="H51" s="3" t="s">
        <v>653</v>
      </c>
      <c r="I51" s="3" t="s">
        <v>653</v>
      </c>
      <c r="J51">
        <v>2440</v>
      </c>
      <c r="K51">
        <v>2340</v>
      </c>
      <c r="L51">
        <v>1990</v>
      </c>
      <c r="M51" s="3" t="s">
        <v>653</v>
      </c>
      <c r="N51">
        <v>3160</v>
      </c>
      <c r="O51">
        <v>2860</v>
      </c>
      <c r="P51">
        <v>2430</v>
      </c>
      <c r="Q51" t="s">
        <v>27</v>
      </c>
      <c r="R51">
        <v>11</v>
      </c>
      <c r="S51">
        <v>1</v>
      </c>
      <c r="T51" s="3" t="s">
        <v>655</v>
      </c>
      <c r="U51" s="3" t="s">
        <v>655</v>
      </c>
      <c r="V51" s="3">
        <v>0</v>
      </c>
      <c r="W51" s="3" t="str">
        <f t="shared" si="1"/>
        <v>(258,null,1,'2025-11-27 00:00:00','003206000100000-32060001001','003206000100000-32060001001','小儿脊髓动脉造影术',null,null,2440,2340,1990,null,3160,2860,2430,'次',11,1,'normal','normal',0),</v>
      </c>
    </row>
    <row r="52" spans="1:23">
      <c r="A52">
        <v>259</v>
      </c>
      <c r="B52" s="3" t="s">
        <v>653</v>
      </c>
      <c r="C52" s="3">
        <v>1</v>
      </c>
      <c r="D52" s="4" t="s">
        <v>654</v>
      </c>
      <c r="E52" t="s">
        <v>160</v>
      </c>
      <c r="F52" t="s">
        <v>160</v>
      </c>
      <c r="G52" t="s">
        <v>161</v>
      </c>
      <c r="H52" s="3" t="s">
        <v>653</v>
      </c>
      <c r="I52" s="3" t="s">
        <v>653</v>
      </c>
      <c r="J52">
        <v>3125</v>
      </c>
      <c r="K52">
        <v>3000</v>
      </c>
      <c r="L52">
        <v>2550</v>
      </c>
      <c r="M52" s="3" t="s">
        <v>653</v>
      </c>
      <c r="N52">
        <v>4050</v>
      </c>
      <c r="O52">
        <v>3645</v>
      </c>
      <c r="P52">
        <v>3095</v>
      </c>
      <c r="Q52" t="s">
        <v>27</v>
      </c>
      <c r="R52">
        <v>11</v>
      </c>
      <c r="S52">
        <v>1</v>
      </c>
      <c r="T52" s="3" t="s">
        <v>655</v>
      </c>
      <c r="U52" s="3" t="s">
        <v>655</v>
      </c>
      <c r="V52" s="3">
        <v>0</v>
      </c>
      <c r="W52" s="3" t="str">
        <f t="shared" si="1"/>
        <v>(259,null,1,'2025-11-27 00:00:00','003206000110000-320600011','003206000110000-320600011','脊髓血管畸形栓塞术',null,null,3125,3000,2550,null,4050,3645,3095,'次',11,1,'normal','normal',0),</v>
      </c>
    </row>
    <row r="53" spans="1:23">
      <c r="A53">
        <v>260</v>
      </c>
      <c r="B53" s="3" t="s">
        <v>653</v>
      </c>
      <c r="C53" s="3">
        <v>1</v>
      </c>
      <c r="D53" s="4" t="s">
        <v>654</v>
      </c>
      <c r="E53" t="s">
        <v>162</v>
      </c>
      <c r="F53" t="s">
        <v>162</v>
      </c>
      <c r="G53" t="s">
        <v>163</v>
      </c>
      <c r="H53" s="3" t="s">
        <v>653</v>
      </c>
      <c r="I53" s="3" t="s">
        <v>653</v>
      </c>
      <c r="J53">
        <v>4065</v>
      </c>
      <c r="K53">
        <v>3900</v>
      </c>
      <c r="L53">
        <v>3315</v>
      </c>
      <c r="M53" s="3" t="s">
        <v>653</v>
      </c>
      <c r="N53">
        <v>5265</v>
      </c>
      <c r="O53">
        <v>4740</v>
      </c>
      <c r="P53">
        <v>4025</v>
      </c>
      <c r="Q53" t="s">
        <v>27</v>
      </c>
      <c r="R53">
        <v>11</v>
      </c>
      <c r="S53">
        <v>1</v>
      </c>
      <c r="T53" s="3" t="s">
        <v>655</v>
      </c>
      <c r="U53" s="3" t="s">
        <v>655</v>
      </c>
      <c r="V53" s="3">
        <v>0</v>
      </c>
      <c r="W53" s="3" t="str">
        <f t="shared" si="1"/>
        <v>(260,null,1,'2025-11-27 00:00:00','003206000110000-32060001101','003206000110000-32060001101','小儿脊髓血管畸形栓塞术',null,null,4065,3900,3315,null,5265,4740,4025,'次',11,1,'normal','normal',0),</v>
      </c>
    </row>
    <row r="54" spans="1:23">
      <c r="A54">
        <v>261</v>
      </c>
      <c r="B54" s="3" t="s">
        <v>653</v>
      </c>
      <c r="C54" s="3">
        <v>1</v>
      </c>
      <c r="D54" s="4" t="s">
        <v>654</v>
      </c>
      <c r="E54" t="s">
        <v>164</v>
      </c>
      <c r="F54" t="s">
        <v>164</v>
      </c>
      <c r="G54" t="s">
        <v>165</v>
      </c>
      <c r="H54" s="3" t="s">
        <v>653</v>
      </c>
      <c r="I54" s="3" t="s">
        <v>653</v>
      </c>
      <c r="J54">
        <v>2190</v>
      </c>
      <c r="K54">
        <v>1970</v>
      </c>
      <c r="L54">
        <v>1670</v>
      </c>
      <c r="M54" s="3" t="s">
        <v>653</v>
      </c>
      <c r="N54">
        <v>2815</v>
      </c>
      <c r="O54">
        <v>2535</v>
      </c>
      <c r="P54">
        <v>2155</v>
      </c>
      <c r="Q54" t="s">
        <v>27</v>
      </c>
      <c r="R54">
        <v>11</v>
      </c>
      <c r="S54">
        <v>1</v>
      </c>
      <c r="T54" s="3" t="s">
        <v>655</v>
      </c>
      <c r="U54" s="3" t="s">
        <v>655</v>
      </c>
      <c r="V54" s="3">
        <v>0</v>
      </c>
      <c r="W54" s="3" t="str">
        <f t="shared" si="1"/>
        <v>(261,null,1,'2025-11-27 00:00:00','003302020100000-330202010','003302020100000-330202010','面神经跨面移植术',null,null,2190,1970,1670,null,2815,2535,2155,'次',11,1,'normal','normal',0),</v>
      </c>
    </row>
    <row r="55" spans="1:23">
      <c r="A55">
        <v>262</v>
      </c>
      <c r="B55" s="3" t="s">
        <v>653</v>
      </c>
      <c r="C55" s="3">
        <v>1</v>
      </c>
      <c r="D55" s="4" t="s">
        <v>654</v>
      </c>
      <c r="E55" t="s">
        <v>168</v>
      </c>
      <c r="F55" t="s">
        <v>168</v>
      </c>
      <c r="G55" t="s">
        <v>169</v>
      </c>
      <c r="H55" s="3" t="s">
        <v>653</v>
      </c>
      <c r="I55" s="3" t="s">
        <v>653</v>
      </c>
      <c r="J55">
        <v>2845</v>
      </c>
      <c r="K55">
        <v>2560</v>
      </c>
      <c r="L55">
        <v>2175</v>
      </c>
      <c r="M55" s="3" t="s">
        <v>653</v>
      </c>
      <c r="N55">
        <v>3660</v>
      </c>
      <c r="O55">
        <v>3295</v>
      </c>
      <c r="P55">
        <v>2800</v>
      </c>
      <c r="Q55" t="s">
        <v>27</v>
      </c>
      <c r="R55">
        <v>11</v>
      </c>
      <c r="S55">
        <v>1</v>
      </c>
      <c r="T55" s="3" t="s">
        <v>655</v>
      </c>
      <c r="U55" s="3" t="s">
        <v>655</v>
      </c>
      <c r="V55" s="3">
        <v>0</v>
      </c>
      <c r="W55" s="3" t="str">
        <f t="shared" si="1"/>
        <v>(262,null,1,'2025-11-27 00:00:00','003302020100000-33020201001','003302020100000-33020201001','小儿面神经跨面移植术',null,null,2845,2560,2175,null,3660,3295,2800,'次',11,1,'normal','normal',0),</v>
      </c>
    </row>
    <row r="56" spans="1:23">
      <c r="A56">
        <v>263</v>
      </c>
      <c r="B56" s="3" t="s">
        <v>653</v>
      </c>
      <c r="C56" s="3">
        <v>1</v>
      </c>
      <c r="D56" s="4" t="s">
        <v>654</v>
      </c>
      <c r="E56" t="s">
        <v>170</v>
      </c>
      <c r="F56" t="s">
        <v>170</v>
      </c>
      <c r="G56" t="s">
        <v>171</v>
      </c>
      <c r="H56" s="3" t="s">
        <v>653</v>
      </c>
      <c r="I56" s="3" t="s">
        <v>653</v>
      </c>
      <c r="J56">
        <v>1690</v>
      </c>
      <c r="K56">
        <v>1520</v>
      </c>
      <c r="L56">
        <v>1290</v>
      </c>
      <c r="M56" s="3" t="s">
        <v>653</v>
      </c>
      <c r="N56">
        <v>2160</v>
      </c>
      <c r="O56">
        <v>1950</v>
      </c>
      <c r="P56">
        <v>1660</v>
      </c>
      <c r="Q56" t="s">
        <v>27</v>
      </c>
      <c r="R56">
        <v>11</v>
      </c>
      <c r="S56">
        <v>1</v>
      </c>
      <c r="T56" s="3" t="s">
        <v>655</v>
      </c>
      <c r="U56" s="3" t="s">
        <v>655</v>
      </c>
      <c r="V56" s="3">
        <v>0</v>
      </c>
      <c r="W56" s="3" t="str">
        <f t="shared" si="1"/>
        <v>(263,null,1,'2025-11-27 00:00:00','003302020110000-330202011','003302020110000-330202011','面神经松解减压术',null,null,1690,1520,1290,null,2160,1950,1660,'次',11,1,'normal','normal',0),</v>
      </c>
    </row>
    <row r="57" spans="1:23">
      <c r="A57">
        <v>264</v>
      </c>
      <c r="B57" s="3" t="s">
        <v>653</v>
      </c>
      <c r="C57" s="3">
        <v>1</v>
      </c>
      <c r="D57" s="4" t="s">
        <v>654</v>
      </c>
      <c r="E57" t="s">
        <v>173</v>
      </c>
      <c r="F57" t="s">
        <v>173</v>
      </c>
      <c r="G57" t="s">
        <v>174</v>
      </c>
      <c r="H57" s="3" t="s">
        <v>653</v>
      </c>
      <c r="I57" s="3" t="s">
        <v>653</v>
      </c>
      <c r="J57">
        <v>2195</v>
      </c>
      <c r="K57">
        <v>1975</v>
      </c>
      <c r="L57">
        <v>1680</v>
      </c>
      <c r="M57" s="3" t="s">
        <v>653</v>
      </c>
      <c r="N57">
        <v>2810</v>
      </c>
      <c r="O57">
        <v>2535</v>
      </c>
      <c r="P57">
        <v>2160</v>
      </c>
      <c r="Q57" t="s">
        <v>27</v>
      </c>
      <c r="R57">
        <v>11</v>
      </c>
      <c r="S57">
        <v>1</v>
      </c>
      <c r="T57" s="3" t="s">
        <v>655</v>
      </c>
      <c r="U57" s="3" t="s">
        <v>655</v>
      </c>
      <c r="V57" s="3">
        <v>0</v>
      </c>
      <c r="W57" s="3" t="str">
        <f t="shared" si="1"/>
        <v>(264,null,1,'2025-11-27 00:00:00','003302020110000-33020201101','003302020110000-33020201101','小儿面神经松解减压术',null,null,2195,1975,1680,null,2810,2535,2160,'次',11,1,'normal','normal',0),</v>
      </c>
    </row>
    <row r="58" spans="1:23">
      <c r="A58">
        <v>265</v>
      </c>
      <c r="B58" s="3" t="s">
        <v>653</v>
      </c>
      <c r="C58" s="3">
        <v>1</v>
      </c>
      <c r="D58" s="4" t="s">
        <v>654</v>
      </c>
      <c r="E58" t="s">
        <v>175</v>
      </c>
      <c r="F58" t="s">
        <v>175</v>
      </c>
      <c r="G58" t="s">
        <v>176</v>
      </c>
      <c r="H58" s="3" t="s">
        <v>653</v>
      </c>
      <c r="I58" s="3" t="s">
        <v>653</v>
      </c>
      <c r="J58">
        <v>1690</v>
      </c>
      <c r="K58">
        <v>1520</v>
      </c>
      <c r="L58">
        <v>1290</v>
      </c>
      <c r="M58" s="3" t="s">
        <v>653</v>
      </c>
      <c r="N58">
        <v>2160</v>
      </c>
      <c r="O58">
        <v>1950</v>
      </c>
      <c r="P58">
        <v>1660</v>
      </c>
      <c r="Q58" t="s">
        <v>27</v>
      </c>
      <c r="R58">
        <v>11</v>
      </c>
      <c r="S58">
        <v>1</v>
      </c>
      <c r="T58" s="3" t="s">
        <v>655</v>
      </c>
      <c r="U58" s="3" t="s">
        <v>655</v>
      </c>
      <c r="V58" s="3">
        <v>0</v>
      </c>
      <c r="W58" s="3" t="str">
        <f t="shared" si="1"/>
        <v>(265,null,1,'2025-11-27 00:00:00','003302020120000-330202012','003302020120000-330202012','经耳面神经梳理术',null,null,1690,1520,1290,null,2160,1950,1660,'次',11,1,'normal','normal',0),</v>
      </c>
    </row>
    <row r="59" spans="1:23">
      <c r="A59">
        <v>266</v>
      </c>
      <c r="B59" s="3" t="s">
        <v>653</v>
      </c>
      <c r="C59" s="3">
        <v>1</v>
      </c>
      <c r="D59" s="4" t="s">
        <v>654</v>
      </c>
      <c r="E59" t="s">
        <v>177</v>
      </c>
      <c r="F59" t="s">
        <v>177</v>
      </c>
      <c r="G59" t="s">
        <v>178</v>
      </c>
      <c r="H59" s="3" t="s">
        <v>653</v>
      </c>
      <c r="I59" s="3" t="s">
        <v>653</v>
      </c>
      <c r="J59">
        <v>2195</v>
      </c>
      <c r="K59">
        <v>1975</v>
      </c>
      <c r="L59">
        <v>1680</v>
      </c>
      <c r="M59" s="3" t="s">
        <v>653</v>
      </c>
      <c r="N59">
        <v>2810</v>
      </c>
      <c r="O59">
        <v>2535</v>
      </c>
      <c r="P59">
        <v>2160</v>
      </c>
      <c r="Q59" t="s">
        <v>27</v>
      </c>
      <c r="R59">
        <v>11</v>
      </c>
      <c r="S59">
        <v>1</v>
      </c>
      <c r="T59" s="3" t="s">
        <v>655</v>
      </c>
      <c r="U59" s="3" t="s">
        <v>655</v>
      </c>
      <c r="V59" s="3">
        <v>0</v>
      </c>
      <c r="W59" s="3" t="str">
        <f t="shared" si="1"/>
        <v>(266,null,1,'2025-11-27 00:00:00','003302020120000-33020201201','003302020120000-33020201201','小儿经耳面神经梳理术',null,null,2195,1975,1680,null,2810,2535,2160,'次',11,1,'normal','normal',0),</v>
      </c>
    </row>
    <row r="60" spans="1:23">
      <c r="A60">
        <v>267</v>
      </c>
      <c r="B60" s="3" t="s">
        <v>653</v>
      </c>
      <c r="C60" s="3">
        <v>1</v>
      </c>
      <c r="D60" s="4" t="s">
        <v>654</v>
      </c>
      <c r="E60" t="s">
        <v>179</v>
      </c>
      <c r="F60" t="s">
        <v>179</v>
      </c>
      <c r="G60" t="s">
        <v>180</v>
      </c>
      <c r="H60" s="3" t="s">
        <v>653</v>
      </c>
      <c r="I60" s="3" t="s">
        <v>653</v>
      </c>
      <c r="J60">
        <v>1690</v>
      </c>
      <c r="K60">
        <v>1520</v>
      </c>
      <c r="L60">
        <v>1290</v>
      </c>
      <c r="M60" s="3" t="s">
        <v>653</v>
      </c>
      <c r="N60">
        <v>2160</v>
      </c>
      <c r="O60">
        <v>1950</v>
      </c>
      <c r="P60">
        <v>1660</v>
      </c>
      <c r="Q60" t="s">
        <v>27</v>
      </c>
      <c r="R60">
        <v>11</v>
      </c>
      <c r="S60">
        <v>1</v>
      </c>
      <c r="T60" s="3" t="s">
        <v>655</v>
      </c>
      <c r="U60" s="3" t="s">
        <v>655</v>
      </c>
      <c r="V60" s="3">
        <v>0</v>
      </c>
      <c r="W60" s="3" t="str">
        <f t="shared" si="1"/>
        <v>(267,null,1,'2025-11-27 00:00:00','003302020130000-330202013','003302020130000-330202013','面神经周围神经移植术',null,null,1690,1520,1290,null,2160,1950,1660,'次',11,1,'normal','normal',0),</v>
      </c>
    </row>
    <row r="61" spans="1:23">
      <c r="A61">
        <v>268</v>
      </c>
      <c r="B61" s="3" t="s">
        <v>653</v>
      </c>
      <c r="C61" s="3">
        <v>1</v>
      </c>
      <c r="D61" s="4" t="s">
        <v>654</v>
      </c>
      <c r="E61" t="s">
        <v>181</v>
      </c>
      <c r="F61" t="s">
        <v>181</v>
      </c>
      <c r="G61" t="s">
        <v>182</v>
      </c>
      <c r="H61" s="3" t="s">
        <v>653</v>
      </c>
      <c r="I61" s="3" t="s">
        <v>653</v>
      </c>
      <c r="J61">
        <v>2195</v>
      </c>
      <c r="K61">
        <v>1975</v>
      </c>
      <c r="L61">
        <v>1680</v>
      </c>
      <c r="M61" s="3" t="s">
        <v>653</v>
      </c>
      <c r="N61">
        <v>2810</v>
      </c>
      <c r="O61">
        <v>2535</v>
      </c>
      <c r="P61">
        <v>2160</v>
      </c>
      <c r="Q61" t="s">
        <v>27</v>
      </c>
      <c r="R61">
        <v>11</v>
      </c>
      <c r="S61">
        <v>1</v>
      </c>
      <c r="T61" s="3" t="s">
        <v>655</v>
      </c>
      <c r="U61" s="3" t="s">
        <v>655</v>
      </c>
      <c r="V61" s="3">
        <v>0</v>
      </c>
      <c r="W61" s="3" t="str">
        <f t="shared" si="1"/>
        <v>(268,null,1,'2025-11-27 00:00:00','003302020130000-33020201301','003302020130000-33020201301','小儿面神经周围神经移植术',null,null,2195,1975,1680,null,2810,2535,2160,'次',11,1,'normal','normal',0),</v>
      </c>
    </row>
    <row r="62" spans="1:23">
      <c r="A62">
        <v>269</v>
      </c>
      <c r="B62" s="3" t="s">
        <v>653</v>
      </c>
      <c r="C62" s="3">
        <v>1</v>
      </c>
      <c r="D62" s="4" t="s">
        <v>654</v>
      </c>
      <c r="E62" t="s">
        <v>183</v>
      </c>
      <c r="F62" t="s">
        <v>183</v>
      </c>
      <c r="G62" t="s">
        <v>184</v>
      </c>
      <c r="H62" s="3" t="s">
        <v>653</v>
      </c>
      <c r="I62" s="3" t="s">
        <v>653</v>
      </c>
      <c r="J62">
        <v>2500</v>
      </c>
      <c r="K62">
        <v>2400</v>
      </c>
      <c r="L62">
        <v>2040</v>
      </c>
      <c r="M62" s="3" t="s">
        <v>653</v>
      </c>
      <c r="N62">
        <v>3160</v>
      </c>
      <c r="O62">
        <v>2850</v>
      </c>
      <c r="P62">
        <v>2420</v>
      </c>
      <c r="Q62" t="s">
        <v>27</v>
      </c>
      <c r="R62">
        <v>11</v>
      </c>
      <c r="S62">
        <v>1</v>
      </c>
      <c r="T62" s="3" t="s">
        <v>655</v>
      </c>
      <c r="U62" s="3" t="s">
        <v>655</v>
      </c>
      <c r="V62" s="3">
        <v>0</v>
      </c>
      <c r="W62" s="3" t="str">
        <f t="shared" si="1"/>
        <v>(269,null,1,'2025-11-27 00:00:00','003302040080000-330204008','003302040080000-330204008','脊髓硬膜外病变切除术',null,null,2500,2400,2040,null,3160,2850,2420,'次',11,1,'normal','normal',0),</v>
      </c>
    </row>
    <row r="63" spans="1:23">
      <c r="A63">
        <v>270</v>
      </c>
      <c r="B63" s="3" t="s">
        <v>653</v>
      </c>
      <c r="C63" s="3">
        <v>1</v>
      </c>
      <c r="D63" s="4" t="s">
        <v>654</v>
      </c>
      <c r="E63" t="s">
        <v>186</v>
      </c>
      <c r="F63" t="s">
        <v>186</v>
      </c>
      <c r="G63" t="s">
        <v>187</v>
      </c>
      <c r="H63" s="3" t="s">
        <v>653</v>
      </c>
      <c r="I63" s="3" t="s">
        <v>653</v>
      </c>
      <c r="J63">
        <v>3250</v>
      </c>
      <c r="K63">
        <v>3120</v>
      </c>
      <c r="L63">
        <v>2650</v>
      </c>
      <c r="M63" s="3" t="s">
        <v>653</v>
      </c>
      <c r="N63">
        <v>4110</v>
      </c>
      <c r="O63">
        <v>3705</v>
      </c>
      <c r="P63">
        <v>3145</v>
      </c>
      <c r="Q63" t="s">
        <v>27</v>
      </c>
      <c r="R63">
        <v>11</v>
      </c>
      <c r="S63">
        <v>1</v>
      </c>
      <c r="T63" s="3" t="s">
        <v>655</v>
      </c>
      <c r="U63" s="3" t="s">
        <v>655</v>
      </c>
      <c r="V63" s="3">
        <v>0</v>
      </c>
      <c r="W63" s="3" t="str">
        <f t="shared" si="1"/>
        <v>(270,null,1,'2025-11-27 00:00:00','003302040080000-33020400801','003302040080000-33020400801','小儿脊髓硬膜外病变切除术',null,null,3250,3120,2650,null,4110,3705,3145,'次',11,1,'normal','normal',0),</v>
      </c>
    </row>
    <row r="64" spans="1:23">
      <c r="A64">
        <v>271</v>
      </c>
      <c r="B64" s="3" t="s">
        <v>653</v>
      </c>
      <c r="C64" s="3">
        <v>1</v>
      </c>
      <c r="D64" s="4" t="s">
        <v>654</v>
      </c>
      <c r="E64" t="s">
        <v>188</v>
      </c>
      <c r="F64" t="s">
        <v>188</v>
      </c>
      <c r="G64" t="s">
        <v>189</v>
      </c>
      <c r="H64" s="3" t="s">
        <v>653</v>
      </c>
      <c r="I64" s="3" t="s">
        <v>653</v>
      </c>
      <c r="J64">
        <v>2500</v>
      </c>
      <c r="K64">
        <v>2400</v>
      </c>
      <c r="L64">
        <v>2040</v>
      </c>
      <c r="M64" s="3" t="s">
        <v>653</v>
      </c>
      <c r="N64">
        <v>3160</v>
      </c>
      <c r="O64">
        <v>2850</v>
      </c>
      <c r="P64">
        <v>2420</v>
      </c>
      <c r="Q64" t="s">
        <v>27</v>
      </c>
      <c r="R64">
        <v>11</v>
      </c>
      <c r="S64">
        <v>1</v>
      </c>
      <c r="T64" s="3" t="s">
        <v>655</v>
      </c>
      <c r="U64" s="3" t="s">
        <v>655</v>
      </c>
      <c r="V64" s="3">
        <v>0</v>
      </c>
      <c r="W64" s="3" t="str">
        <f t="shared" si="1"/>
        <v>(271,null,1,'2025-11-27 00:00:00','003302040090000-330204009','003302040090000-330204009','髓外硬脊膜下病变切除术',null,null,2500,2400,2040,null,3160,2850,2420,'次',11,1,'normal','normal',0),</v>
      </c>
    </row>
    <row r="65" spans="1:23">
      <c r="A65">
        <v>272</v>
      </c>
      <c r="B65" s="3" t="s">
        <v>653</v>
      </c>
      <c r="C65" s="3">
        <v>1</v>
      </c>
      <c r="D65" s="4" t="s">
        <v>654</v>
      </c>
      <c r="E65" t="s">
        <v>192</v>
      </c>
      <c r="F65" t="s">
        <v>192</v>
      </c>
      <c r="G65" t="s">
        <v>193</v>
      </c>
      <c r="H65" s="3" t="s">
        <v>653</v>
      </c>
      <c r="I65" s="3" t="s">
        <v>653</v>
      </c>
      <c r="J65">
        <v>2875</v>
      </c>
      <c r="K65">
        <v>2760</v>
      </c>
      <c r="L65">
        <v>2346</v>
      </c>
      <c r="M65" s="3" t="s">
        <v>653</v>
      </c>
      <c r="N65">
        <v>3630</v>
      </c>
      <c r="O65">
        <v>3270</v>
      </c>
      <c r="P65">
        <v>2780</v>
      </c>
      <c r="Q65" t="s">
        <v>27</v>
      </c>
      <c r="R65">
        <v>11</v>
      </c>
      <c r="S65">
        <v>1</v>
      </c>
      <c r="T65" s="3" t="s">
        <v>655</v>
      </c>
      <c r="U65" s="3" t="s">
        <v>655</v>
      </c>
      <c r="V65" s="3">
        <v>0</v>
      </c>
      <c r="W65" s="3" t="str">
        <f t="shared" si="1"/>
        <v>(272,null,1,'2025-11-27 00:00:00','003302040090001-33020400901','003302040090001-33020400901','髓外硬脊膜下病变切除术（肿瘤长度超过5cm）',null,null,2875,2760,2346,null,3630,3270,2780,'次',11,1,'normal','normal',0),</v>
      </c>
    </row>
    <row r="66" spans="1:23">
      <c r="A66">
        <v>273</v>
      </c>
      <c r="B66" s="3" t="s">
        <v>653</v>
      </c>
      <c r="C66" s="3">
        <v>1</v>
      </c>
      <c r="D66" s="4" t="s">
        <v>654</v>
      </c>
      <c r="E66" t="s">
        <v>195</v>
      </c>
      <c r="F66" t="s">
        <v>195</v>
      </c>
      <c r="G66" t="s">
        <v>196</v>
      </c>
      <c r="H66" s="3" t="s">
        <v>653</v>
      </c>
      <c r="I66" s="3" t="s">
        <v>653</v>
      </c>
      <c r="J66">
        <v>3250</v>
      </c>
      <c r="K66">
        <v>3120</v>
      </c>
      <c r="L66">
        <v>2650</v>
      </c>
      <c r="M66" s="3" t="s">
        <v>653</v>
      </c>
      <c r="N66">
        <v>4110</v>
      </c>
      <c r="O66">
        <v>3705</v>
      </c>
      <c r="P66">
        <v>3145</v>
      </c>
      <c r="Q66" t="s">
        <v>27</v>
      </c>
      <c r="R66">
        <v>11</v>
      </c>
      <c r="S66">
        <v>1</v>
      </c>
      <c r="T66" s="3" t="s">
        <v>655</v>
      </c>
      <c r="U66" s="3" t="s">
        <v>655</v>
      </c>
      <c r="V66" s="3">
        <v>0</v>
      </c>
      <c r="W66" s="3" t="str">
        <f t="shared" si="1"/>
        <v>(273,null,1,'2025-11-27 00:00:00','003302040090000-33020400902','003302040090000-33020400902','小儿髓外硬脊膜下病变切除术',null,null,3250,3120,2650,null,4110,3705,3145,'次',11,1,'normal','normal',0),</v>
      </c>
    </row>
    <row r="67" spans="1:23">
      <c r="A67">
        <v>274</v>
      </c>
      <c r="B67" s="3" t="s">
        <v>653</v>
      </c>
      <c r="C67" s="3">
        <v>1</v>
      </c>
      <c r="D67" s="4" t="s">
        <v>654</v>
      </c>
      <c r="E67" t="s">
        <v>197</v>
      </c>
      <c r="F67" t="s">
        <v>197</v>
      </c>
      <c r="G67" t="s">
        <v>198</v>
      </c>
      <c r="H67" s="3" t="s">
        <v>653</v>
      </c>
      <c r="I67" s="3" t="s">
        <v>653</v>
      </c>
      <c r="J67">
        <v>3740</v>
      </c>
      <c r="K67">
        <v>3590</v>
      </c>
      <c r="L67">
        <v>3050</v>
      </c>
      <c r="M67" s="3" t="s">
        <v>653</v>
      </c>
      <c r="N67">
        <v>4730</v>
      </c>
      <c r="O67">
        <v>4250</v>
      </c>
      <c r="P67">
        <v>3615</v>
      </c>
      <c r="Q67" t="s">
        <v>27</v>
      </c>
      <c r="R67">
        <v>11</v>
      </c>
      <c r="S67">
        <v>1</v>
      </c>
      <c r="T67" s="3" t="s">
        <v>655</v>
      </c>
      <c r="U67" s="3" t="s">
        <v>655</v>
      </c>
      <c r="V67" s="3">
        <v>0</v>
      </c>
      <c r="W67" s="3" t="str">
        <f t="shared" ref="W67:W98" si="2">"("&amp;A67&amp;","&amp;B67&amp;","&amp;C67&amp;",'"&amp;D67&amp;"','"&amp;E67&amp;"','"&amp;F67&amp;"','"&amp;G67&amp;"',"&amp;H67&amp;","&amp;I67&amp;","&amp;J67&amp;","&amp;K67&amp;","&amp;L67&amp;","&amp;M67&amp;","&amp;N67&amp;","&amp;O67&amp;","&amp;P67&amp;",'"&amp;Q67&amp;"',"&amp;R67&amp;","&amp;S67&amp;",'"&amp;T67&amp;"','"&amp;U67&amp;"',"&amp;V67&amp;"),"</f>
        <v>(274,null,1,'2025-11-27 00:00:00','003302040090001-33020400903','003302040090001-33020400903','小儿髓外硬脊膜下病变切除术（肿瘤长度超过5cm）',null,null,3740,3590,3050,null,4730,4250,3615,'次',11,1,'normal','normal',0),</v>
      </c>
    </row>
    <row r="68" spans="1:23">
      <c r="A68">
        <v>275</v>
      </c>
      <c r="B68" s="3" t="s">
        <v>653</v>
      </c>
      <c r="C68" s="3">
        <v>1</v>
      </c>
      <c r="D68" s="4" t="s">
        <v>654</v>
      </c>
      <c r="E68" t="s">
        <v>199</v>
      </c>
      <c r="F68" t="s">
        <v>199</v>
      </c>
      <c r="G68" t="s">
        <v>200</v>
      </c>
      <c r="H68" s="3" t="s">
        <v>653</v>
      </c>
      <c r="I68" s="3" t="s">
        <v>653</v>
      </c>
      <c r="J68">
        <v>1875</v>
      </c>
      <c r="K68">
        <v>1800</v>
      </c>
      <c r="L68">
        <v>1530</v>
      </c>
      <c r="M68" s="3" t="s">
        <v>653</v>
      </c>
      <c r="N68">
        <v>2375</v>
      </c>
      <c r="O68">
        <v>2140</v>
      </c>
      <c r="P68">
        <v>1820</v>
      </c>
      <c r="Q68" t="s">
        <v>27</v>
      </c>
      <c r="R68">
        <v>11</v>
      </c>
      <c r="S68">
        <v>1</v>
      </c>
      <c r="T68" s="3" t="s">
        <v>655</v>
      </c>
      <c r="U68" s="3" t="s">
        <v>655</v>
      </c>
      <c r="V68" s="3">
        <v>0</v>
      </c>
      <c r="W68" s="3" t="str">
        <f t="shared" si="2"/>
        <v>(275,null,1,'2025-11-27 00:00:00','003302040170000-330204017','003302040170000-330204017','腰骶部潜毛窦切除术',null,null,1875,1800,1530,null,2375,2140,1820,'次',11,1,'normal','normal',0),</v>
      </c>
    </row>
    <row r="69" spans="1:23">
      <c r="A69">
        <v>276</v>
      </c>
      <c r="B69" s="3" t="s">
        <v>653</v>
      </c>
      <c r="C69" s="3">
        <v>1</v>
      </c>
      <c r="D69" s="4" t="s">
        <v>654</v>
      </c>
      <c r="E69" t="s">
        <v>201</v>
      </c>
      <c r="F69" t="s">
        <v>201</v>
      </c>
      <c r="G69" t="s">
        <v>202</v>
      </c>
      <c r="H69" s="3" t="s">
        <v>653</v>
      </c>
      <c r="I69" s="3" t="s">
        <v>653</v>
      </c>
      <c r="J69">
        <v>2440</v>
      </c>
      <c r="K69">
        <v>2340</v>
      </c>
      <c r="L69">
        <v>1990</v>
      </c>
      <c r="M69" s="3" t="s">
        <v>653</v>
      </c>
      <c r="N69">
        <v>3090</v>
      </c>
      <c r="O69">
        <v>2780</v>
      </c>
      <c r="P69">
        <v>2365</v>
      </c>
      <c r="Q69" t="s">
        <v>27</v>
      </c>
      <c r="R69">
        <v>11</v>
      </c>
      <c r="S69">
        <v>1</v>
      </c>
      <c r="T69" s="3" t="s">
        <v>655</v>
      </c>
      <c r="U69" s="3" t="s">
        <v>655</v>
      </c>
      <c r="V69" s="3">
        <v>0</v>
      </c>
      <c r="W69" s="3" t="str">
        <f t="shared" si="2"/>
        <v>(276,null,1,'2025-11-27 00:00:00','003302040170000-33020401701','003302040170000-33020401701','小儿腰骶部潜毛窦切除术',null,null,2440,2340,1990,null,3090,2780,2365,'次',11,1,'normal','normal',0),</v>
      </c>
    </row>
    <row r="70" spans="1:23">
      <c r="A70">
        <v>277</v>
      </c>
      <c r="B70" s="3" t="s">
        <v>653</v>
      </c>
      <c r="C70" s="3">
        <v>1</v>
      </c>
      <c r="D70" s="4" t="s">
        <v>654</v>
      </c>
      <c r="E70" t="s">
        <v>203</v>
      </c>
      <c r="F70" t="s">
        <v>203</v>
      </c>
      <c r="G70" t="s">
        <v>204</v>
      </c>
      <c r="H70" s="3" t="s">
        <v>653</v>
      </c>
      <c r="I70" s="3" t="s">
        <v>653</v>
      </c>
      <c r="J70">
        <v>625</v>
      </c>
      <c r="K70">
        <v>600</v>
      </c>
      <c r="L70">
        <v>510</v>
      </c>
      <c r="M70" s="3" t="s">
        <v>653</v>
      </c>
      <c r="N70">
        <v>795</v>
      </c>
      <c r="O70">
        <v>715</v>
      </c>
      <c r="P70">
        <v>605</v>
      </c>
      <c r="Q70" t="s">
        <v>27</v>
      </c>
      <c r="R70">
        <v>11</v>
      </c>
      <c r="S70">
        <v>1</v>
      </c>
      <c r="T70" s="3" t="s">
        <v>655</v>
      </c>
      <c r="U70" s="3" t="s">
        <v>655</v>
      </c>
      <c r="V70" s="3">
        <v>0</v>
      </c>
      <c r="W70" s="3" t="str">
        <f t="shared" si="2"/>
        <v>(277,null,1,'2025-11-27 00:00:00','003302040180000-330204018','003302040180000-330204018','经皮穿刺骶神经囊肿治疗术',null,null,625,600,510,null,795,715,605,'次',11,1,'normal','normal',0),</v>
      </c>
    </row>
    <row r="71" spans="1:23">
      <c r="A71">
        <v>278</v>
      </c>
      <c r="B71" s="3" t="s">
        <v>653</v>
      </c>
      <c r="C71" s="3">
        <v>1</v>
      </c>
      <c r="D71" s="4" t="s">
        <v>654</v>
      </c>
      <c r="E71" t="s">
        <v>205</v>
      </c>
      <c r="F71" t="s">
        <v>205</v>
      </c>
      <c r="G71" t="s">
        <v>206</v>
      </c>
      <c r="H71" s="3" t="s">
        <v>653</v>
      </c>
      <c r="I71" s="3" t="s">
        <v>653</v>
      </c>
      <c r="J71">
        <v>815</v>
      </c>
      <c r="K71">
        <v>780</v>
      </c>
      <c r="L71">
        <v>665</v>
      </c>
      <c r="M71" s="3" t="s">
        <v>653</v>
      </c>
      <c r="N71">
        <v>1035</v>
      </c>
      <c r="O71">
        <v>930</v>
      </c>
      <c r="P71">
        <v>785</v>
      </c>
      <c r="Q71" t="s">
        <v>27</v>
      </c>
      <c r="R71">
        <v>11</v>
      </c>
      <c r="S71">
        <v>1</v>
      </c>
      <c r="T71" s="3" t="s">
        <v>655</v>
      </c>
      <c r="U71" s="3" t="s">
        <v>655</v>
      </c>
      <c r="V71" s="3">
        <v>0</v>
      </c>
      <c r="W71" s="3" t="str">
        <f t="shared" si="2"/>
        <v>(278,null,1,'2025-11-27 00:00:00','003302040180000-33020401801','003302040180000-33020401801','小儿经皮穿刺骶神经囊肿治疗术',null,null,815,780,665,null,1035,930,785,'次',11,1,'normal','normal',0),</v>
      </c>
    </row>
    <row r="72" spans="1:23">
      <c r="A72">
        <v>279</v>
      </c>
      <c r="B72" s="3" t="s">
        <v>653</v>
      </c>
      <c r="C72" s="3">
        <v>1</v>
      </c>
      <c r="D72" s="4" t="s">
        <v>654</v>
      </c>
      <c r="E72" t="s">
        <v>207</v>
      </c>
      <c r="F72" t="s">
        <v>207</v>
      </c>
      <c r="G72" t="s">
        <v>208</v>
      </c>
      <c r="H72" s="3" t="s">
        <v>653</v>
      </c>
      <c r="I72" s="3" t="s">
        <v>653</v>
      </c>
      <c r="J72">
        <v>1690</v>
      </c>
      <c r="K72">
        <v>1520</v>
      </c>
      <c r="L72">
        <v>1290</v>
      </c>
      <c r="M72" s="3" t="s">
        <v>653</v>
      </c>
      <c r="N72">
        <v>2070</v>
      </c>
      <c r="O72">
        <v>1865</v>
      </c>
      <c r="P72">
        <v>1585</v>
      </c>
      <c r="Q72" t="s">
        <v>27</v>
      </c>
      <c r="R72">
        <v>11</v>
      </c>
      <c r="S72">
        <v>1</v>
      </c>
      <c r="T72" s="3" t="s">
        <v>655</v>
      </c>
      <c r="U72" s="3" t="s">
        <v>655</v>
      </c>
      <c r="V72" s="3">
        <v>0</v>
      </c>
      <c r="W72" s="3" t="str">
        <f t="shared" si="2"/>
        <v>(279,null,1,'2025-11-27 00:00:00','003305010180000-330501018','003305010180000-330501018','耳廓再造术',null,null,1690,1520,1290,null,2070,1865,1585,'次',11,1,'normal','normal',0),</v>
      </c>
    </row>
    <row r="73" spans="1:23">
      <c r="A73">
        <v>280</v>
      </c>
      <c r="B73" s="3" t="s">
        <v>653</v>
      </c>
      <c r="C73" s="3">
        <v>1</v>
      </c>
      <c r="D73" s="4" t="s">
        <v>654</v>
      </c>
      <c r="E73" t="s">
        <v>210</v>
      </c>
      <c r="F73" t="s">
        <v>210</v>
      </c>
      <c r="G73" t="s">
        <v>211</v>
      </c>
      <c r="H73" s="3" t="s">
        <v>653</v>
      </c>
      <c r="I73" s="3" t="s">
        <v>653</v>
      </c>
      <c r="J73">
        <v>2195</v>
      </c>
      <c r="K73">
        <v>1975</v>
      </c>
      <c r="L73">
        <v>1680</v>
      </c>
      <c r="M73" s="3" t="s">
        <v>653</v>
      </c>
      <c r="N73">
        <v>2690</v>
      </c>
      <c r="O73">
        <v>2425</v>
      </c>
      <c r="P73">
        <v>2060</v>
      </c>
      <c r="Q73" t="s">
        <v>27</v>
      </c>
      <c r="R73">
        <v>11</v>
      </c>
      <c r="S73">
        <v>1</v>
      </c>
      <c r="T73" s="3" t="s">
        <v>655</v>
      </c>
      <c r="U73" s="3" t="s">
        <v>655</v>
      </c>
      <c r="V73" s="3">
        <v>0</v>
      </c>
      <c r="W73" s="3" t="str">
        <f t="shared" si="2"/>
        <v>(280,null,1,'2025-11-27 00:00:00','003305010180000-33050101801','003305010180000-33050101801','小儿耳廓再造术',null,null,2195,1975,1680,null,2690,2425,2060,'次',11,1,'normal','normal',0),</v>
      </c>
    </row>
    <row r="74" spans="1:23">
      <c r="A74">
        <v>281</v>
      </c>
      <c r="B74" s="3" t="s">
        <v>653</v>
      </c>
      <c r="C74" s="3">
        <v>1</v>
      </c>
      <c r="D74" s="4" t="s">
        <v>654</v>
      </c>
      <c r="E74" t="s">
        <v>212</v>
      </c>
      <c r="F74" t="s">
        <v>212</v>
      </c>
      <c r="G74" t="s">
        <v>213</v>
      </c>
      <c r="H74" s="3" t="s">
        <v>653</v>
      </c>
      <c r="I74" s="3" t="s">
        <v>653</v>
      </c>
      <c r="J74">
        <v>2530</v>
      </c>
      <c r="K74">
        <v>2280</v>
      </c>
      <c r="L74">
        <v>1940</v>
      </c>
      <c r="M74" s="3" t="s">
        <v>653</v>
      </c>
      <c r="N74">
        <v>3110</v>
      </c>
      <c r="O74">
        <v>2800</v>
      </c>
      <c r="P74">
        <v>2380</v>
      </c>
      <c r="Q74" t="s">
        <v>27</v>
      </c>
      <c r="R74">
        <v>11</v>
      </c>
      <c r="S74">
        <v>1</v>
      </c>
      <c r="T74" s="3" t="s">
        <v>655</v>
      </c>
      <c r="U74" s="3" t="s">
        <v>655</v>
      </c>
      <c r="V74" s="3">
        <v>0</v>
      </c>
      <c r="W74" s="3" t="str">
        <f t="shared" si="2"/>
        <v>(281,null,1,'2025-11-27 00:00:00','003307020060000-330702006','003307020060000-330702006','肺叶切除术',null,null,2530,2280,1940,null,3110,2800,2380,'次',11,1,'normal','normal',0),</v>
      </c>
    </row>
    <row r="75" spans="1:23">
      <c r="A75">
        <v>282</v>
      </c>
      <c r="B75" s="3" t="s">
        <v>653</v>
      </c>
      <c r="C75" s="3">
        <v>1</v>
      </c>
      <c r="D75" s="4" t="s">
        <v>654</v>
      </c>
      <c r="E75" t="s">
        <v>216</v>
      </c>
      <c r="F75" t="s">
        <v>216</v>
      </c>
      <c r="G75" t="s">
        <v>217</v>
      </c>
      <c r="H75" s="3" t="s">
        <v>653</v>
      </c>
      <c r="I75" s="3" t="s">
        <v>653</v>
      </c>
      <c r="J75">
        <v>3240</v>
      </c>
      <c r="K75">
        <v>2920</v>
      </c>
      <c r="L75">
        <v>2480</v>
      </c>
      <c r="M75" s="3" t="s">
        <v>653</v>
      </c>
      <c r="N75">
        <v>4665</v>
      </c>
      <c r="O75">
        <v>4200</v>
      </c>
      <c r="P75">
        <v>3570</v>
      </c>
      <c r="Q75" t="s">
        <v>27</v>
      </c>
      <c r="R75">
        <v>11</v>
      </c>
      <c r="S75">
        <v>1</v>
      </c>
      <c r="T75" s="3" t="s">
        <v>655</v>
      </c>
      <c r="U75" s="3" t="s">
        <v>655</v>
      </c>
      <c r="V75" s="3">
        <v>0</v>
      </c>
      <c r="W75" s="3" t="str">
        <f t="shared" si="2"/>
        <v>(282,null,1,'2025-11-27 00:00:00','003307020060000-33070200601','003307020060000-33070200601','肺叶切除术（双侧）',null,null,3240,2920,2480,null,4665,4200,3570,'次',11,1,'normal','normal',0),</v>
      </c>
    </row>
    <row r="76" spans="1:23">
      <c r="A76">
        <v>283</v>
      </c>
      <c r="B76" s="3" t="s">
        <v>653</v>
      </c>
      <c r="C76" s="3">
        <v>1</v>
      </c>
      <c r="D76" s="4" t="s">
        <v>654</v>
      </c>
      <c r="E76" t="s">
        <v>219</v>
      </c>
      <c r="F76" t="s">
        <v>219</v>
      </c>
      <c r="G76" t="s">
        <v>220</v>
      </c>
      <c r="H76" s="3" t="s">
        <v>653</v>
      </c>
      <c r="I76" s="3" t="s">
        <v>653</v>
      </c>
      <c r="J76">
        <v>3290</v>
      </c>
      <c r="K76">
        <v>2965</v>
      </c>
      <c r="L76">
        <v>2520</v>
      </c>
      <c r="M76" s="3" t="s">
        <v>653</v>
      </c>
      <c r="N76">
        <v>4045</v>
      </c>
      <c r="O76">
        <v>3640</v>
      </c>
      <c r="P76">
        <v>3095</v>
      </c>
      <c r="Q76" t="s">
        <v>27</v>
      </c>
      <c r="R76">
        <v>11</v>
      </c>
      <c r="S76">
        <v>1</v>
      </c>
      <c r="T76" s="3" t="s">
        <v>655</v>
      </c>
      <c r="U76" s="3" t="s">
        <v>655</v>
      </c>
      <c r="V76" s="3">
        <v>0</v>
      </c>
      <c r="W76" s="3" t="str">
        <f t="shared" si="2"/>
        <v>(283,null,1,'2025-11-27 00:00:00','003307020060000-33070200602','003307020060000-33070200602','小儿肺叶切除术',null,null,3290,2965,2520,null,4045,3640,3095,'次',11,1,'normal','normal',0),</v>
      </c>
    </row>
    <row r="77" spans="1:23">
      <c r="A77">
        <v>284</v>
      </c>
      <c r="B77" s="3" t="s">
        <v>653</v>
      </c>
      <c r="C77" s="3">
        <v>1</v>
      </c>
      <c r="D77" s="4" t="s">
        <v>654</v>
      </c>
      <c r="E77" t="s">
        <v>221</v>
      </c>
      <c r="F77" t="s">
        <v>221</v>
      </c>
      <c r="G77" t="s">
        <v>222</v>
      </c>
      <c r="H77" s="3" t="s">
        <v>653</v>
      </c>
      <c r="I77" s="3" t="s">
        <v>653</v>
      </c>
      <c r="J77">
        <v>4210</v>
      </c>
      <c r="K77">
        <v>3795</v>
      </c>
      <c r="L77">
        <v>3225</v>
      </c>
      <c r="M77" s="3" t="s">
        <v>653</v>
      </c>
      <c r="N77">
        <v>6065</v>
      </c>
      <c r="O77">
        <v>5460</v>
      </c>
      <c r="P77">
        <v>4640</v>
      </c>
      <c r="Q77" t="s">
        <v>27</v>
      </c>
      <c r="R77">
        <v>11</v>
      </c>
      <c r="S77">
        <v>1</v>
      </c>
      <c r="T77" s="3" t="s">
        <v>655</v>
      </c>
      <c r="U77" s="3" t="s">
        <v>655</v>
      </c>
      <c r="V77" s="3">
        <v>0</v>
      </c>
      <c r="W77" s="3" t="str">
        <f t="shared" si="2"/>
        <v>(284,null,1,'2025-11-27 00:00:00','003307020060000-33070200603','003307020060000-33070200603','小儿肺叶切除术（双侧）',null,null,4210,3795,3225,null,6065,5460,4640,'次',11,1,'normal','normal',0),</v>
      </c>
    </row>
    <row r="78" spans="1:23">
      <c r="A78">
        <v>285</v>
      </c>
      <c r="B78" s="3" t="s">
        <v>653</v>
      </c>
      <c r="C78" s="3">
        <v>1</v>
      </c>
      <c r="D78" s="4" t="s">
        <v>654</v>
      </c>
      <c r="E78" t="s">
        <v>223</v>
      </c>
      <c r="F78" t="s">
        <v>223</v>
      </c>
      <c r="G78" t="s">
        <v>224</v>
      </c>
      <c r="H78" s="3" t="s">
        <v>653</v>
      </c>
      <c r="I78" s="3" t="s">
        <v>653</v>
      </c>
      <c r="J78">
        <v>3155</v>
      </c>
      <c r="K78">
        <v>2880</v>
      </c>
      <c r="L78">
        <v>2450</v>
      </c>
      <c r="M78" s="3" t="s">
        <v>653</v>
      </c>
      <c r="N78">
        <v>3735</v>
      </c>
      <c r="O78">
        <v>3400</v>
      </c>
      <c r="P78">
        <v>2890</v>
      </c>
      <c r="Q78" t="s">
        <v>27</v>
      </c>
      <c r="R78">
        <v>11</v>
      </c>
      <c r="S78">
        <v>1</v>
      </c>
      <c r="T78" s="3" t="s">
        <v>655</v>
      </c>
      <c r="U78" s="3" t="s">
        <v>655</v>
      </c>
      <c r="V78" s="3">
        <v>0</v>
      </c>
      <c r="W78" s="3" t="str">
        <f t="shared" si="2"/>
        <v>(285,null,1,'2025-11-27 00:00:00','003307020060001-33070200604','003307020060001-33070200604','经胸腔镜肺叶切除术',null,null,3155,2880,2450,null,3735,3400,2890,'次',11,1,'normal','normal',0),</v>
      </c>
    </row>
    <row r="79" spans="1:23">
      <c r="A79">
        <v>286</v>
      </c>
      <c r="B79" s="3" t="s">
        <v>653</v>
      </c>
      <c r="C79" s="3">
        <v>1</v>
      </c>
      <c r="D79" s="4" t="s">
        <v>654</v>
      </c>
      <c r="E79" t="s">
        <v>225</v>
      </c>
      <c r="F79" t="s">
        <v>225</v>
      </c>
      <c r="G79" t="s">
        <v>226</v>
      </c>
      <c r="H79" s="3" t="s">
        <v>653</v>
      </c>
      <c r="I79" s="3" t="s">
        <v>653</v>
      </c>
      <c r="J79">
        <v>3865</v>
      </c>
      <c r="K79">
        <v>3520</v>
      </c>
      <c r="L79">
        <v>2990</v>
      </c>
      <c r="M79" s="3" t="s">
        <v>653</v>
      </c>
      <c r="N79">
        <v>5290</v>
      </c>
      <c r="O79">
        <v>4800</v>
      </c>
      <c r="P79">
        <v>4080</v>
      </c>
      <c r="Q79" t="s">
        <v>27</v>
      </c>
      <c r="R79">
        <v>11</v>
      </c>
      <c r="S79">
        <v>1</v>
      </c>
      <c r="T79" s="3" t="s">
        <v>655</v>
      </c>
      <c r="U79" s="3" t="s">
        <v>655</v>
      </c>
      <c r="V79" s="3">
        <v>0</v>
      </c>
      <c r="W79" s="3" t="str">
        <f t="shared" si="2"/>
        <v>(286,null,1,'2025-11-27 00:00:00','003307020060001-33070200605','003307020060001-33070200605','经胸腔镜肺叶切除术(双侧)',null,null,3865,3520,2990,null,5290,4800,4080,'次',11,1,'normal','normal',0),</v>
      </c>
    </row>
    <row r="80" spans="1:23">
      <c r="A80">
        <v>287</v>
      </c>
      <c r="B80" s="3" t="s">
        <v>653</v>
      </c>
      <c r="C80" s="3">
        <v>1</v>
      </c>
      <c r="D80" s="4" t="s">
        <v>654</v>
      </c>
      <c r="E80" t="s">
        <v>227</v>
      </c>
      <c r="F80" t="s">
        <v>227</v>
      </c>
      <c r="G80" t="s">
        <v>228</v>
      </c>
      <c r="H80" s="3" t="s">
        <v>653</v>
      </c>
      <c r="I80" s="3" t="s">
        <v>653</v>
      </c>
      <c r="J80">
        <v>3915</v>
      </c>
      <c r="K80">
        <v>3565</v>
      </c>
      <c r="L80">
        <v>3030</v>
      </c>
      <c r="M80" s="3" t="s">
        <v>653</v>
      </c>
      <c r="N80">
        <v>4670</v>
      </c>
      <c r="O80">
        <v>4240</v>
      </c>
      <c r="P80">
        <v>3605</v>
      </c>
      <c r="Q80" t="s">
        <v>27</v>
      </c>
      <c r="R80">
        <v>11</v>
      </c>
      <c r="S80">
        <v>1</v>
      </c>
      <c r="T80" s="3" t="s">
        <v>655</v>
      </c>
      <c r="U80" s="3" t="s">
        <v>655</v>
      </c>
      <c r="V80" s="3">
        <v>0</v>
      </c>
      <c r="W80" s="3" t="str">
        <f t="shared" si="2"/>
        <v>(287,null,1,'2025-11-27 00:00:00','003307020060001-33070200606','003307020060001-33070200606','小儿经胸腔镜肺叶切除术',null,null,3915,3565,3030,null,4670,4240,3605,'次',11,1,'normal','normal',0),</v>
      </c>
    </row>
    <row r="81" spans="1:23">
      <c r="A81">
        <v>288</v>
      </c>
      <c r="B81" s="3" t="s">
        <v>653</v>
      </c>
      <c r="C81" s="3">
        <v>1</v>
      </c>
      <c r="D81" s="4" t="s">
        <v>654</v>
      </c>
      <c r="E81" t="s">
        <v>229</v>
      </c>
      <c r="F81" t="s">
        <v>229</v>
      </c>
      <c r="G81" t="s">
        <v>230</v>
      </c>
      <c r="H81" s="3" t="s">
        <v>653</v>
      </c>
      <c r="I81" s="3" t="s">
        <v>653</v>
      </c>
      <c r="J81">
        <v>4835</v>
      </c>
      <c r="K81">
        <v>4395</v>
      </c>
      <c r="L81">
        <v>3735</v>
      </c>
      <c r="M81" s="3" t="s">
        <v>653</v>
      </c>
      <c r="N81">
        <v>6690</v>
      </c>
      <c r="O81">
        <v>6060</v>
      </c>
      <c r="P81">
        <v>5150</v>
      </c>
      <c r="Q81" t="s">
        <v>27</v>
      </c>
      <c r="R81">
        <v>11</v>
      </c>
      <c r="S81">
        <v>1</v>
      </c>
      <c r="T81" s="3" t="s">
        <v>655</v>
      </c>
      <c r="U81" s="3" t="s">
        <v>655</v>
      </c>
      <c r="V81" s="3">
        <v>0</v>
      </c>
      <c r="W81" s="3" t="str">
        <f t="shared" si="2"/>
        <v>(288,null,1,'2025-11-27 00:00:00','003307020060001-33070200607','003307020060001-33070200607','小儿经胸腔镜肺叶切除术(双侧)',null,null,4835,4395,3735,null,6690,6060,5150,'次',11,1,'normal','normal',0),</v>
      </c>
    </row>
    <row r="82" spans="1:23">
      <c r="A82">
        <v>289</v>
      </c>
      <c r="B82" s="3" t="s">
        <v>653</v>
      </c>
      <c r="C82" s="3">
        <v>1</v>
      </c>
      <c r="D82" s="4" t="s">
        <v>654</v>
      </c>
      <c r="E82" t="s">
        <v>231</v>
      </c>
      <c r="F82" t="s">
        <v>231</v>
      </c>
      <c r="G82" t="s">
        <v>232</v>
      </c>
      <c r="H82" s="3" t="s">
        <v>653</v>
      </c>
      <c r="I82" s="3" t="s">
        <v>653</v>
      </c>
      <c r="J82">
        <v>11140</v>
      </c>
      <c r="K82">
        <v>10030</v>
      </c>
      <c r="L82">
        <v>8530</v>
      </c>
      <c r="M82" s="3" t="s">
        <v>653</v>
      </c>
      <c r="N82">
        <v>15000</v>
      </c>
      <c r="O82">
        <v>13500</v>
      </c>
      <c r="P82">
        <v>11475</v>
      </c>
      <c r="Q82" t="s">
        <v>27</v>
      </c>
      <c r="R82">
        <v>11</v>
      </c>
      <c r="S82">
        <v>1</v>
      </c>
      <c r="T82" s="3" t="s">
        <v>655</v>
      </c>
      <c r="U82" s="3" t="s">
        <v>655</v>
      </c>
      <c r="V82" s="3">
        <v>0</v>
      </c>
      <c r="W82" s="3" t="str">
        <f t="shared" si="2"/>
        <v>(289,null,1,'2025-11-27 00:00:00','003308010260000-330801026','003308010260000-330801026','复合性先天性心脏畸形矫治术',null,null,11140,10030,8530,null,15000,13500,11475,'次',11,1,'normal','normal',0),</v>
      </c>
    </row>
    <row r="83" spans="1:23">
      <c r="A83">
        <v>290</v>
      </c>
      <c r="B83" s="3" t="s">
        <v>653</v>
      </c>
      <c r="C83" s="3">
        <v>1</v>
      </c>
      <c r="D83" s="4" t="s">
        <v>654</v>
      </c>
      <c r="E83" t="s">
        <v>234</v>
      </c>
      <c r="F83" t="s">
        <v>234</v>
      </c>
      <c r="G83" t="s">
        <v>235</v>
      </c>
      <c r="H83" s="3" t="s">
        <v>653</v>
      </c>
      <c r="I83" s="3" t="s">
        <v>653</v>
      </c>
      <c r="J83">
        <v>14480</v>
      </c>
      <c r="K83">
        <v>13040</v>
      </c>
      <c r="L83">
        <v>11085</v>
      </c>
      <c r="M83" s="3" t="s">
        <v>653</v>
      </c>
      <c r="N83">
        <v>19500</v>
      </c>
      <c r="O83">
        <v>17550</v>
      </c>
      <c r="P83">
        <v>14920</v>
      </c>
      <c r="Q83" t="s">
        <v>27</v>
      </c>
      <c r="R83">
        <v>11</v>
      </c>
      <c r="S83">
        <v>1</v>
      </c>
      <c r="T83" s="3" t="s">
        <v>655</v>
      </c>
      <c r="U83" s="3" t="s">
        <v>655</v>
      </c>
      <c r="V83" s="3">
        <v>0</v>
      </c>
      <c r="W83" s="3" t="str">
        <f t="shared" si="2"/>
        <v>(290,null,1,'2025-11-27 00:00:00','003308010260000-33080102601','003308010260000-33080102601','小儿复合性先天性心脏畸形矫治术',null,null,14480,13040,11085,null,19500,17550,14920,'次',11,1,'normal','normal',0),</v>
      </c>
    </row>
    <row r="84" spans="1:23">
      <c r="A84">
        <v>291</v>
      </c>
      <c r="B84" s="3" t="s">
        <v>653</v>
      </c>
      <c r="C84" s="3">
        <v>1</v>
      </c>
      <c r="D84" s="4" t="s">
        <v>654</v>
      </c>
      <c r="E84" t="s">
        <v>236</v>
      </c>
      <c r="F84" t="s">
        <v>236</v>
      </c>
      <c r="G84" t="s">
        <v>237</v>
      </c>
      <c r="H84" s="3" t="s">
        <v>653</v>
      </c>
      <c r="I84" s="3" t="s">
        <v>653</v>
      </c>
      <c r="J84">
        <v>2700</v>
      </c>
      <c r="K84">
        <v>2430</v>
      </c>
      <c r="L84">
        <v>2070</v>
      </c>
      <c r="M84" s="3" t="s">
        <v>653</v>
      </c>
      <c r="N84">
        <v>3315</v>
      </c>
      <c r="O84">
        <v>2980</v>
      </c>
      <c r="P84">
        <v>2535</v>
      </c>
      <c r="Q84" t="s">
        <v>27</v>
      </c>
      <c r="R84">
        <v>11</v>
      </c>
      <c r="S84">
        <v>1</v>
      </c>
      <c r="T84" s="3" t="s">
        <v>655</v>
      </c>
      <c r="U84" s="3" t="s">
        <v>655</v>
      </c>
      <c r="V84" s="3">
        <v>0</v>
      </c>
      <c r="W84" s="3" t="str">
        <f t="shared" si="2"/>
        <v>(291,null,1,'2025-11-27 00:00:00','003310030200000-331003020','003310030200000-331003020','结肠癌根治术',null,null,2700,2430,2070,null,3315,2980,2535,'次',11,1,'normal','normal',0),</v>
      </c>
    </row>
    <row r="85" spans="1:23">
      <c r="A85">
        <v>292</v>
      </c>
      <c r="B85" s="3" t="s">
        <v>653</v>
      </c>
      <c r="C85" s="3">
        <v>1</v>
      </c>
      <c r="D85" s="4" t="s">
        <v>654</v>
      </c>
      <c r="E85" t="s">
        <v>240</v>
      </c>
      <c r="F85" t="s">
        <v>240</v>
      </c>
      <c r="G85" t="s">
        <v>241</v>
      </c>
      <c r="H85" s="3" t="s">
        <v>653</v>
      </c>
      <c r="I85" s="3" t="s">
        <v>653</v>
      </c>
      <c r="J85">
        <v>3510</v>
      </c>
      <c r="K85">
        <v>3160</v>
      </c>
      <c r="L85">
        <v>2685</v>
      </c>
      <c r="M85" s="3" t="s">
        <v>653</v>
      </c>
      <c r="N85">
        <v>4310</v>
      </c>
      <c r="O85">
        <v>3875</v>
      </c>
      <c r="P85">
        <v>3295</v>
      </c>
      <c r="Q85" t="s">
        <v>27</v>
      </c>
      <c r="R85">
        <v>11</v>
      </c>
      <c r="S85">
        <v>1</v>
      </c>
      <c r="T85" s="3" t="s">
        <v>655</v>
      </c>
      <c r="U85" s="3" t="s">
        <v>655</v>
      </c>
      <c r="V85" s="3">
        <v>0</v>
      </c>
      <c r="W85" s="3" t="str">
        <f t="shared" si="2"/>
        <v>(292,null,1,'2025-11-27 00:00:00','003310030200000-33100302001','003310030200000-33100302001','小儿结肠癌根治术',null,null,3510,3160,2685,null,4310,3875,3295,'次',11,1,'normal','normal',0),</v>
      </c>
    </row>
    <row r="86" spans="1:23">
      <c r="A86">
        <v>293</v>
      </c>
      <c r="B86" s="3" t="s">
        <v>653</v>
      </c>
      <c r="C86" s="3">
        <v>1</v>
      </c>
      <c r="D86" s="4" t="s">
        <v>654</v>
      </c>
      <c r="E86" t="s">
        <v>242</v>
      </c>
      <c r="F86" t="s">
        <v>242</v>
      </c>
      <c r="G86" t="s">
        <v>243</v>
      </c>
      <c r="H86" s="3" t="s">
        <v>653</v>
      </c>
      <c r="I86" s="3" t="s">
        <v>653</v>
      </c>
      <c r="J86">
        <v>3325</v>
      </c>
      <c r="K86">
        <v>3030</v>
      </c>
      <c r="L86">
        <v>2580</v>
      </c>
      <c r="M86" s="3" t="s">
        <v>653</v>
      </c>
      <c r="N86">
        <v>3940</v>
      </c>
      <c r="O86">
        <v>3580</v>
      </c>
      <c r="P86">
        <v>3045</v>
      </c>
      <c r="Q86" t="s">
        <v>27</v>
      </c>
      <c r="R86">
        <v>11</v>
      </c>
      <c r="S86">
        <v>1</v>
      </c>
      <c r="T86" s="3" t="s">
        <v>655</v>
      </c>
      <c r="U86" s="3" t="s">
        <v>655</v>
      </c>
      <c r="V86" s="3">
        <v>0</v>
      </c>
      <c r="W86" s="3" t="str">
        <f t="shared" si="2"/>
        <v>(293,null,1,'2025-11-27 00:00:00','003310030200001-33100302002','003310030200001-33100302002','经腹腔镜结肠癌根治术',null,null,3325,3030,2580,null,3940,3580,3045,'次',11,1,'normal','normal',0),</v>
      </c>
    </row>
    <row r="87" spans="1:23">
      <c r="A87">
        <v>294</v>
      </c>
      <c r="B87" s="3" t="s">
        <v>653</v>
      </c>
      <c r="C87" s="3">
        <v>1</v>
      </c>
      <c r="D87" s="4" t="s">
        <v>654</v>
      </c>
      <c r="E87" t="s">
        <v>244</v>
      </c>
      <c r="F87" t="s">
        <v>244</v>
      </c>
      <c r="G87" t="s">
        <v>245</v>
      </c>
      <c r="H87" s="3" t="s">
        <v>653</v>
      </c>
      <c r="I87" s="3" t="s">
        <v>653</v>
      </c>
      <c r="J87">
        <v>4135</v>
      </c>
      <c r="K87">
        <v>3760</v>
      </c>
      <c r="L87">
        <v>3195</v>
      </c>
      <c r="M87" s="3" t="s">
        <v>653</v>
      </c>
      <c r="N87">
        <v>4935</v>
      </c>
      <c r="O87">
        <v>4475</v>
      </c>
      <c r="P87">
        <v>3805</v>
      </c>
      <c r="Q87" t="s">
        <v>27</v>
      </c>
      <c r="R87">
        <v>11</v>
      </c>
      <c r="S87">
        <v>1</v>
      </c>
      <c r="T87" s="3" t="s">
        <v>655</v>
      </c>
      <c r="U87" s="3" t="s">
        <v>655</v>
      </c>
      <c r="V87" s="3">
        <v>0</v>
      </c>
      <c r="W87" s="3" t="str">
        <f t="shared" si="2"/>
        <v>(294,null,1,'2025-11-27 00:00:00','003310030200001-33100302003','003310030200001-33100302003','小儿经腹腔镜结肠癌根治术',null,null,4135,3760,3195,null,4935,4475,3805,'次',11,1,'normal','normal',0),</v>
      </c>
    </row>
    <row r="88" spans="1:23">
      <c r="A88">
        <v>295</v>
      </c>
      <c r="B88" s="3" t="s">
        <v>653</v>
      </c>
      <c r="C88" s="3">
        <v>1</v>
      </c>
      <c r="D88" s="4" t="s">
        <v>654</v>
      </c>
      <c r="E88" t="s">
        <v>246</v>
      </c>
      <c r="F88" t="s">
        <v>246</v>
      </c>
      <c r="G88" t="s">
        <v>247</v>
      </c>
      <c r="H88" s="3" t="s">
        <v>653</v>
      </c>
      <c r="I88" s="3" t="s">
        <v>653</v>
      </c>
      <c r="J88">
        <v>3880</v>
      </c>
      <c r="K88">
        <v>3490</v>
      </c>
      <c r="L88">
        <v>2970</v>
      </c>
      <c r="M88" s="3" t="s">
        <v>653</v>
      </c>
      <c r="N88">
        <v>4770</v>
      </c>
      <c r="O88">
        <v>4295</v>
      </c>
      <c r="P88">
        <v>3650</v>
      </c>
      <c r="Q88" t="s">
        <v>27</v>
      </c>
      <c r="R88">
        <v>11</v>
      </c>
      <c r="S88">
        <v>1</v>
      </c>
      <c r="T88" s="3" t="s">
        <v>655</v>
      </c>
      <c r="U88" s="3" t="s">
        <v>655</v>
      </c>
      <c r="V88" s="3">
        <v>0</v>
      </c>
      <c r="W88" s="3" t="str">
        <f t="shared" si="2"/>
        <v>(295,null,1,'2025-11-27 00:00:00','003310060040000-331006004','003310060040000-331006004','高位胆管癌根治术',null,null,3880,3490,2970,null,4770,4295,3650,'次',11,1,'normal','normal',0),</v>
      </c>
    </row>
    <row r="89" spans="1:23">
      <c r="A89">
        <v>296</v>
      </c>
      <c r="B89" s="3" t="s">
        <v>653</v>
      </c>
      <c r="C89" s="3">
        <v>1</v>
      </c>
      <c r="D89" s="4" t="s">
        <v>654</v>
      </c>
      <c r="E89" t="s">
        <v>249</v>
      </c>
      <c r="F89" t="s">
        <v>249</v>
      </c>
      <c r="G89" t="s">
        <v>250</v>
      </c>
      <c r="H89" s="3" t="s">
        <v>653</v>
      </c>
      <c r="I89" s="3" t="s">
        <v>653</v>
      </c>
      <c r="J89">
        <v>5045</v>
      </c>
      <c r="K89">
        <v>4535</v>
      </c>
      <c r="L89">
        <v>3855</v>
      </c>
      <c r="M89" s="3" t="s">
        <v>653</v>
      </c>
      <c r="N89">
        <v>6200</v>
      </c>
      <c r="O89">
        <v>5585</v>
      </c>
      <c r="P89">
        <v>4745</v>
      </c>
      <c r="Q89" t="s">
        <v>27</v>
      </c>
      <c r="R89">
        <v>11</v>
      </c>
      <c r="S89">
        <v>1</v>
      </c>
      <c r="T89" s="3" t="s">
        <v>655</v>
      </c>
      <c r="U89" s="3" t="s">
        <v>655</v>
      </c>
      <c r="V89" s="3">
        <v>0</v>
      </c>
      <c r="W89" s="3" t="str">
        <f t="shared" si="2"/>
        <v>(296,null,1,'2025-11-27 00:00:00','003310060040000-33100600401','003310060040000-33100600401','小儿高位胆管癌根治术',null,null,5045,4535,3855,null,6200,5585,4745,'次',11,1,'normal','normal',0),</v>
      </c>
    </row>
    <row r="90" spans="1:23">
      <c r="A90">
        <v>297</v>
      </c>
      <c r="B90" s="3" t="s">
        <v>653</v>
      </c>
      <c r="C90" s="3">
        <v>1</v>
      </c>
      <c r="D90" s="4" t="s">
        <v>654</v>
      </c>
      <c r="E90" t="s">
        <v>251</v>
      </c>
      <c r="F90" t="s">
        <v>251</v>
      </c>
      <c r="G90" t="s">
        <v>252</v>
      </c>
      <c r="H90" s="3" t="s">
        <v>653</v>
      </c>
      <c r="I90" s="3" t="s">
        <v>653</v>
      </c>
      <c r="J90">
        <v>4505</v>
      </c>
      <c r="K90">
        <v>4090</v>
      </c>
      <c r="L90">
        <v>3480</v>
      </c>
      <c r="M90" s="3" t="s">
        <v>653</v>
      </c>
      <c r="N90">
        <v>5395</v>
      </c>
      <c r="O90">
        <v>4895</v>
      </c>
      <c r="P90">
        <v>4160</v>
      </c>
      <c r="Q90" t="s">
        <v>27</v>
      </c>
      <c r="R90">
        <v>11</v>
      </c>
      <c r="S90">
        <v>1</v>
      </c>
      <c r="T90" s="3" t="s">
        <v>655</v>
      </c>
      <c r="U90" s="3" t="s">
        <v>655</v>
      </c>
      <c r="V90" s="3">
        <v>0</v>
      </c>
      <c r="W90" s="3" t="str">
        <f t="shared" si="2"/>
        <v>(297,null,1,'2025-11-27 00:00:00','003310060040000-33100600402','003310060040000-33100600402','经腹腔镜高位胆管癌根治术',null,null,4505,4090,3480,null,5395,4895,4160,'次',11,1,'normal','normal',0),</v>
      </c>
    </row>
    <row r="91" spans="1:23">
      <c r="A91">
        <v>298</v>
      </c>
      <c r="B91" s="3" t="s">
        <v>653</v>
      </c>
      <c r="C91" s="3">
        <v>1</v>
      </c>
      <c r="D91" s="4" t="s">
        <v>654</v>
      </c>
      <c r="E91" t="s">
        <v>253</v>
      </c>
      <c r="F91" t="s">
        <v>253</v>
      </c>
      <c r="G91" t="s">
        <v>254</v>
      </c>
      <c r="H91" s="3" t="s">
        <v>653</v>
      </c>
      <c r="I91" s="3" t="s">
        <v>653</v>
      </c>
      <c r="J91">
        <v>5670</v>
      </c>
      <c r="K91">
        <v>5135</v>
      </c>
      <c r="L91">
        <v>4365</v>
      </c>
      <c r="M91" s="3" t="s">
        <v>653</v>
      </c>
      <c r="N91">
        <v>6825</v>
      </c>
      <c r="O91">
        <v>6185</v>
      </c>
      <c r="P91">
        <v>5255</v>
      </c>
      <c r="Q91" t="s">
        <v>27</v>
      </c>
      <c r="R91">
        <v>11</v>
      </c>
      <c r="S91">
        <v>1</v>
      </c>
      <c r="T91" s="3" t="s">
        <v>655</v>
      </c>
      <c r="U91" s="3" t="s">
        <v>655</v>
      </c>
      <c r="V91" s="3">
        <v>0</v>
      </c>
      <c r="W91" s="3" t="str">
        <f t="shared" si="2"/>
        <v>(298,null,1,'2025-11-27 00:00:00','003310060040000-33100600403','003310060040000-33100600403','小儿经腹腔镜高位胆管癌根治术',null,null,5670,5135,4365,null,6825,6185,5255,'次',11,1,'normal','normal',0),</v>
      </c>
    </row>
    <row r="92" spans="1:23">
      <c r="A92">
        <v>299</v>
      </c>
      <c r="B92" s="3" t="s">
        <v>653</v>
      </c>
      <c r="C92" s="3">
        <v>1</v>
      </c>
      <c r="D92" s="4" t="s">
        <v>654</v>
      </c>
      <c r="E92" t="s">
        <v>259</v>
      </c>
      <c r="F92" t="s">
        <v>259</v>
      </c>
      <c r="G92" t="s">
        <v>260</v>
      </c>
      <c r="H92" s="3" t="s">
        <v>653</v>
      </c>
      <c r="I92" s="3" t="s">
        <v>653</v>
      </c>
      <c r="J92">
        <v>3020</v>
      </c>
      <c r="K92">
        <v>2720</v>
      </c>
      <c r="L92">
        <v>2310</v>
      </c>
      <c r="M92" s="3" t="s">
        <v>653</v>
      </c>
      <c r="N92">
        <v>3635</v>
      </c>
      <c r="O92">
        <v>3270</v>
      </c>
      <c r="P92">
        <v>2780</v>
      </c>
      <c r="Q92" t="s">
        <v>27</v>
      </c>
      <c r="R92">
        <v>11</v>
      </c>
      <c r="S92">
        <v>1</v>
      </c>
      <c r="T92" s="3" t="s">
        <v>655</v>
      </c>
      <c r="U92" s="3" t="s">
        <v>655</v>
      </c>
      <c r="V92" s="3">
        <v>0</v>
      </c>
      <c r="W92" s="3" t="str">
        <f t="shared" si="2"/>
        <v>(299,null,1,'2025-11-27 00:00:00','003312010060000-33120100601','003312010060000-33120100601','经尿道前列腺电切术（电切法）',null,null,3020,2720,2310,null,3635,3270,2780,'次',11,1,'normal','normal',0),</v>
      </c>
    </row>
    <row r="93" spans="1:23">
      <c r="A93">
        <v>300</v>
      </c>
      <c r="B93" s="3" t="s">
        <v>653</v>
      </c>
      <c r="C93" s="3">
        <v>1</v>
      </c>
      <c r="D93" s="4" t="s">
        <v>654</v>
      </c>
      <c r="E93" t="s">
        <v>262</v>
      </c>
      <c r="F93" t="s">
        <v>262</v>
      </c>
      <c r="G93" t="s">
        <v>263</v>
      </c>
      <c r="H93" s="3" t="s">
        <v>653</v>
      </c>
      <c r="I93" s="3" t="s">
        <v>653</v>
      </c>
      <c r="J93">
        <v>3925</v>
      </c>
      <c r="K93">
        <v>3535</v>
      </c>
      <c r="L93">
        <v>3005</v>
      </c>
      <c r="M93" s="3" t="s">
        <v>653</v>
      </c>
      <c r="N93">
        <v>4725</v>
      </c>
      <c r="O93">
        <v>4250</v>
      </c>
      <c r="P93">
        <v>3615</v>
      </c>
      <c r="Q93" t="s">
        <v>27</v>
      </c>
      <c r="R93">
        <v>11</v>
      </c>
      <c r="S93">
        <v>1</v>
      </c>
      <c r="T93" s="3" t="s">
        <v>655</v>
      </c>
      <c r="U93" s="3" t="s">
        <v>655</v>
      </c>
      <c r="V93" s="3">
        <v>0</v>
      </c>
      <c r="W93" s="3" t="str">
        <f t="shared" si="2"/>
        <v>(300,null,1,'2025-11-27 00:00:00','003312010060000-33120100604','003312010060000-33120100604','小儿经尿道前列腺电切术（电切法）',null,null,3925,3535,3005,null,4725,4250,3615,'次',11,1,'normal','normal',0),</v>
      </c>
    </row>
    <row r="94" spans="1:23">
      <c r="A94">
        <v>301</v>
      </c>
      <c r="B94" s="3" t="s">
        <v>653</v>
      </c>
      <c r="C94" s="3">
        <v>1</v>
      </c>
      <c r="D94" s="4" t="s">
        <v>654</v>
      </c>
      <c r="E94" t="s">
        <v>264</v>
      </c>
      <c r="F94" t="s">
        <v>264</v>
      </c>
      <c r="G94" t="s">
        <v>265</v>
      </c>
      <c r="H94" s="3" t="s">
        <v>653</v>
      </c>
      <c r="I94" s="3" t="s">
        <v>653</v>
      </c>
      <c r="J94">
        <v>2530</v>
      </c>
      <c r="K94">
        <v>2280</v>
      </c>
      <c r="L94">
        <v>1940</v>
      </c>
      <c r="M94" s="3" t="s">
        <v>653</v>
      </c>
      <c r="N94">
        <v>2760</v>
      </c>
      <c r="O94">
        <v>2485</v>
      </c>
      <c r="P94">
        <v>2115</v>
      </c>
      <c r="Q94" t="s">
        <v>268</v>
      </c>
      <c r="R94">
        <v>11</v>
      </c>
      <c r="S94">
        <v>1</v>
      </c>
      <c r="T94" s="3" t="s">
        <v>655</v>
      </c>
      <c r="U94" s="3" t="s">
        <v>655</v>
      </c>
      <c r="V94" s="3">
        <v>0</v>
      </c>
      <c r="W94" s="3" t="str">
        <f t="shared" si="2"/>
        <v>(301,null,1,'2025-11-27 00:00:00','003315010360000-331501036','003315010360000-331501036','椎管扩大减压术',null,null,2530,2280,1940,null,2760,2485,2115,'每节椎板',11,1,'normal','normal',0),</v>
      </c>
    </row>
    <row r="95" spans="1:23">
      <c r="A95">
        <v>302</v>
      </c>
      <c r="B95" s="3" t="s">
        <v>653</v>
      </c>
      <c r="C95" s="3">
        <v>1</v>
      </c>
      <c r="D95" s="4" t="s">
        <v>654</v>
      </c>
      <c r="E95" t="s">
        <v>269</v>
      </c>
      <c r="F95" t="s">
        <v>269</v>
      </c>
      <c r="G95" t="s">
        <v>270</v>
      </c>
      <c r="H95" s="3" t="s">
        <v>653</v>
      </c>
      <c r="I95" s="3" t="s">
        <v>653</v>
      </c>
      <c r="J95">
        <v>3250</v>
      </c>
      <c r="K95">
        <v>2930</v>
      </c>
      <c r="L95">
        <v>2495</v>
      </c>
      <c r="M95" s="3" t="s">
        <v>653</v>
      </c>
      <c r="N95">
        <v>3590</v>
      </c>
      <c r="O95">
        <v>3230</v>
      </c>
      <c r="P95">
        <v>2750</v>
      </c>
      <c r="Q95" t="s">
        <v>268</v>
      </c>
      <c r="R95">
        <v>11</v>
      </c>
      <c r="S95">
        <v>1</v>
      </c>
      <c r="T95" s="3" t="s">
        <v>655</v>
      </c>
      <c r="U95" s="3" t="s">
        <v>655</v>
      </c>
      <c r="V95" s="3">
        <v>0</v>
      </c>
      <c r="W95" s="3" t="str">
        <f t="shared" si="2"/>
        <v>(302,null,1,'2025-11-27 00:00:00','003315010360001-33150103601','003315010360001-33150103601','椎管扩大减压术（增加神经根管减压）',null,null,3250,2930,2495,null,3590,3230,2750,'每节椎板',11,1,'normal','normal',0),</v>
      </c>
    </row>
    <row r="96" spans="1:23">
      <c r="A96">
        <v>303</v>
      </c>
      <c r="B96" s="3" t="s">
        <v>653</v>
      </c>
      <c r="C96" s="3">
        <v>1</v>
      </c>
      <c r="D96" s="4" t="s">
        <v>654</v>
      </c>
      <c r="E96" t="s">
        <v>272</v>
      </c>
      <c r="F96" t="s">
        <v>272</v>
      </c>
      <c r="G96" t="s">
        <v>273</v>
      </c>
      <c r="H96" s="3" t="s">
        <v>653</v>
      </c>
      <c r="I96" s="3" t="s">
        <v>653</v>
      </c>
      <c r="J96">
        <v>2530</v>
      </c>
      <c r="K96">
        <v>2280</v>
      </c>
      <c r="L96">
        <v>1940</v>
      </c>
      <c r="M96" s="3" t="s">
        <v>653</v>
      </c>
      <c r="N96">
        <v>2760</v>
      </c>
      <c r="O96">
        <v>2485</v>
      </c>
      <c r="P96">
        <v>2115</v>
      </c>
      <c r="Q96" t="s">
        <v>268</v>
      </c>
      <c r="R96">
        <v>11</v>
      </c>
      <c r="S96">
        <v>1</v>
      </c>
      <c r="T96" s="3" t="s">
        <v>655</v>
      </c>
      <c r="U96" s="3" t="s">
        <v>655</v>
      </c>
      <c r="V96" s="3">
        <v>0</v>
      </c>
      <c r="W96" s="3" t="str">
        <f t="shared" si="2"/>
        <v>(303,null,1,'2025-11-27 00:00:00','003315010360100-33150103602','003315010360100-33150103602','椎管扩大减压术（多节段椎管狭窄减压）',null,null,2530,2280,1940,null,2760,2485,2115,'每节椎板',11,1,'normal','normal',0),</v>
      </c>
    </row>
    <row r="97" spans="1:23">
      <c r="A97">
        <v>304</v>
      </c>
      <c r="B97" s="3" t="s">
        <v>653</v>
      </c>
      <c r="C97" s="3">
        <v>1</v>
      </c>
      <c r="D97" s="4" t="s">
        <v>654</v>
      </c>
      <c r="E97" t="s">
        <v>275</v>
      </c>
      <c r="F97" t="s">
        <v>275</v>
      </c>
      <c r="G97" t="s">
        <v>276</v>
      </c>
      <c r="H97" s="3" t="s">
        <v>653</v>
      </c>
      <c r="I97" s="3" t="s">
        <v>653</v>
      </c>
      <c r="J97">
        <v>3290</v>
      </c>
      <c r="K97">
        <v>2965</v>
      </c>
      <c r="L97">
        <v>2520</v>
      </c>
      <c r="M97" s="3" t="s">
        <v>653</v>
      </c>
      <c r="N97">
        <v>3590</v>
      </c>
      <c r="O97">
        <v>3230</v>
      </c>
      <c r="P97">
        <v>2750</v>
      </c>
      <c r="Q97" t="s">
        <v>268</v>
      </c>
      <c r="R97">
        <v>11</v>
      </c>
      <c r="S97">
        <v>1</v>
      </c>
      <c r="T97" s="3" t="s">
        <v>655</v>
      </c>
      <c r="U97" s="3" t="s">
        <v>655</v>
      </c>
      <c r="V97" s="3">
        <v>0</v>
      </c>
      <c r="W97" s="3" t="str">
        <f t="shared" si="2"/>
        <v>(304,null,1,'2025-11-27 00:00:00','003315010360000-33150103603','003315010360000-33150103603','小儿椎管扩大减压术',null,null,3290,2965,2520,null,3590,3230,2750,'每节椎板',11,1,'normal','normal',0),</v>
      </c>
    </row>
    <row r="98" spans="1:23">
      <c r="A98">
        <v>305</v>
      </c>
      <c r="B98" s="3" t="s">
        <v>653</v>
      </c>
      <c r="C98" s="3">
        <v>1</v>
      </c>
      <c r="D98" s="4" t="s">
        <v>654</v>
      </c>
      <c r="E98" t="s">
        <v>277</v>
      </c>
      <c r="F98" t="s">
        <v>277</v>
      </c>
      <c r="G98" t="s">
        <v>278</v>
      </c>
      <c r="H98" s="3" t="s">
        <v>653</v>
      </c>
      <c r="I98" s="3" t="s">
        <v>653</v>
      </c>
      <c r="J98">
        <v>4225</v>
      </c>
      <c r="K98">
        <v>3810</v>
      </c>
      <c r="L98">
        <v>3240</v>
      </c>
      <c r="M98" s="3" t="s">
        <v>653</v>
      </c>
      <c r="N98">
        <v>4665</v>
      </c>
      <c r="O98">
        <v>4200</v>
      </c>
      <c r="P98">
        <v>3575</v>
      </c>
      <c r="Q98" t="s">
        <v>268</v>
      </c>
      <c r="R98">
        <v>11</v>
      </c>
      <c r="S98">
        <v>1</v>
      </c>
      <c r="T98" s="3" t="s">
        <v>655</v>
      </c>
      <c r="U98" s="3" t="s">
        <v>655</v>
      </c>
      <c r="V98" s="3">
        <v>0</v>
      </c>
      <c r="W98" s="3" t="str">
        <f t="shared" ref="W98:W129" si="3">"("&amp;A98&amp;","&amp;B98&amp;","&amp;C98&amp;",'"&amp;D98&amp;"','"&amp;E98&amp;"','"&amp;F98&amp;"','"&amp;G98&amp;"',"&amp;H98&amp;","&amp;I98&amp;","&amp;J98&amp;","&amp;K98&amp;","&amp;L98&amp;","&amp;M98&amp;","&amp;N98&amp;","&amp;O98&amp;","&amp;P98&amp;",'"&amp;Q98&amp;"',"&amp;R98&amp;","&amp;S98&amp;",'"&amp;T98&amp;"','"&amp;U98&amp;"',"&amp;V98&amp;"),"</f>
        <v>(305,null,1,'2025-11-27 00:00:00','003315010360001-33150103604','003315010360001-33150103604','小儿椎管扩大减压术（增加神经根管减压）',null,null,4225,3810,3240,null,4665,4200,3575,'每节椎板',11,1,'normal','normal',0),</v>
      </c>
    </row>
    <row r="99" spans="1:23">
      <c r="A99">
        <v>306</v>
      </c>
      <c r="B99" s="3" t="s">
        <v>653</v>
      </c>
      <c r="C99" s="3">
        <v>1</v>
      </c>
      <c r="D99" s="4" t="s">
        <v>654</v>
      </c>
      <c r="E99" t="s">
        <v>279</v>
      </c>
      <c r="F99" t="s">
        <v>279</v>
      </c>
      <c r="G99" t="s">
        <v>280</v>
      </c>
      <c r="H99" s="3" t="s">
        <v>653</v>
      </c>
      <c r="I99" s="3" t="s">
        <v>653</v>
      </c>
      <c r="J99">
        <v>3290</v>
      </c>
      <c r="K99">
        <v>2965</v>
      </c>
      <c r="L99">
        <v>2520</v>
      </c>
      <c r="M99" s="3" t="s">
        <v>653</v>
      </c>
      <c r="N99">
        <v>3590</v>
      </c>
      <c r="O99">
        <v>3230</v>
      </c>
      <c r="P99">
        <v>2750</v>
      </c>
      <c r="Q99" t="s">
        <v>268</v>
      </c>
      <c r="R99">
        <v>11</v>
      </c>
      <c r="S99">
        <v>1</v>
      </c>
      <c r="T99" s="3" t="s">
        <v>655</v>
      </c>
      <c r="U99" s="3" t="s">
        <v>655</v>
      </c>
      <c r="V99" s="3">
        <v>0</v>
      </c>
      <c r="W99" s="3" t="str">
        <f t="shared" si="3"/>
        <v>(306,null,1,'2025-11-27 00:00:00','003315010360100-33150103605','003315010360100-33150103605','小儿椎管扩大减压术（多节段椎管狭窄减压）',null,null,3290,2965,2520,null,3590,3230,2750,'每节椎板',11,1,'normal','normal',0),</v>
      </c>
    </row>
    <row r="100" spans="1:23">
      <c r="A100">
        <v>307</v>
      </c>
      <c r="B100" s="3" t="s">
        <v>653</v>
      </c>
      <c r="C100" s="3">
        <v>1</v>
      </c>
      <c r="D100" s="4" t="s">
        <v>654</v>
      </c>
      <c r="E100" t="s">
        <v>281</v>
      </c>
      <c r="F100" t="s">
        <v>281</v>
      </c>
      <c r="G100" t="s">
        <v>282</v>
      </c>
      <c r="H100" s="3" t="s">
        <v>653</v>
      </c>
      <c r="I100" s="3" t="s">
        <v>653</v>
      </c>
      <c r="J100">
        <v>2700</v>
      </c>
      <c r="K100">
        <v>2430</v>
      </c>
      <c r="L100">
        <v>2070</v>
      </c>
      <c r="M100" s="3" t="s">
        <v>653</v>
      </c>
      <c r="N100">
        <v>3200</v>
      </c>
      <c r="O100">
        <v>2880</v>
      </c>
      <c r="P100">
        <v>2425</v>
      </c>
      <c r="Q100" t="s">
        <v>268</v>
      </c>
      <c r="R100">
        <v>11</v>
      </c>
      <c r="S100">
        <v>1</v>
      </c>
      <c r="T100" s="3" t="s">
        <v>655</v>
      </c>
      <c r="U100" s="3" t="s">
        <v>655</v>
      </c>
      <c r="V100" s="3">
        <v>0</v>
      </c>
      <c r="W100" s="3" t="str">
        <f t="shared" si="3"/>
        <v>(307,null,1,'2025-11-27 00:00:00','003315010370000-331501037','003315010370000-331501037','椎管扩大成形术',null,null,2700,2430,2070,null,3200,2880,2425,'每节椎板',11,1,'normal','normal',0),</v>
      </c>
    </row>
    <row r="101" spans="1:23">
      <c r="A101">
        <v>308</v>
      </c>
      <c r="B101" s="3" t="s">
        <v>653</v>
      </c>
      <c r="C101" s="3">
        <v>1</v>
      </c>
      <c r="D101" s="4" t="s">
        <v>654</v>
      </c>
      <c r="E101" t="s">
        <v>284</v>
      </c>
      <c r="F101" t="s">
        <v>284</v>
      </c>
      <c r="G101" t="s">
        <v>285</v>
      </c>
      <c r="H101" s="3" t="s">
        <v>653</v>
      </c>
      <c r="I101" s="3" t="s">
        <v>653</v>
      </c>
      <c r="J101">
        <v>3460</v>
      </c>
      <c r="K101">
        <v>3110</v>
      </c>
      <c r="L101">
        <v>2640</v>
      </c>
      <c r="M101" s="3" t="s">
        <v>653</v>
      </c>
      <c r="N101">
        <v>4770</v>
      </c>
      <c r="O101">
        <v>4295</v>
      </c>
      <c r="P101">
        <v>3650</v>
      </c>
      <c r="Q101" t="s">
        <v>287</v>
      </c>
      <c r="R101">
        <v>11</v>
      </c>
      <c r="S101">
        <v>1</v>
      </c>
      <c r="T101" s="3" t="s">
        <v>655</v>
      </c>
      <c r="U101" s="3" t="s">
        <v>655</v>
      </c>
      <c r="V101" s="3">
        <v>0</v>
      </c>
      <c r="W101" s="3" t="str">
        <f t="shared" si="3"/>
        <v>(308,null,1,'2025-11-27 00:00:00','003315010370000-33150103701','003315010370000-33150103701','椎管扩大成形术(两节)',null,null,3460,3110,2640,null,4770,4295,3650,'两节椎板',11,1,'normal','normal',0),</v>
      </c>
    </row>
    <row r="102" spans="1:23">
      <c r="A102">
        <v>309</v>
      </c>
      <c r="B102" s="3" t="s">
        <v>653</v>
      </c>
      <c r="C102" s="3">
        <v>1</v>
      </c>
      <c r="D102" s="4" t="s">
        <v>654</v>
      </c>
      <c r="E102" t="s">
        <v>288</v>
      </c>
      <c r="F102" t="s">
        <v>288</v>
      </c>
      <c r="G102" t="s">
        <v>289</v>
      </c>
      <c r="H102" s="3" t="s">
        <v>653</v>
      </c>
      <c r="I102" s="3" t="s">
        <v>653</v>
      </c>
      <c r="J102">
        <v>3920</v>
      </c>
      <c r="K102">
        <v>3530</v>
      </c>
      <c r="L102">
        <v>3000</v>
      </c>
      <c r="M102" s="3" t="s">
        <v>653</v>
      </c>
      <c r="N102">
        <v>5400</v>
      </c>
      <c r="O102">
        <v>4860</v>
      </c>
      <c r="P102">
        <v>4130</v>
      </c>
      <c r="Q102" t="s">
        <v>291</v>
      </c>
      <c r="R102">
        <v>11</v>
      </c>
      <c r="S102">
        <v>1</v>
      </c>
      <c r="T102" s="3" t="s">
        <v>655</v>
      </c>
      <c r="U102" s="3" t="s">
        <v>655</v>
      </c>
      <c r="V102" s="3">
        <v>0</v>
      </c>
      <c r="W102" s="3" t="str">
        <f t="shared" si="3"/>
        <v>(309,null,1,'2025-11-27 00:00:00','003315010370000-33150103702','003315010370000-33150103702','椎管扩大成形术(三节及以上)',null,null,3920,3530,3000,null,5400,4860,4130,'三节椎板',11,1,'normal','normal',0),</v>
      </c>
    </row>
    <row r="103" spans="1:23">
      <c r="A103">
        <v>310</v>
      </c>
      <c r="B103" s="3" t="s">
        <v>653</v>
      </c>
      <c r="C103" s="3">
        <v>1</v>
      </c>
      <c r="D103" s="4" t="s">
        <v>654</v>
      </c>
      <c r="E103" t="s">
        <v>292</v>
      </c>
      <c r="F103" t="s">
        <v>292</v>
      </c>
      <c r="G103" t="s">
        <v>293</v>
      </c>
      <c r="H103" s="3" t="s">
        <v>653</v>
      </c>
      <c r="I103" s="3" t="s">
        <v>653</v>
      </c>
      <c r="J103">
        <v>3510</v>
      </c>
      <c r="K103">
        <v>3160</v>
      </c>
      <c r="L103">
        <v>2685</v>
      </c>
      <c r="M103" s="3" t="s">
        <v>653</v>
      </c>
      <c r="N103">
        <v>4160</v>
      </c>
      <c r="O103">
        <v>3745</v>
      </c>
      <c r="P103">
        <v>3155</v>
      </c>
      <c r="Q103" t="s">
        <v>268</v>
      </c>
      <c r="R103">
        <v>11</v>
      </c>
      <c r="S103">
        <v>1</v>
      </c>
      <c r="T103" s="3" t="s">
        <v>655</v>
      </c>
      <c r="U103" s="3" t="s">
        <v>655</v>
      </c>
      <c r="V103" s="3">
        <v>0</v>
      </c>
      <c r="W103" s="3" t="str">
        <f t="shared" si="3"/>
        <v>(310,null,1,'2025-11-27 00:00:00','003315010370000-33150103703','003315010370000-33150103703','小儿椎管扩大成形术',null,null,3510,3160,2685,null,4160,3745,3155,'每节椎板',11,1,'normal','normal',0),</v>
      </c>
    </row>
    <row r="104" spans="1:23">
      <c r="A104">
        <v>311</v>
      </c>
      <c r="B104" s="3" t="s">
        <v>653</v>
      </c>
      <c r="C104" s="3">
        <v>1</v>
      </c>
      <c r="D104" s="4" t="s">
        <v>654</v>
      </c>
      <c r="E104" t="s">
        <v>294</v>
      </c>
      <c r="F104" t="s">
        <v>294</v>
      </c>
      <c r="G104" t="s">
        <v>295</v>
      </c>
      <c r="H104" s="3" t="s">
        <v>653</v>
      </c>
      <c r="I104" s="3" t="s">
        <v>653</v>
      </c>
      <c r="J104">
        <v>4500</v>
      </c>
      <c r="K104">
        <v>4045</v>
      </c>
      <c r="L104">
        <v>3440</v>
      </c>
      <c r="M104" s="3" t="s">
        <v>653</v>
      </c>
      <c r="N104">
        <v>6200</v>
      </c>
      <c r="O104">
        <v>5585</v>
      </c>
      <c r="P104">
        <v>4745</v>
      </c>
      <c r="Q104" t="s">
        <v>287</v>
      </c>
      <c r="R104">
        <v>11</v>
      </c>
      <c r="S104">
        <v>1</v>
      </c>
      <c r="T104" s="3" t="s">
        <v>655</v>
      </c>
      <c r="U104" s="3" t="s">
        <v>655</v>
      </c>
      <c r="V104" s="3">
        <v>0</v>
      </c>
      <c r="W104" s="3" t="str">
        <f t="shared" si="3"/>
        <v>(311,null,1,'2025-11-27 00:00:00','003315010370000-33150103704','003315010370000-33150103704','小儿椎管扩大成形术(两节)',null,null,4500,4045,3440,null,6200,5585,4745,'两节椎板',11,1,'normal','normal',0),</v>
      </c>
    </row>
    <row r="105" spans="1:23">
      <c r="A105">
        <v>312</v>
      </c>
      <c r="B105" s="3" t="s">
        <v>653</v>
      </c>
      <c r="C105" s="3">
        <v>1</v>
      </c>
      <c r="D105" s="4" t="s">
        <v>654</v>
      </c>
      <c r="E105" t="s">
        <v>296</v>
      </c>
      <c r="F105" t="s">
        <v>296</v>
      </c>
      <c r="G105" t="s">
        <v>297</v>
      </c>
      <c r="H105" s="3" t="s">
        <v>653</v>
      </c>
      <c r="I105" s="3" t="s">
        <v>653</v>
      </c>
      <c r="J105">
        <v>5095</v>
      </c>
      <c r="K105">
        <v>4590</v>
      </c>
      <c r="L105">
        <v>3900</v>
      </c>
      <c r="M105" s="3" t="s">
        <v>653</v>
      </c>
      <c r="N105">
        <v>7020</v>
      </c>
      <c r="O105">
        <v>6320</v>
      </c>
      <c r="P105">
        <v>5370</v>
      </c>
      <c r="Q105" t="s">
        <v>291</v>
      </c>
      <c r="R105">
        <v>11</v>
      </c>
      <c r="S105">
        <v>1</v>
      </c>
      <c r="T105" s="3" t="s">
        <v>655</v>
      </c>
      <c r="U105" s="3" t="s">
        <v>655</v>
      </c>
      <c r="V105" s="3">
        <v>0</v>
      </c>
      <c r="W105" s="3" t="str">
        <f t="shared" si="3"/>
        <v>(312,null,1,'2025-11-27 00:00:00','003315010370000-33150103705','003315010370000-33150103705','小儿椎管扩大成形术(三节及以上)',null,null,5095,4590,3900,null,7020,6320,5370,'三节椎板',11,1,'normal','normal',0),</v>
      </c>
    </row>
    <row r="106" spans="1:23">
      <c r="A106">
        <v>313</v>
      </c>
      <c r="B106" s="3" t="s">
        <v>653</v>
      </c>
      <c r="C106" s="3">
        <v>1</v>
      </c>
      <c r="D106" s="4" t="s">
        <v>654</v>
      </c>
      <c r="E106" t="s">
        <v>299</v>
      </c>
      <c r="F106" t="s">
        <v>299</v>
      </c>
      <c r="G106" t="s">
        <v>300</v>
      </c>
      <c r="H106" s="3" t="s">
        <v>653</v>
      </c>
      <c r="I106" s="3" t="s">
        <v>653</v>
      </c>
      <c r="J106">
        <v>1625</v>
      </c>
      <c r="K106">
        <v>1560</v>
      </c>
      <c r="L106">
        <v>1326</v>
      </c>
      <c r="M106" s="3" t="s">
        <v>653</v>
      </c>
      <c r="N106">
        <v>2060</v>
      </c>
      <c r="O106">
        <v>1855</v>
      </c>
      <c r="P106">
        <v>1575</v>
      </c>
      <c r="Q106" t="s">
        <v>303</v>
      </c>
      <c r="R106">
        <v>11</v>
      </c>
      <c r="S106">
        <v>1</v>
      </c>
      <c r="T106" s="3" t="s">
        <v>655</v>
      </c>
      <c r="U106" s="3" t="s">
        <v>655</v>
      </c>
      <c r="V106" s="3">
        <v>0</v>
      </c>
      <c r="W106" s="3" t="str">
        <f t="shared" si="3"/>
        <v>(313,null,1,'2025-11-27 00:00:00','003315010380000-331501038','003315010380000-331501038','腰椎间盘突出摘除术',null,null,1625,1560,1326,null,2060,1855,1575,'每节间盘',11,1,'normal','normal',0),</v>
      </c>
    </row>
    <row r="107" spans="1:23">
      <c r="A107">
        <v>314</v>
      </c>
      <c r="B107" s="3" t="s">
        <v>653</v>
      </c>
      <c r="C107" s="3">
        <v>1</v>
      </c>
      <c r="D107" s="4" t="s">
        <v>654</v>
      </c>
      <c r="E107" t="s">
        <v>304</v>
      </c>
      <c r="F107" t="s">
        <v>304</v>
      </c>
      <c r="G107" t="s">
        <v>305</v>
      </c>
      <c r="H107" s="3" t="s">
        <v>653</v>
      </c>
      <c r="I107" s="3" t="s">
        <v>653</v>
      </c>
      <c r="J107">
        <v>2437.5</v>
      </c>
      <c r="K107">
        <v>2340</v>
      </c>
      <c r="L107">
        <v>1989</v>
      </c>
      <c r="M107" s="3" t="s">
        <v>653</v>
      </c>
      <c r="N107">
        <v>3090</v>
      </c>
      <c r="O107">
        <v>2782.5</v>
      </c>
      <c r="P107">
        <v>2362.5</v>
      </c>
      <c r="Q107" t="s">
        <v>306</v>
      </c>
      <c r="R107">
        <v>11</v>
      </c>
      <c r="S107">
        <v>1</v>
      </c>
      <c r="T107" s="3" t="s">
        <v>655</v>
      </c>
      <c r="U107" s="3" t="s">
        <v>655</v>
      </c>
      <c r="V107" s="3">
        <v>0</v>
      </c>
      <c r="W107" s="3" t="str">
        <f t="shared" si="3"/>
        <v>(314,null,1,'2025-11-27 00:00:00','003315010380000-33150103801','003315010380000-33150103801','腰椎间盘突出摘除术（两节）',null,null,2437.5,2340,1989,null,3090,2782.5,2362.5,'二节间盘',11,1,'normal','normal',0),</v>
      </c>
    </row>
    <row r="108" spans="1:23">
      <c r="A108">
        <v>315</v>
      </c>
      <c r="B108" s="3" t="s">
        <v>653</v>
      </c>
      <c r="C108" s="3">
        <v>1</v>
      </c>
      <c r="D108" s="4" t="s">
        <v>654</v>
      </c>
      <c r="E108" t="s">
        <v>307</v>
      </c>
      <c r="F108" t="s">
        <v>307</v>
      </c>
      <c r="G108" t="s">
        <v>308</v>
      </c>
      <c r="H108" s="3" t="s">
        <v>653</v>
      </c>
      <c r="I108" s="3" t="s">
        <v>653</v>
      </c>
      <c r="J108">
        <v>2762.5</v>
      </c>
      <c r="K108">
        <v>2652</v>
      </c>
      <c r="L108">
        <v>2254.2</v>
      </c>
      <c r="M108" s="3" t="s">
        <v>653</v>
      </c>
      <c r="N108">
        <v>3502</v>
      </c>
      <c r="O108">
        <v>3153.5</v>
      </c>
      <c r="P108">
        <v>2677.5</v>
      </c>
      <c r="Q108" t="s">
        <v>309</v>
      </c>
      <c r="R108">
        <v>11</v>
      </c>
      <c r="S108">
        <v>1</v>
      </c>
      <c r="T108" s="3" t="s">
        <v>655</v>
      </c>
      <c r="U108" s="3" t="s">
        <v>655</v>
      </c>
      <c r="V108" s="3">
        <v>0</v>
      </c>
      <c r="W108" s="3" t="str">
        <f t="shared" si="3"/>
        <v>(315,null,1,'2025-11-27 00:00:00','003315010380000-33150103802','003315010380000-33150103802','腰椎间盘突出摘除术（三节及以上）',null,null,2762.5,2652,2254.2,null,3502,3153.5,2677.5,'三节间盘',11,1,'normal','normal',0),</v>
      </c>
    </row>
    <row r="109" spans="1:23">
      <c r="A109">
        <v>316</v>
      </c>
      <c r="B109" s="3" t="s">
        <v>653</v>
      </c>
      <c r="C109" s="3">
        <v>1</v>
      </c>
      <c r="D109" s="4" t="s">
        <v>654</v>
      </c>
      <c r="E109" t="s">
        <v>310</v>
      </c>
      <c r="F109" t="s">
        <v>310</v>
      </c>
      <c r="G109" t="s">
        <v>311</v>
      </c>
      <c r="H109" s="3" t="s">
        <v>653</v>
      </c>
      <c r="I109" s="3" t="s">
        <v>653</v>
      </c>
      <c r="J109">
        <v>2115</v>
      </c>
      <c r="K109">
        <v>2030</v>
      </c>
      <c r="L109">
        <v>1725</v>
      </c>
      <c r="M109" s="3" t="s">
        <v>653</v>
      </c>
      <c r="N109">
        <v>2680</v>
      </c>
      <c r="O109">
        <v>2410</v>
      </c>
      <c r="P109">
        <v>2050</v>
      </c>
      <c r="Q109" t="s">
        <v>303</v>
      </c>
      <c r="R109">
        <v>11</v>
      </c>
      <c r="S109">
        <v>1</v>
      </c>
      <c r="T109" s="3" t="s">
        <v>655</v>
      </c>
      <c r="U109" s="3" t="s">
        <v>655</v>
      </c>
      <c r="V109" s="3">
        <v>0</v>
      </c>
      <c r="W109" s="3" t="str">
        <f t="shared" si="3"/>
        <v>(316,null,1,'2025-11-27 00:00:00','003315010380000-33150103803','003315010380000-33150103803','小儿腰椎间盘突出摘除术',null,null,2115,2030,1725,null,2680,2410,2050,'每节间盘',11,1,'normal','normal',0),</v>
      </c>
    </row>
    <row r="110" spans="1:23">
      <c r="A110">
        <v>317</v>
      </c>
      <c r="B110" s="3" t="s">
        <v>653</v>
      </c>
      <c r="C110" s="3">
        <v>1</v>
      </c>
      <c r="D110" s="4" t="s">
        <v>654</v>
      </c>
      <c r="E110" t="s">
        <v>312</v>
      </c>
      <c r="F110" t="s">
        <v>312</v>
      </c>
      <c r="G110" t="s">
        <v>313</v>
      </c>
      <c r="H110" s="3" t="s">
        <v>653</v>
      </c>
      <c r="I110" s="3" t="s">
        <v>653</v>
      </c>
      <c r="J110">
        <v>3170</v>
      </c>
      <c r="K110">
        <v>3040</v>
      </c>
      <c r="L110">
        <v>2585</v>
      </c>
      <c r="M110" s="3" t="s">
        <v>653</v>
      </c>
      <c r="N110">
        <v>4015</v>
      </c>
      <c r="O110">
        <v>3615</v>
      </c>
      <c r="P110">
        <v>3070</v>
      </c>
      <c r="Q110" t="s">
        <v>306</v>
      </c>
      <c r="R110">
        <v>11</v>
      </c>
      <c r="S110">
        <v>1</v>
      </c>
      <c r="T110" s="3" t="s">
        <v>655</v>
      </c>
      <c r="U110" s="3" t="s">
        <v>655</v>
      </c>
      <c r="V110" s="3">
        <v>0</v>
      </c>
      <c r="W110" s="3" t="str">
        <f t="shared" si="3"/>
        <v>(317,null,1,'2025-11-27 00:00:00','003315010380000-33150103804','003315010380000-33150103804','小儿腰椎间盘突出摘除术（两节）',null,null,3170,3040,2585,null,4015,3615,3070,'二节间盘',11,1,'normal','normal',0),</v>
      </c>
    </row>
    <row r="111" spans="1:23">
      <c r="A111">
        <v>318</v>
      </c>
      <c r="B111" s="3" t="s">
        <v>653</v>
      </c>
      <c r="C111" s="3">
        <v>1</v>
      </c>
      <c r="D111" s="4" t="s">
        <v>654</v>
      </c>
      <c r="E111" t="s">
        <v>314</v>
      </c>
      <c r="F111" t="s">
        <v>314</v>
      </c>
      <c r="G111" t="s">
        <v>315</v>
      </c>
      <c r="H111" s="3" t="s">
        <v>653</v>
      </c>
      <c r="I111" s="3" t="s">
        <v>653</v>
      </c>
      <c r="J111">
        <v>3590</v>
      </c>
      <c r="K111">
        <v>3450</v>
      </c>
      <c r="L111">
        <v>2935</v>
      </c>
      <c r="M111" s="3" t="s">
        <v>653</v>
      </c>
      <c r="N111">
        <v>4555</v>
      </c>
      <c r="O111">
        <v>4100</v>
      </c>
      <c r="P111">
        <v>3480</v>
      </c>
      <c r="Q111" t="s">
        <v>309</v>
      </c>
      <c r="R111">
        <v>11</v>
      </c>
      <c r="S111">
        <v>1</v>
      </c>
      <c r="T111" s="3" t="s">
        <v>655</v>
      </c>
      <c r="U111" s="3" t="s">
        <v>655</v>
      </c>
      <c r="V111" s="3">
        <v>0</v>
      </c>
      <c r="W111" s="3" t="str">
        <f t="shared" si="3"/>
        <v>(318,null,1,'2025-11-27 00:00:00','003315010380000-33150103805','003315010380000-33150103805','小儿腰椎间盘突出摘除术（三节及以上）',null,null,3590,3450,2935,null,4555,4100,3480,'三节间盘',11,1,'normal','normal',0),</v>
      </c>
    </row>
    <row r="112" spans="1:23">
      <c r="A112">
        <v>319</v>
      </c>
      <c r="B112" s="3" t="s">
        <v>653</v>
      </c>
      <c r="C112" s="3">
        <v>1</v>
      </c>
      <c r="D112" s="4" t="s">
        <v>654</v>
      </c>
      <c r="E112" t="s">
        <v>317</v>
      </c>
      <c r="F112" t="s">
        <v>317</v>
      </c>
      <c r="G112" t="s">
        <v>318</v>
      </c>
      <c r="H112" s="3" t="s">
        <v>653</v>
      </c>
      <c r="I112" s="3" t="s">
        <v>653</v>
      </c>
      <c r="J112">
        <v>5320</v>
      </c>
      <c r="K112">
        <v>4790</v>
      </c>
      <c r="L112">
        <v>4070</v>
      </c>
      <c r="M112" s="3" t="s">
        <v>653</v>
      </c>
      <c r="N112">
        <v>6525</v>
      </c>
      <c r="O112">
        <v>5875</v>
      </c>
      <c r="P112">
        <v>4990</v>
      </c>
      <c r="Q112" t="s">
        <v>27</v>
      </c>
      <c r="R112">
        <v>11</v>
      </c>
      <c r="S112">
        <v>1</v>
      </c>
      <c r="T112" s="3" t="s">
        <v>655</v>
      </c>
      <c r="U112" s="3" t="s">
        <v>655</v>
      </c>
      <c r="V112" s="3">
        <v>0</v>
      </c>
      <c r="W112" s="3" t="str">
        <f t="shared" si="3"/>
        <v>(319,null,1,'2025-11-27 00:00:00','003315010470000-331501047','003315010470000-331501047','强直性脊柱炎多椎截骨矫正术',null,null,5320,4790,4070,null,6525,5875,4990,'次',11,1,'normal','normal',0),</v>
      </c>
    </row>
    <row r="113" spans="1:23">
      <c r="A113">
        <v>320</v>
      </c>
      <c r="B113" s="3" t="s">
        <v>653</v>
      </c>
      <c r="C113" s="3">
        <v>1</v>
      </c>
      <c r="D113" s="4" t="s">
        <v>654</v>
      </c>
      <c r="E113" t="s">
        <v>321</v>
      </c>
      <c r="F113" t="s">
        <v>321</v>
      </c>
      <c r="G113" t="s">
        <v>322</v>
      </c>
      <c r="H113" s="3" t="s">
        <v>653</v>
      </c>
      <c r="I113" s="3" t="s">
        <v>653</v>
      </c>
      <c r="J113">
        <v>1030</v>
      </c>
      <c r="K113">
        <v>925</v>
      </c>
      <c r="L113">
        <v>785</v>
      </c>
      <c r="M113" s="3" t="s">
        <v>653</v>
      </c>
      <c r="N113">
        <v>1300</v>
      </c>
      <c r="O113">
        <v>1170</v>
      </c>
      <c r="P113">
        <v>995</v>
      </c>
      <c r="Q113" t="s">
        <v>27</v>
      </c>
      <c r="R113">
        <v>11</v>
      </c>
      <c r="S113">
        <v>1</v>
      </c>
      <c r="T113" s="3" t="s">
        <v>655</v>
      </c>
      <c r="U113" s="3" t="s">
        <v>655</v>
      </c>
      <c r="V113" s="3">
        <v>0</v>
      </c>
      <c r="W113" s="3" t="str">
        <f t="shared" si="3"/>
        <v>(320,null,1,'2025-11-27 00:00:00','003315010470001-33150104701','003315010470001-33150104701','强直性脊柱炎多椎截骨矫正术（前方入路松解手术加收）',null,null,1030,925,785,null,1300,1170,995,'次',11,1,'normal','normal',0),</v>
      </c>
    </row>
    <row r="114" spans="1:23">
      <c r="A114">
        <v>321</v>
      </c>
      <c r="B114" s="3" t="s">
        <v>653</v>
      </c>
      <c r="C114" s="3">
        <v>1</v>
      </c>
      <c r="D114" s="4" t="s">
        <v>654</v>
      </c>
      <c r="E114" t="s">
        <v>324</v>
      </c>
      <c r="F114" t="s">
        <v>324</v>
      </c>
      <c r="G114" t="s">
        <v>325</v>
      </c>
      <c r="H114" s="3" t="s">
        <v>653</v>
      </c>
      <c r="I114" s="3" t="s">
        <v>653</v>
      </c>
      <c r="J114">
        <v>1030</v>
      </c>
      <c r="K114">
        <v>925</v>
      </c>
      <c r="L114">
        <v>785</v>
      </c>
      <c r="M114" s="3" t="s">
        <v>653</v>
      </c>
      <c r="N114">
        <v>1300</v>
      </c>
      <c r="O114">
        <v>1170</v>
      </c>
      <c r="P114">
        <v>995</v>
      </c>
      <c r="Q114" t="s">
        <v>27</v>
      </c>
      <c r="R114">
        <v>11</v>
      </c>
      <c r="S114">
        <v>1</v>
      </c>
      <c r="T114" s="3" t="s">
        <v>655</v>
      </c>
      <c r="U114" s="3" t="s">
        <v>655</v>
      </c>
      <c r="V114" s="3">
        <v>0</v>
      </c>
      <c r="W114" s="3" t="str">
        <f t="shared" si="3"/>
        <v>(321,null,1,'2025-11-27 00:00:00','003315010470002-33150104702','003315010470002-33150104702','强直性脊柱炎多椎截骨矫正术（增加内固定加收）',null,null,1030,925,785,null,1300,1170,995,'次',11,1,'normal','normal',0),</v>
      </c>
    </row>
    <row r="115" spans="1:23">
      <c r="A115">
        <v>322</v>
      </c>
      <c r="B115" s="3" t="s">
        <v>653</v>
      </c>
      <c r="C115" s="3">
        <v>1</v>
      </c>
      <c r="D115" s="4" t="s">
        <v>654</v>
      </c>
      <c r="E115" t="s">
        <v>327</v>
      </c>
      <c r="F115" t="s">
        <v>327</v>
      </c>
      <c r="G115" t="s">
        <v>328</v>
      </c>
      <c r="H115" s="3" t="s">
        <v>653</v>
      </c>
      <c r="I115" s="3" t="s">
        <v>653</v>
      </c>
      <c r="J115">
        <v>6915</v>
      </c>
      <c r="K115">
        <v>6225</v>
      </c>
      <c r="L115">
        <v>5290</v>
      </c>
      <c r="M115" s="3" t="s">
        <v>653</v>
      </c>
      <c r="N115">
        <v>8485</v>
      </c>
      <c r="O115">
        <v>7640</v>
      </c>
      <c r="P115">
        <v>6485</v>
      </c>
      <c r="Q115" t="s">
        <v>27</v>
      </c>
      <c r="R115">
        <v>11</v>
      </c>
      <c r="S115">
        <v>1</v>
      </c>
      <c r="T115" s="3" t="s">
        <v>655</v>
      </c>
      <c r="U115" s="3" t="s">
        <v>655</v>
      </c>
      <c r="V115" s="3">
        <v>0</v>
      </c>
      <c r="W115" s="3" t="str">
        <f t="shared" si="3"/>
        <v>(322,null,1,'2025-11-27 00:00:00','003315010470000-33150104703','003315010470000-33150104703','小儿强直性脊柱炎多椎截骨矫正术',null,null,6915,6225,5290,null,8485,7640,6485,'次',11,1,'normal','normal',0),</v>
      </c>
    </row>
    <row r="116" spans="1:23">
      <c r="A116">
        <v>323</v>
      </c>
      <c r="B116" s="3" t="s">
        <v>653</v>
      </c>
      <c r="C116" s="3">
        <v>1</v>
      </c>
      <c r="D116" s="4" t="s">
        <v>654</v>
      </c>
      <c r="E116" t="s">
        <v>329</v>
      </c>
      <c r="F116" t="s">
        <v>329</v>
      </c>
      <c r="G116" t="s">
        <v>330</v>
      </c>
      <c r="H116" s="3" t="s">
        <v>653</v>
      </c>
      <c r="I116" s="3" t="s">
        <v>653</v>
      </c>
      <c r="J116">
        <v>1340</v>
      </c>
      <c r="K116">
        <v>1205</v>
      </c>
      <c r="L116">
        <v>1025</v>
      </c>
      <c r="M116" s="3" t="s">
        <v>653</v>
      </c>
      <c r="N116">
        <v>1690</v>
      </c>
      <c r="O116">
        <v>1520</v>
      </c>
      <c r="P116">
        <v>1295</v>
      </c>
      <c r="Q116" t="s">
        <v>27</v>
      </c>
      <c r="R116">
        <v>11</v>
      </c>
      <c r="S116">
        <v>1</v>
      </c>
      <c r="T116" s="3" t="s">
        <v>655</v>
      </c>
      <c r="U116" s="3" t="s">
        <v>655</v>
      </c>
      <c r="V116" s="3">
        <v>0</v>
      </c>
      <c r="W116" s="3" t="str">
        <f t="shared" si="3"/>
        <v>(323,null,1,'2025-11-27 00:00:00','003315010470001-33150104704','003315010470001-33150104704','小儿强直性脊柱炎多椎截骨矫正术（前方入路松解手术加收）',null,null,1340,1205,1025,null,1690,1520,1295,'次',11,1,'normal','normal',0),</v>
      </c>
    </row>
    <row r="117" spans="1:23">
      <c r="A117">
        <v>324</v>
      </c>
      <c r="B117" s="3" t="s">
        <v>653</v>
      </c>
      <c r="C117" s="3">
        <v>1</v>
      </c>
      <c r="D117" s="4" t="s">
        <v>654</v>
      </c>
      <c r="E117" t="s">
        <v>331</v>
      </c>
      <c r="F117" t="s">
        <v>331</v>
      </c>
      <c r="G117" t="s">
        <v>332</v>
      </c>
      <c r="H117" s="3" t="s">
        <v>653</v>
      </c>
      <c r="I117" s="3" t="s">
        <v>653</v>
      </c>
      <c r="J117">
        <v>1340</v>
      </c>
      <c r="K117">
        <v>1205</v>
      </c>
      <c r="L117">
        <v>1025</v>
      </c>
      <c r="M117" s="3" t="s">
        <v>653</v>
      </c>
      <c r="N117">
        <v>1690</v>
      </c>
      <c r="O117">
        <v>1520</v>
      </c>
      <c r="P117">
        <v>1295</v>
      </c>
      <c r="Q117" t="s">
        <v>27</v>
      </c>
      <c r="R117">
        <v>11</v>
      </c>
      <c r="S117">
        <v>1</v>
      </c>
      <c r="T117" s="3" t="s">
        <v>655</v>
      </c>
      <c r="U117" s="3" t="s">
        <v>655</v>
      </c>
      <c r="V117" s="3">
        <v>0</v>
      </c>
      <c r="W117" s="3" t="str">
        <f t="shared" si="3"/>
        <v>(324,null,1,'2025-11-27 00:00:00','003315010470002-33150104705','003315010470002-33150104705','小儿强直性脊柱炎多椎截骨矫正术（增加内固定加收）',null,null,1340,1205,1025,null,1690,1520,1295,'次',11,1,'normal','normal',0),</v>
      </c>
    </row>
    <row r="118" spans="1:23">
      <c r="A118">
        <v>325</v>
      </c>
      <c r="B118" s="3" t="s">
        <v>653</v>
      </c>
      <c r="C118" s="3">
        <v>1</v>
      </c>
      <c r="D118" s="4" t="s">
        <v>654</v>
      </c>
      <c r="E118" t="s">
        <v>333</v>
      </c>
      <c r="F118" t="s">
        <v>333</v>
      </c>
      <c r="G118" t="s">
        <v>334</v>
      </c>
      <c r="H118" s="3" t="s">
        <v>653</v>
      </c>
      <c r="I118" s="3" t="s">
        <v>653</v>
      </c>
      <c r="J118">
        <v>1125</v>
      </c>
      <c r="K118">
        <v>1080</v>
      </c>
      <c r="L118">
        <v>918</v>
      </c>
      <c r="M118" s="3" t="s">
        <v>653</v>
      </c>
      <c r="N118">
        <v>1425</v>
      </c>
      <c r="O118">
        <v>1285</v>
      </c>
      <c r="P118">
        <v>1095</v>
      </c>
      <c r="Q118" t="s">
        <v>27</v>
      </c>
      <c r="R118">
        <v>11</v>
      </c>
      <c r="S118">
        <v>1</v>
      </c>
      <c r="T118" s="3" t="s">
        <v>655</v>
      </c>
      <c r="U118" s="3" t="s">
        <v>655</v>
      </c>
      <c r="V118" s="3">
        <v>0</v>
      </c>
      <c r="W118" s="3" t="str">
        <f t="shared" si="3"/>
        <v>(325,null,1,'2025-11-27 00:00:00','003315020090000-331502009','003315020090000-331502009','周围神经嵌压松解术',null,null,1125,1080,918,null,1425,1285,1095,'次',11,1,'normal','normal',0),</v>
      </c>
    </row>
    <row r="119" spans="1:23">
      <c r="A119">
        <v>326</v>
      </c>
      <c r="B119" s="3" t="s">
        <v>653</v>
      </c>
      <c r="C119" s="3">
        <v>1</v>
      </c>
      <c r="D119" s="4" t="s">
        <v>654</v>
      </c>
      <c r="E119" t="s">
        <v>335</v>
      </c>
      <c r="F119" t="s">
        <v>335</v>
      </c>
      <c r="G119" t="s">
        <v>336</v>
      </c>
      <c r="H119" s="3" t="s">
        <v>653</v>
      </c>
      <c r="I119" s="3" t="s">
        <v>653</v>
      </c>
      <c r="J119">
        <v>1465</v>
      </c>
      <c r="K119">
        <v>1405</v>
      </c>
      <c r="L119">
        <v>1195</v>
      </c>
      <c r="M119" s="3" t="s">
        <v>653</v>
      </c>
      <c r="N119">
        <v>1855</v>
      </c>
      <c r="O119">
        <v>1670</v>
      </c>
      <c r="P119">
        <v>1425</v>
      </c>
      <c r="Q119" t="s">
        <v>27</v>
      </c>
      <c r="R119">
        <v>11</v>
      </c>
      <c r="S119">
        <v>1</v>
      </c>
      <c r="T119" s="3" t="s">
        <v>655</v>
      </c>
      <c r="U119" s="3" t="s">
        <v>655</v>
      </c>
      <c r="V119" s="3">
        <v>0</v>
      </c>
      <c r="W119" s="3" t="str">
        <f t="shared" si="3"/>
        <v>(326,null,1,'2025-11-27 00:00:00','003315020090000-33150200901','003315020090000-33150200901','小儿周围神经嵌压松解术',null,null,1465,1405,1195,null,1855,1670,1425,'次',11,1,'normal','normal',0),</v>
      </c>
    </row>
    <row r="120" spans="1:23">
      <c r="A120">
        <v>327</v>
      </c>
      <c r="B120" s="3" t="s">
        <v>653</v>
      </c>
      <c r="C120" s="3">
        <v>1</v>
      </c>
      <c r="D120" s="4" t="s">
        <v>654</v>
      </c>
      <c r="E120" t="s">
        <v>337</v>
      </c>
      <c r="F120" t="s">
        <v>337</v>
      </c>
      <c r="G120" t="s">
        <v>338</v>
      </c>
      <c r="H120" s="3" t="s">
        <v>653</v>
      </c>
      <c r="I120" s="3" t="s">
        <v>653</v>
      </c>
      <c r="J120">
        <v>1250</v>
      </c>
      <c r="K120">
        <v>1200</v>
      </c>
      <c r="L120">
        <v>1020</v>
      </c>
      <c r="M120" s="3" t="s">
        <v>653</v>
      </c>
      <c r="N120">
        <v>1580</v>
      </c>
      <c r="O120">
        <v>1425</v>
      </c>
      <c r="P120">
        <v>1210</v>
      </c>
      <c r="Q120" t="s">
        <v>27</v>
      </c>
      <c r="R120">
        <v>11</v>
      </c>
      <c r="S120">
        <v>1</v>
      </c>
      <c r="T120" s="3" t="s">
        <v>655</v>
      </c>
      <c r="U120" s="3" t="s">
        <v>655</v>
      </c>
      <c r="V120" s="3">
        <v>0</v>
      </c>
      <c r="W120" s="3" t="str">
        <f t="shared" si="3"/>
        <v>(327,null,1,'2025-11-27 00:00:00','003315020100000-331502010','003315020100000-331502010','坐骨神经松解术',null,null,1250,1200,1020,null,1580,1425,1210,'次',11,1,'normal','normal',0),</v>
      </c>
    </row>
    <row r="121" spans="1:23">
      <c r="A121">
        <v>328</v>
      </c>
      <c r="B121" s="3" t="s">
        <v>653</v>
      </c>
      <c r="C121" s="3">
        <v>1</v>
      </c>
      <c r="D121" s="4" t="s">
        <v>654</v>
      </c>
      <c r="E121" t="s">
        <v>339</v>
      </c>
      <c r="F121" t="s">
        <v>339</v>
      </c>
      <c r="G121" t="s">
        <v>340</v>
      </c>
      <c r="H121" s="3" t="s">
        <v>653</v>
      </c>
      <c r="I121" s="3" t="s">
        <v>653</v>
      </c>
      <c r="J121">
        <v>1625</v>
      </c>
      <c r="K121">
        <v>1560</v>
      </c>
      <c r="L121">
        <v>1325</v>
      </c>
      <c r="M121" s="3" t="s">
        <v>653</v>
      </c>
      <c r="N121">
        <v>2055</v>
      </c>
      <c r="O121">
        <v>1855</v>
      </c>
      <c r="P121">
        <v>1575</v>
      </c>
      <c r="Q121" t="s">
        <v>27</v>
      </c>
      <c r="R121">
        <v>11</v>
      </c>
      <c r="S121">
        <v>1</v>
      </c>
      <c r="T121" s="3" t="s">
        <v>655</v>
      </c>
      <c r="U121" s="3" t="s">
        <v>655</v>
      </c>
      <c r="V121" s="3">
        <v>0</v>
      </c>
      <c r="W121" s="3" t="str">
        <f t="shared" si="3"/>
        <v>(328,null,1,'2025-11-27 00:00:00','003315020100000-33150201001','003315020100000-33150201001','小儿坐骨神经松解术',null,null,1625,1560,1325,null,2055,1855,1575,'次',11,1,'normal','normal',0),</v>
      </c>
    </row>
    <row r="122" spans="1:23">
      <c r="A122">
        <v>329</v>
      </c>
      <c r="B122" s="3" t="s">
        <v>653</v>
      </c>
      <c r="C122" s="3">
        <v>1</v>
      </c>
      <c r="D122" s="4" t="s">
        <v>654</v>
      </c>
      <c r="E122" t="s">
        <v>341</v>
      </c>
      <c r="F122" t="s">
        <v>341</v>
      </c>
      <c r="G122" t="s">
        <v>342</v>
      </c>
      <c r="H122" s="3" t="s">
        <v>653</v>
      </c>
      <c r="I122" s="3" t="s">
        <v>653</v>
      </c>
      <c r="J122">
        <v>3920</v>
      </c>
      <c r="K122">
        <v>3530</v>
      </c>
      <c r="L122">
        <v>3000</v>
      </c>
      <c r="M122" s="3" t="s">
        <v>653</v>
      </c>
      <c r="N122">
        <v>5415</v>
      </c>
      <c r="O122">
        <v>4875</v>
      </c>
      <c r="P122">
        <v>4145</v>
      </c>
      <c r="Q122" t="s">
        <v>27</v>
      </c>
      <c r="R122">
        <v>11</v>
      </c>
      <c r="S122">
        <v>1</v>
      </c>
      <c r="T122" s="3" t="s">
        <v>655</v>
      </c>
      <c r="U122" s="3" t="s">
        <v>655</v>
      </c>
      <c r="V122" s="3">
        <v>0</v>
      </c>
      <c r="W122" s="3" t="str">
        <f t="shared" si="3"/>
        <v>(329,null,1,'2025-11-27 00:00:00','003315030050000-331503005','003315030050000-331503005','髋臼肿瘤切除及髋关节融合术',null,null,3920,3530,3000,null,5415,4875,4145,'次',11,1,'normal','normal',0),</v>
      </c>
    </row>
    <row r="123" spans="1:23">
      <c r="A123">
        <v>330</v>
      </c>
      <c r="B123" s="3" t="s">
        <v>653</v>
      </c>
      <c r="C123" s="3">
        <v>1</v>
      </c>
      <c r="D123" s="4" t="s">
        <v>654</v>
      </c>
      <c r="E123" t="s">
        <v>344</v>
      </c>
      <c r="F123" t="s">
        <v>344</v>
      </c>
      <c r="G123" t="s">
        <v>345</v>
      </c>
      <c r="H123" s="3" t="s">
        <v>653</v>
      </c>
      <c r="I123" s="3" t="s">
        <v>653</v>
      </c>
      <c r="J123">
        <v>5095</v>
      </c>
      <c r="K123">
        <v>4590</v>
      </c>
      <c r="L123">
        <v>3900</v>
      </c>
      <c r="M123" s="3" t="s">
        <v>653</v>
      </c>
      <c r="N123">
        <v>7040</v>
      </c>
      <c r="O123">
        <v>6340</v>
      </c>
      <c r="P123">
        <v>5390</v>
      </c>
      <c r="Q123" t="s">
        <v>27</v>
      </c>
      <c r="R123">
        <v>11</v>
      </c>
      <c r="S123">
        <v>1</v>
      </c>
      <c r="T123" s="3" t="s">
        <v>655</v>
      </c>
      <c r="U123" s="3" t="s">
        <v>655</v>
      </c>
      <c r="V123" s="3">
        <v>0</v>
      </c>
      <c r="W123" s="3" t="str">
        <f t="shared" si="3"/>
        <v>(330,null,1,'2025-11-27 00:00:00','003315030050000-33150300501','003315030050000-33150300501','小儿髋臼肿瘤切除及髋关节融合术',null,null,5095,4590,3900,null,7040,6340,5390,'次',11,1,'normal','normal',0),</v>
      </c>
    </row>
    <row r="124" spans="1:23">
      <c r="A124">
        <v>331</v>
      </c>
      <c r="B124" s="3" t="s">
        <v>653</v>
      </c>
      <c r="C124" s="3">
        <v>1</v>
      </c>
      <c r="D124" s="4" t="s">
        <v>654</v>
      </c>
      <c r="E124" t="s">
        <v>346</v>
      </c>
      <c r="F124" t="s">
        <v>346</v>
      </c>
      <c r="G124" t="s">
        <v>347</v>
      </c>
      <c r="H124" s="3" t="s">
        <v>653</v>
      </c>
      <c r="I124" s="3" t="s">
        <v>653</v>
      </c>
      <c r="J124">
        <v>1000</v>
      </c>
      <c r="K124">
        <v>960</v>
      </c>
      <c r="L124">
        <v>816</v>
      </c>
      <c r="M124" s="3" t="s">
        <v>653</v>
      </c>
      <c r="N124">
        <v>1260</v>
      </c>
      <c r="O124">
        <v>1135</v>
      </c>
      <c r="P124">
        <v>965</v>
      </c>
      <c r="Q124" t="s">
        <v>27</v>
      </c>
      <c r="R124">
        <v>11</v>
      </c>
      <c r="S124">
        <v>1</v>
      </c>
      <c r="T124" s="3" t="s">
        <v>655</v>
      </c>
      <c r="U124" s="3" t="s">
        <v>655</v>
      </c>
      <c r="V124" s="3">
        <v>0</v>
      </c>
      <c r="W124" s="3" t="str">
        <f t="shared" si="3"/>
        <v>(331,null,1,'2025-11-27 00:00:00','003316020050000-331602005','003316020050000-331602005','海绵状血管瘤切除术（大）',null,null,1000,960,816,null,1260,1135,965,'次',11,1,'normal','normal',0),</v>
      </c>
    </row>
    <row r="125" spans="1:23">
      <c r="A125">
        <v>332</v>
      </c>
      <c r="B125" s="3" t="s">
        <v>653</v>
      </c>
      <c r="C125" s="3">
        <v>1</v>
      </c>
      <c r="D125" s="4" t="s">
        <v>654</v>
      </c>
      <c r="E125" t="s">
        <v>350</v>
      </c>
      <c r="F125" t="s">
        <v>350</v>
      </c>
      <c r="G125" t="s">
        <v>351</v>
      </c>
      <c r="H125" s="3" t="s">
        <v>653</v>
      </c>
      <c r="I125" s="3" t="s">
        <v>653</v>
      </c>
      <c r="J125">
        <v>200</v>
      </c>
      <c r="K125">
        <v>192</v>
      </c>
      <c r="L125">
        <v>163.2</v>
      </c>
      <c r="M125" s="3" t="s">
        <v>653</v>
      </c>
      <c r="N125">
        <v>252</v>
      </c>
      <c r="O125">
        <v>227</v>
      </c>
      <c r="P125">
        <v>193</v>
      </c>
      <c r="Q125" t="s">
        <v>27</v>
      </c>
      <c r="R125">
        <v>11</v>
      </c>
      <c r="S125">
        <v>1</v>
      </c>
      <c r="T125" s="3" t="s">
        <v>655</v>
      </c>
      <c r="U125" s="3" t="s">
        <v>655</v>
      </c>
      <c r="V125" s="3">
        <v>0</v>
      </c>
      <c r="W125" s="3" t="str">
        <f t="shared" si="3"/>
        <v>(332,null,1,'2025-11-27 00:00:00','003316020050001-33160200501','003316020050001-33160200501','海绵状血管瘤切除术（大）-植皮术加收',null,null,200,192,163.2,null,252,227,193,'次',11,1,'normal','normal',0),</v>
      </c>
    </row>
    <row r="126" spans="1:23">
      <c r="A126">
        <v>333</v>
      </c>
      <c r="B126" s="3" t="s">
        <v>653</v>
      </c>
      <c r="C126" s="3">
        <v>1</v>
      </c>
      <c r="D126" s="4" t="s">
        <v>654</v>
      </c>
      <c r="E126" t="s">
        <v>353</v>
      </c>
      <c r="F126" t="s">
        <v>353</v>
      </c>
      <c r="G126" t="s">
        <v>354</v>
      </c>
      <c r="H126" s="3" t="s">
        <v>653</v>
      </c>
      <c r="I126" s="3" t="s">
        <v>653</v>
      </c>
      <c r="J126">
        <v>1375</v>
      </c>
      <c r="K126">
        <v>1320</v>
      </c>
      <c r="L126">
        <v>1122</v>
      </c>
      <c r="M126" s="3" t="s">
        <v>653</v>
      </c>
      <c r="N126">
        <v>1630</v>
      </c>
      <c r="O126">
        <v>1465</v>
      </c>
      <c r="P126">
        <v>1245</v>
      </c>
      <c r="Q126" t="s">
        <v>27</v>
      </c>
      <c r="R126">
        <v>11</v>
      </c>
      <c r="S126">
        <v>1</v>
      </c>
      <c r="T126" s="3" t="s">
        <v>655</v>
      </c>
      <c r="U126" s="3" t="s">
        <v>655</v>
      </c>
      <c r="V126" s="3">
        <v>0</v>
      </c>
      <c r="W126" s="3" t="str">
        <f t="shared" si="3"/>
        <v>(333,null,1,'2025-11-27 00:00:00','003316020050002-33160200502','003316020050002-33160200502','海绵状血管瘤切除术（大）-激光手术',null,null,1375,1320,1122,null,1630,1465,1245,'次',11,1,'normal','normal',0),</v>
      </c>
    </row>
    <row r="127" spans="1:23">
      <c r="A127">
        <v>334</v>
      </c>
      <c r="B127" s="3" t="s">
        <v>653</v>
      </c>
      <c r="C127" s="3">
        <v>1</v>
      </c>
      <c r="D127" s="4" t="s">
        <v>654</v>
      </c>
      <c r="E127" t="s">
        <v>356</v>
      </c>
      <c r="F127" t="s">
        <v>356</v>
      </c>
      <c r="G127" t="s">
        <v>357</v>
      </c>
      <c r="H127" s="3" t="s">
        <v>653</v>
      </c>
      <c r="I127" s="3" t="s">
        <v>653</v>
      </c>
      <c r="J127">
        <v>1300</v>
      </c>
      <c r="K127">
        <v>1250</v>
      </c>
      <c r="L127">
        <v>1065</v>
      </c>
      <c r="M127" s="3" t="s">
        <v>653</v>
      </c>
      <c r="N127">
        <v>1640</v>
      </c>
      <c r="O127">
        <v>1475</v>
      </c>
      <c r="P127">
        <v>1255</v>
      </c>
      <c r="Q127" t="s">
        <v>27</v>
      </c>
      <c r="R127">
        <v>11</v>
      </c>
      <c r="S127">
        <v>1</v>
      </c>
      <c r="T127" s="3" t="s">
        <v>655</v>
      </c>
      <c r="U127" s="3" t="s">
        <v>655</v>
      </c>
      <c r="V127" s="3">
        <v>0</v>
      </c>
      <c r="W127" s="3" t="str">
        <f t="shared" si="3"/>
        <v>(334,null,1,'2025-11-27 00:00:00','003316020050000-33160200503','003316020050000-33160200503','小儿海绵状血管瘤切除术（大）',null,null,1300,1250,1065,null,1640,1475,1255,'次',11,1,'normal','normal',0),</v>
      </c>
    </row>
    <row r="128" spans="1:23">
      <c r="A128">
        <v>335</v>
      </c>
      <c r="B128" s="3" t="s">
        <v>653</v>
      </c>
      <c r="C128" s="3">
        <v>1</v>
      </c>
      <c r="D128" s="4" t="s">
        <v>654</v>
      </c>
      <c r="E128" t="s">
        <v>358</v>
      </c>
      <c r="F128" t="s">
        <v>358</v>
      </c>
      <c r="G128" t="s">
        <v>359</v>
      </c>
      <c r="H128" s="3" t="s">
        <v>653</v>
      </c>
      <c r="I128" s="3" t="s">
        <v>653</v>
      </c>
      <c r="J128">
        <v>260</v>
      </c>
      <c r="K128">
        <v>250</v>
      </c>
      <c r="L128">
        <v>215</v>
      </c>
      <c r="M128" s="3" t="s">
        <v>653</v>
      </c>
      <c r="N128">
        <v>330</v>
      </c>
      <c r="O128">
        <v>295</v>
      </c>
      <c r="P128">
        <v>250</v>
      </c>
      <c r="Q128" t="s">
        <v>27</v>
      </c>
      <c r="R128">
        <v>11</v>
      </c>
      <c r="S128">
        <v>1</v>
      </c>
      <c r="T128" s="3" t="s">
        <v>655</v>
      </c>
      <c r="U128" s="3" t="s">
        <v>655</v>
      </c>
      <c r="V128" s="3">
        <v>0</v>
      </c>
      <c r="W128" s="3" t="str">
        <f t="shared" si="3"/>
        <v>(335,null,1,'2025-11-27 00:00:00','003316020050001-33160200504','003316020050001-33160200504','小儿海绵状血管瘤切除术（大）-植皮术加收',null,null,260,250,215,null,330,295,250,'次',11,1,'normal','normal',0),</v>
      </c>
    </row>
    <row r="129" spans="1:23">
      <c r="A129">
        <v>336</v>
      </c>
      <c r="B129" s="3" t="s">
        <v>653</v>
      </c>
      <c r="C129" s="3">
        <v>1</v>
      </c>
      <c r="D129" s="4" t="s">
        <v>654</v>
      </c>
      <c r="E129" t="s">
        <v>360</v>
      </c>
      <c r="F129" t="s">
        <v>360</v>
      </c>
      <c r="G129" t="s">
        <v>361</v>
      </c>
      <c r="H129" s="3" t="s">
        <v>653</v>
      </c>
      <c r="I129" s="3" t="s">
        <v>653</v>
      </c>
      <c r="J129">
        <v>1790</v>
      </c>
      <c r="K129">
        <v>1720</v>
      </c>
      <c r="L129">
        <v>1465</v>
      </c>
      <c r="M129" s="3" t="s">
        <v>653</v>
      </c>
      <c r="N129">
        <v>2120</v>
      </c>
      <c r="O129">
        <v>1905</v>
      </c>
      <c r="P129">
        <v>1620</v>
      </c>
      <c r="Q129" t="s">
        <v>27</v>
      </c>
      <c r="R129">
        <v>11</v>
      </c>
      <c r="S129">
        <v>1</v>
      </c>
      <c r="T129" s="3" t="s">
        <v>655</v>
      </c>
      <c r="U129" s="3" t="s">
        <v>655</v>
      </c>
      <c r="V129" s="3">
        <v>0</v>
      </c>
      <c r="W129" s="3" t="str">
        <f t="shared" si="3"/>
        <v>(336,null,1,'2025-11-27 00:00:00','003316020050002-33160200505','003316020050002-33160200505','小儿海绵状血管瘤切除术（大）-激光手术',null,null,1790,1720,1465,null,2120,1905,1620,'次',11,1,'normal','normal',0),</v>
      </c>
    </row>
    <row r="130" spans="1:23">
      <c r="A130">
        <v>337</v>
      </c>
      <c r="B130" s="3" t="s">
        <v>653</v>
      </c>
      <c r="C130" s="3">
        <v>1</v>
      </c>
      <c r="D130" s="4" t="s">
        <v>654</v>
      </c>
      <c r="E130" t="s">
        <v>362</v>
      </c>
      <c r="F130" t="s">
        <v>362</v>
      </c>
      <c r="G130" t="s">
        <v>363</v>
      </c>
      <c r="H130" s="3" t="s">
        <v>653</v>
      </c>
      <c r="I130" s="3" t="s">
        <v>653</v>
      </c>
      <c r="J130">
        <v>875</v>
      </c>
      <c r="K130">
        <v>840</v>
      </c>
      <c r="L130">
        <v>714</v>
      </c>
      <c r="M130" s="3" t="s">
        <v>653</v>
      </c>
      <c r="N130">
        <v>1100</v>
      </c>
      <c r="O130">
        <v>990</v>
      </c>
      <c r="P130">
        <v>840</v>
      </c>
      <c r="Q130" t="s">
        <v>27</v>
      </c>
      <c r="R130">
        <v>11</v>
      </c>
      <c r="S130">
        <v>1</v>
      </c>
      <c r="T130" s="3" t="s">
        <v>655</v>
      </c>
      <c r="U130" s="3" t="s">
        <v>655</v>
      </c>
      <c r="V130" s="3">
        <v>0</v>
      </c>
      <c r="W130" s="3" t="str">
        <f t="shared" ref="W130:W147" si="4">"("&amp;A130&amp;","&amp;B130&amp;","&amp;C130&amp;",'"&amp;D130&amp;"','"&amp;E130&amp;"','"&amp;F130&amp;"','"&amp;G130&amp;"',"&amp;H130&amp;","&amp;I130&amp;","&amp;J130&amp;","&amp;K130&amp;","&amp;L130&amp;","&amp;M130&amp;","&amp;N130&amp;","&amp;O130&amp;","&amp;P130&amp;",'"&amp;Q130&amp;"',"&amp;R130&amp;","&amp;S130&amp;",'"&amp;T130&amp;"','"&amp;U130&amp;"',"&amp;V130&amp;"),"</f>
        <v>(337,null,1,'2025-11-27 00:00:00','003316020060000-331602006','003316020060000-331602006','海绵状血管瘤切除术（中）',null,null,875,840,714,null,1100,990,840,'次',11,1,'normal','normal',0),</v>
      </c>
    </row>
    <row r="131" spans="1:23">
      <c r="A131">
        <v>338</v>
      </c>
      <c r="B131" s="3" t="s">
        <v>653</v>
      </c>
      <c r="C131" s="3">
        <v>1</v>
      </c>
      <c r="D131" s="4" t="s">
        <v>654</v>
      </c>
      <c r="E131" t="s">
        <v>366</v>
      </c>
      <c r="F131" t="s">
        <v>366</v>
      </c>
      <c r="G131" t="s">
        <v>367</v>
      </c>
      <c r="H131" s="3" t="s">
        <v>653</v>
      </c>
      <c r="I131" s="3" t="s">
        <v>653</v>
      </c>
      <c r="J131">
        <v>1250</v>
      </c>
      <c r="K131">
        <v>1200</v>
      </c>
      <c r="L131">
        <v>1020</v>
      </c>
      <c r="M131" s="3" t="s">
        <v>653</v>
      </c>
      <c r="N131">
        <v>1480</v>
      </c>
      <c r="O131">
        <v>1330</v>
      </c>
      <c r="P131">
        <v>1130</v>
      </c>
      <c r="Q131" t="s">
        <v>27</v>
      </c>
      <c r="R131">
        <v>11</v>
      </c>
      <c r="S131">
        <v>1</v>
      </c>
      <c r="T131" s="3" t="s">
        <v>655</v>
      </c>
      <c r="U131" s="3" t="s">
        <v>655</v>
      </c>
      <c r="V131" s="3">
        <v>0</v>
      </c>
      <c r="W131" s="3" t="str">
        <f t="shared" si="4"/>
        <v>(338,null,1,'2025-11-27 00:00:00','003316020060002-33160200601','003316020060002-33160200601','海绵状血管瘤切除术（中）-激光手术',null,null,1250,1200,1020,null,1480,1330,1130,'次',11,1,'normal','normal',0),</v>
      </c>
    </row>
    <row r="132" spans="1:23">
      <c r="A132">
        <v>339</v>
      </c>
      <c r="B132" s="3" t="s">
        <v>653</v>
      </c>
      <c r="C132" s="3">
        <v>1</v>
      </c>
      <c r="D132" s="4" t="s">
        <v>654</v>
      </c>
      <c r="E132" t="s">
        <v>368</v>
      </c>
      <c r="F132" t="s">
        <v>368</v>
      </c>
      <c r="G132" t="s">
        <v>369</v>
      </c>
      <c r="H132" s="3" t="s">
        <v>653</v>
      </c>
      <c r="I132" s="3" t="s">
        <v>653</v>
      </c>
      <c r="J132">
        <v>175</v>
      </c>
      <c r="K132">
        <v>168</v>
      </c>
      <c r="L132">
        <v>142.8</v>
      </c>
      <c r="M132" s="3" t="s">
        <v>653</v>
      </c>
      <c r="N132">
        <v>220</v>
      </c>
      <c r="O132">
        <v>198</v>
      </c>
      <c r="P132">
        <v>168</v>
      </c>
      <c r="Q132" t="s">
        <v>27</v>
      </c>
      <c r="R132">
        <v>11</v>
      </c>
      <c r="S132">
        <v>1</v>
      </c>
      <c r="T132" s="3" t="s">
        <v>655</v>
      </c>
      <c r="U132" s="3" t="s">
        <v>655</v>
      </c>
      <c r="V132" s="3">
        <v>0</v>
      </c>
      <c r="W132" s="3" t="str">
        <f t="shared" si="4"/>
        <v>(339,null,1,'2025-11-27 00:00:00','003316020060001-33160200602','003316020060001-33160200602','海绵状血管瘤切除术（中）-植皮术加收',null,null,175,168,142.8,null,220,198,168,'次',11,1,'normal','normal',0),</v>
      </c>
    </row>
    <row r="133" spans="1:23">
      <c r="A133">
        <v>340</v>
      </c>
      <c r="B133" s="3" t="s">
        <v>653</v>
      </c>
      <c r="C133" s="3">
        <v>1</v>
      </c>
      <c r="D133" s="4" t="s">
        <v>654</v>
      </c>
      <c r="E133" t="s">
        <v>370</v>
      </c>
      <c r="F133" t="s">
        <v>370</v>
      </c>
      <c r="G133" t="s">
        <v>371</v>
      </c>
      <c r="H133" s="3" t="s">
        <v>653</v>
      </c>
      <c r="I133" s="3" t="s">
        <v>653</v>
      </c>
      <c r="J133">
        <v>1140</v>
      </c>
      <c r="K133">
        <v>1090</v>
      </c>
      <c r="L133">
        <v>925</v>
      </c>
      <c r="M133" s="3" t="s">
        <v>653</v>
      </c>
      <c r="N133">
        <v>1430</v>
      </c>
      <c r="O133">
        <v>1285</v>
      </c>
      <c r="P133">
        <v>1090</v>
      </c>
      <c r="Q133" t="s">
        <v>27</v>
      </c>
      <c r="R133">
        <v>11</v>
      </c>
      <c r="S133">
        <v>1</v>
      </c>
      <c r="T133" s="3" t="s">
        <v>655</v>
      </c>
      <c r="U133" s="3" t="s">
        <v>655</v>
      </c>
      <c r="V133" s="3">
        <v>0</v>
      </c>
      <c r="W133" s="3" t="str">
        <f t="shared" si="4"/>
        <v>(340,null,1,'2025-11-27 00:00:00','003316020060000-33160200603','003316020060000-33160200603','小儿海绵状血管瘤切除术（中）',null,null,1140,1090,925,null,1430,1285,1090,'次',11,1,'normal','normal',0),</v>
      </c>
    </row>
    <row r="134" spans="1:23">
      <c r="A134">
        <v>341</v>
      </c>
      <c r="B134" s="3" t="s">
        <v>653</v>
      </c>
      <c r="C134" s="3">
        <v>1</v>
      </c>
      <c r="D134" s="4" t="s">
        <v>654</v>
      </c>
      <c r="E134" t="s">
        <v>372</v>
      </c>
      <c r="F134" t="s">
        <v>372</v>
      </c>
      <c r="G134" t="s">
        <v>373</v>
      </c>
      <c r="H134" s="3" t="s">
        <v>653</v>
      </c>
      <c r="I134" s="3" t="s">
        <v>653</v>
      </c>
      <c r="J134">
        <v>1625</v>
      </c>
      <c r="K134">
        <v>1560</v>
      </c>
      <c r="L134">
        <v>1325</v>
      </c>
      <c r="M134" s="3" t="s">
        <v>653</v>
      </c>
      <c r="N134">
        <v>1925</v>
      </c>
      <c r="O134">
        <v>1730</v>
      </c>
      <c r="P134">
        <v>1470</v>
      </c>
      <c r="Q134" t="s">
        <v>27</v>
      </c>
      <c r="R134">
        <v>11</v>
      </c>
      <c r="S134">
        <v>1</v>
      </c>
      <c r="T134" s="3" t="s">
        <v>655</v>
      </c>
      <c r="U134" s="3" t="s">
        <v>655</v>
      </c>
      <c r="V134" s="3">
        <v>0</v>
      </c>
      <c r="W134" s="3" t="str">
        <f t="shared" si="4"/>
        <v>(341,null,1,'2025-11-27 00:00:00','003316020060002-33160200604','003316020060002-33160200604','小儿海绵状血管瘤切除术（中）-激光手术',null,null,1625,1560,1325,null,1925,1730,1470,'次',11,1,'normal','normal',0),</v>
      </c>
    </row>
    <row r="135" spans="1:23">
      <c r="A135">
        <v>342</v>
      </c>
      <c r="B135" s="3" t="s">
        <v>653</v>
      </c>
      <c r="C135" s="3">
        <v>1</v>
      </c>
      <c r="D135" s="4" t="s">
        <v>654</v>
      </c>
      <c r="E135" t="s">
        <v>374</v>
      </c>
      <c r="F135" t="s">
        <v>374</v>
      </c>
      <c r="G135" t="s">
        <v>375</v>
      </c>
      <c r="H135" s="3" t="s">
        <v>653</v>
      </c>
      <c r="I135" s="3" t="s">
        <v>653</v>
      </c>
      <c r="J135">
        <v>230</v>
      </c>
      <c r="K135">
        <v>220</v>
      </c>
      <c r="L135">
        <v>185</v>
      </c>
      <c r="M135" s="3" t="s">
        <v>653</v>
      </c>
      <c r="N135">
        <v>285</v>
      </c>
      <c r="O135">
        <v>255</v>
      </c>
      <c r="P135">
        <v>220</v>
      </c>
      <c r="Q135" t="s">
        <v>27</v>
      </c>
      <c r="R135">
        <v>11</v>
      </c>
      <c r="S135">
        <v>1</v>
      </c>
      <c r="T135" s="3" t="s">
        <v>655</v>
      </c>
      <c r="U135" s="3" t="s">
        <v>655</v>
      </c>
      <c r="V135" s="3">
        <v>0</v>
      </c>
      <c r="W135" s="3" t="str">
        <f t="shared" si="4"/>
        <v>(342,null,1,'2025-11-27 00:00:00','003316020060001-33160200605','003316020060001-33160200605','小儿海绵状血管瘤切除术（中）-植皮术加收',null,null,230,220,185,null,285,255,220,'次',11,1,'normal','normal',0),</v>
      </c>
    </row>
    <row r="136" spans="1:23">
      <c r="A136">
        <v>343</v>
      </c>
      <c r="B136" s="3" t="s">
        <v>653</v>
      </c>
      <c r="C136" s="3">
        <v>1</v>
      </c>
      <c r="D136" s="4" t="s">
        <v>654</v>
      </c>
      <c r="E136" t="s">
        <v>376</v>
      </c>
      <c r="F136" t="s">
        <v>376</v>
      </c>
      <c r="G136" t="s">
        <v>377</v>
      </c>
      <c r="H136" s="3" t="s">
        <v>653</v>
      </c>
      <c r="I136" s="3" t="s">
        <v>653</v>
      </c>
      <c r="J136">
        <v>500</v>
      </c>
      <c r="K136">
        <v>480</v>
      </c>
      <c r="L136">
        <v>408</v>
      </c>
      <c r="M136" s="3" t="s">
        <v>653</v>
      </c>
      <c r="N136">
        <v>590</v>
      </c>
      <c r="O136">
        <v>530</v>
      </c>
      <c r="P136">
        <v>450</v>
      </c>
      <c r="Q136" t="s">
        <v>27</v>
      </c>
      <c r="R136">
        <v>11</v>
      </c>
      <c r="S136">
        <v>1</v>
      </c>
      <c r="T136" s="3" t="s">
        <v>655</v>
      </c>
      <c r="U136" s="3" t="s">
        <v>655</v>
      </c>
      <c r="V136" s="3">
        <v>0</v>
      </c>
      <c r="W136" s="3" t="str">
        <f t="shared" si="4"/>
        <v>(343,null,1,'2025-11-27 00:00:00','003316020070000-331602007','003316020070000-331602007','海绵状血管瘤切除术（小）',null,null,500,480,408,null,590,530,450,'次',11,1,'normal','normal',0),</v>
      </c>
    </row>
    <row r="137" spans="1:23">
      <c r="A137">
        <v>344</v>
      </c>
      <c r="B137" s="3" t="s">
        <v>653</v>
      </c>
      <c r="C137" s="3">
        <v>1</v>
      </c>
      <c r="D137" s="4" t="s">
        <v>654</v>
      </c>
      <c r="E137" t="s">
        <v>380</v>
      </c>
      <c r="F137" t="s">
        <v>380</v>
      </c>
      <c r="G137" t="s">
        <v>381</v>
      </c>
      <c r="H137" s="3" t="s">
        <v>653</v>
      </c>
      <c r="I137" s="3" t="s">
        <v>653</v>
      </c>
      <c r="J137">
        <v>100</v>
      </c>
      <c r="K137">
        <v>96</v>
      </c>
      <c r="L137">
        <v>81.6</v>
      </c>
      <c r="M137" s="3" t="s">
        <v>653</v>
      </c>
      <c r="N137">
        <v>118</v>
      </c>
      <c r="O137">
        <v>106</v>
      </c>
      <c r="P137">
        <v>90</v>
      </c>
      <c r="Q137" t="s">
        <v>27</v>
      </c>
      <c r="R137">
        <v>11</v>
      </c>
      <c r="S137">
        <v>1</v>
      </c>
      <c r="T137" s="3" t="s">
        <v>655</v>
      </c>
      <c r="U137" s="3" t="s">
        <v>655</v>
      </c>
      <c r="V137" s="3">
        <v>0</v>
      </c>
      <c r="W137" s="3" t="str">
        <f t="shared" si="4"/>
        <v>(344,null,1,'2025-11-27 00:00:00','003316020070001-33160200701','003316020070001-33160200701','海绵状血管瘤切除术（小）-植皮术加收',null,null,100,96,81.6,null,118,106,90,'次',11,1,'normal','normal',0),</v>
      </c>
    </row>
    <row r="138" spans="1:23">
      <c r="A138">
        <v>345</v>
      </c>
      <c r="B138" s="3" t="s">
        <v>653</v>
      </c>
      <c r="C138" s="3">
        <v>1</v>
      </c>
      <c r="D138" s="4" t="s">
        <v>654</v>
      </c>
      <c r="E138" t="s">
        <v>382</v>
      </c>
      <c r="F138" t="s">
        <v>382</v>
      </c>
      <c r="G138" t="s">
        <v>383</v>
      </c>
      <c r="H138" s="3" t="s">
        <v>653</v>
      </c>
      <c r="I138" s="3" t="s">
        <v>653</v>
      </c>
      <c r="J138">
        <v>875</v>
      </c>
      <c r="K138">
        <v>840</v>
      </c>
      <c r="L138">
        <v>714</v>
      </c>
      <c r="M138" s="3" t="s">
        <v>653</v>
      </c>
      <c r="N138">
        <v>930</v>
      </c>
      <c r="O138">
        <v>840</v>
      </c>
      <c r="P138">
        <v>715</v>
      </c>
      <c r="Q138" t="s">
        <v>27</v>
      </c>
      <c r="R138">
        <v>11</v>
      </c>
      <c r="S138">
        <v>1</v>
      </c>
      <c r="T138" s="3" t="s">
        <v>655</v>
      </c>
      <c r="U138" s="3" t="s">
        <v>655</v>
      </c>
      <c r="V138" s="3">
        <v>0</v>
      </c>
      <c r="W138" s="3" t="str">
        <f t="shared" si="4"/>
        <v>(345,null,1,'2025-11-27 00:00:00','003316020070002-33160200702','003316020070002-33160200702','海绵状血管瘤切除术（小）-激光手术',null,null,875,840,714,null,930,840,715,'次',11,1,'normal','normal',0),</v>
      </c>
    </row>
    <row r="139" spans="1:23">
      <c r="A139">
        <v>346</v>
      </c>
      <c r="B139" s="3" t="s">
        <v>653</v>
      </c>
      <c r="C139" s="3">
        <v>1</v>
      </c>
      <c r="D139" s="4" t="s">
        <v>654</v>
      </c>
      <c r="E139" t="s">
        <v>384</v>
      </c>
      <c r="F139" t="s">
        <v>384</v>
      </c>
      <c r="G139" t="s">
        <v>385</v>
      </c>
      <c r="H139" s="3" t="s">
        <v>653</v>
      </c>
      <c r="I139" s="3" t="s">
        <v>653</v>
      </c>
      <c r="J139">
        <v>650</v>
      </c>
      <c r="K139">
        <v>625</v>
      </c>
      <c r="L139">
        <v>530</v>
      </c>
      <c r="M139" s="3" t="s">
        <v>653</v>
      </c>
      <c r="N139">
        <v>765</v>
      </c>
      <c r="O139">
        <v>690</v>
      </c>
      <c r="P139">
        <v>585</v>
      </c>
      <c r="Q139" t="s">
        <v>27</v>
      </c>
      <c r="R139">
        <v>11</v>
      </c>
      <c r="S139">
        <v>1</v>
      </c>
      <c r="T139" s="3" t="s">
        <v>655</v>
      </c>
      <c r="U139" s="3" t="s">
        <v>655</v>
      </c>
      <c r="V139" s="3">
        <v>0</v>
      </c>
      <c r="W139" s="3" t="str">
        <f t="shared" si="4"/>
        <v>(346,null,1,'2025-11-27 00:00:00','003316020070000-33160200703','003316020070000-33160200703','小儿海绵状血管瘤切除术（小）',null,null,650,625,530,null,765,690,585,'次',11,1,'normal','normal',0),</v>
      </c>
    </row>
    <row r="140" spans="1:23">
      <c r="A140">
        <v>347</v>
      </c>
      <c r="B140" s="3" t="s">
        <v>653</v>
      </c>
      <c r="C140" s="3">
        <v>1</v>
      </c>
      <c r="D140" s="4" t="s">
        <v>654</v>
      </c>
      <c r="E140" t="s">
        <v>386</v>
      </c>
      <c r="F140" t="s">
        <v>386</v>
      </c>
      <c r="G140" t="s">
        <v>387</v>
      </c>
      <c r="H140" s="3" t="s">
        <v>653</v>
      </c>
      <c r="I140" s="3" t="s">
        <v>653</v>
      </c>
      <c r="J140">
        <v>130</v>
      </c>
      <c r="K140">
        <v>125</v>
      </c>
      <c r="L140">
        <v>105</v>
      </c>
      <c r="M140" s="3" t="s">
        <v>653</v>
      </c>
      <c r="N140">
        <v>155</v>
      </c>
      <c r="O140">
        <v>140</v>
      </c>
      <c r="P140">
        <v>115</v>
      </c>
      <c r="Q140" t="s">
        <v>27</v>
      </c>
      <c r="R140">
        <v>11</v>
      </c>
      <c r="S140">
        <v>1</v>
      </c>
      <c r="T140" s="3" t="s">
        <v>655</v>
      </c>
      <c r="U140" s="3" t="s">
        <v>655</v>
      </c>
      <c r="V140" s="3">
        <v>0</v>
      </c>
      <c r="W140" s="3" t="str">
        <f t="shared" si="4"/>
        <v>(347,null,1,'2025-11-27 00:00:00','003316020070001-33160200704','003316020070001-33160200704','小儿海绵状血管瘤切除术（小）-植皮术加收',null,null,130,125,105,null,155,140,115,'次',11,1,'normal','normal',0),</v>
      </c>
    </row>
    <row r="141" spans="1:23">
      <c r="A141">
        <v>348</v>
      </c>
      <c r="B141" s="3" t="s">
        <v>653</v>
      </c>
      <c r="C141" s="3">
        <v>1</v>
      </c>
      <c r="D141" s="4" t="s">
        <v>654</v>
      </c>
      <c r="E141" t="s">
        <v>388</v>
      </c>
      <c r="F141" t="s">
        <v>388</v>
      </c>
      <c r="G141" t="s">
        <v>389</v>
      </c>
      <c r="H141" s="3" t="s">
        <v>653</v>
      </c>
      <c r="I141" s="3" t="s">
        <v>653</v>
      </c>
      <c r="J141">
        <v>1140</v>
      </c>
      <c r="K141">
        <v>1090</v>
      </c>
      <c r="L141">
        <v>925</v>
      </c>
      <c r="M141" s="3" t="s">
        <v>653</v>
      </c>
      <c r="N141">
        <v>1210</v>
      </c>
      <c r="O141">
        <v>1090</v>
      </c>
      <c r="P141">
        <v>930</v>
      </c>
      <c r="Q141" t="s">
        <v>27</v>
      </c>
      <c r="R141">
        <v>11</v>
      </c>
      <c r="S141">
        <v>1</v>
      </c>
      <c r="T141" s="3" t="s">
        <v>655</v>
      </c>
      <c r="U141" s="3" t="s">
        <v>655</v>
      </c>
      <c r="V141" s="3">
        <v>0</v>
      </c>
      <c r="W141" s="3" t="str">
        <f t="shared" si="4"/>
        <v>(348,null,1,'2025-11-27 00:00:00','003316020070002-33160200705','003316020070002-33160200705','小儿海绵状血管瘤切除术（小）-激光手术',null,null,1140,1090,925,null,1210,1090,930,'次',11,1,'normal','normal',0),</v>
      </c>
    </row>
    <row r="142" spans="1:23">
      <c r="A142">
        <v>349</v>
      </c>
      <c r="B142" s="3" t="s">
        <v>653</v>
      </c>
      <c r="C142" s="3">
        <v>1</v>
      </c>
      <c r="D142" s="4" t="s">
        <v>654</v>
      </c>
      <c r="E142" t="s">
        <v>390</v>
      </c>
      <c r="F142" t="s">
        <v>390</v>
      </c>
      <c r="G142" t="s">
        <v>391</v>
      </c>
      <c r="H142" s="3" t="s">
        <v>653</v>
      </c>
      <c r="I142" s="3" t="s">
        <v>653</v>
      </c>
      <c r="J142">
        <v>1250</v>
      </c>
      <c r="K142">
        <v>1200</v>
      </c>
      <c r="L142">
        <v>1020</v>
      </c>
      <c r="M142" s="3" t="s">
        <v>653</v>
      </c>
      <c r="N142">
        <v>1580</v>
      </c>
      <c r="O142">
        <v>1425</v>
      </c>
      <c r="P142">
        <v>1210</v>
      </c>
      <c r="Q142" t="s">
        <v>27</v>
      </c>
      <c r="R142">
        <v>11</v>
      </c>
      <c r="S142">
        <v>1</v>
      </c>
      <c r="T142" s="3" t="s">
        <v>655</v>
      </c>
      <c r="U142" s="3" t="s">
        <v>655</v>
      </c>
      <c r="V142" s="3">
        <v>0</v>
      </c>
      <c r="W142" s="3" t="str">
        <f t="shared" si="4"/>
        <v>(349,null,1,'2025-11-27 00:00:00','003316020130000-331602013','003316020130000-331602013','皮肤恶性肿瘤切除术',null,null,1250,1200,1020,null,1580,1425,1210,'次',11,1,'normal','normal',0),</v>
      </c>
    </row>
    <row r="143" spans="1:23">
      <c r="A143">
        <v>350</v>
      </c>
      <c r="B143" s="3" t="s">
        <v>653</v>
      </c>
      <c r="C143" s="3">
        <v>1</v>
      </c>
      <c r="D143" s="4" t="s">
        <v>654</v>
      </c>
      <c r="E143" t="s">
        <v>393</v>
      </c>
      <c r="F143" t="s">
        <v>393</v>
      </c>
      <c r="G143" t="s">
        <v>394</v>
      </c>
      <c r="H143" s="3" t="s">
        <v>653</v>
      </c>
      <c r="I143" s="3" t="s">
        <v>653</v>
      </c>
      <c r="J143">
        <v>625</v>
      </c>
      <c r="K143">
        <v>600</v>
      </c>
      <c r="L143">
        <v>510</v>
      </c>
      <c r="M143" s="3" t="s">
        <v>653</v>
      </c>
      <c r="N143">
        <v>790</v>
      </c>
      <c r="O143">
        <v>715</v>
      </c>
      <c r="P143">
        <v>605</v>
      </c>
      <c r="Q143" t="s">
        <v>27</v>
      </c>
      <c r="R143">
        <v>11</v>
      </c>
      <c r="S143">
        <v>1</v>
      </c>
      <c r="T143" s="3" t="s">
        <v>655</v>
      </c>
      <c r="U143" s="3" t="s">
        <v>655</v>
      </c>
      <c r="V143" s="3">
        <v>0</v>
      </c>
      <c r="W143" s="3" t="str">
        <f t="shared" si="4"/>
        <v>(350,null,1,'2025-11-27 00:00:00','003316020130001-33160201301','003316020130001-33160201301','皮肤恶性肿瘤切除术（植皮加收）',null,null,625,600,510,null,790,715,605,'次',11,1,'normal','normal',0),</v>
      </c>
    </row>
    <row r="144" spans="1:23">
      <c r="A144">
        <v>351</v>
      </c>
      <c r="B144" s="3" t="s">
        <v>653</v>
      </c>
      <c r="C144" s="3">
        <v>1</v>
      </c>
      <c r="D144" s="4" t="s">
        <v>654</v>
      </c>
      <c r="E144" t="s">
        <v>396</v>
      </c>
      <c r="F144" t="s">
        <v>396</v>
      </c>
      <c r="G144" t="s">
        <v>397</v>
      </c>
      <c r="H144" s="3" t="s">
        <v>653</v>
      </c>
      <c r="I144" s="3" t="s">
        <v>653</v>
      </c>
      <c r="J144">
        <v>1500</v>
      </c>
      <c r="K144">
        <v>1440</v>
      </c>
      <c r="L144">
        <v>1224</v>
      </c>
      <c r="M144" s="3" t="s">
        <v>653</v>
      </c>
      <c r="N144">
        <v>1895</v>
      </c>
      <c r="O144">
        <v>1710</v>
      </c>
      <c r="P144">
        <v>1452</v>
      </c>
      <c r="Q144" t="s">
        <v>27</v>
      </c>
      <c r="R144">
        <v>11</v>
      </c>
      <c r="S144">
        <v>1</v>
      </c>
      <c r="T144" s="3" t="s">
        <v>655</v>
      </c>
      <c r="U144" s="3" t="s">
        <v>655</v>
      </c>
      <c r="V144" s="3">
        <v>0</v>
      </c>
      <c r="W144" s="3" t="str">
        <f t="shared" si="4"/>
        <v>(351,null,1,'2025-11-27 00:00:00','003316020130000-33160201302','003316020130000-33160201302','皮肤恶性肿瘤切除术（头面颈部＞5cm2，躯干四肢&gt;2cm2）',null,null,1500,1440,1224,null,1895,1710,1452,'次',11,1,'normal','normal',0),</v>
      </c>
    </row>
    <row r="145" spans="1:23">
      <c r="A145">
        <v>352</v>
      </c>
      <c r="B145" s="3" t="s">
        <v>653</v>
      </c>
      <c r="C145" s="3">
        <v>1</v>
      </c>
      <c r="D145" s="4" t="s">
        <v>654</v>
      </c>
      <c r="E145" t="s">
        <v>399</v>
      </c>
      <c r="F145" t="s">
        <v>399</v>
      </c>
      <c r="G145" t="s">
        <v>400</v>
      </c>
      <c r="H145" s="3" t="s">
        <v>653</v>
      </c>
      <c r="I145" s="3" t="s">
        <v>653</v>
      </c>
      <c r="J145">
        <v>1625</v>
      </c>
      <c r="K145">
        <v>1560</v>
      </c>
      <c r="L145">
        <v>1325</v>
      </c>
      <c r="M145" s="3" t="s">
        <v>653</v>
      </c>
      <c r="N145">
        <v>2055</v>
      </c>
      <c r="O145">
        <v>1855</v>
      </c>
      <c r="P145">
        <v>1575</v>
      </c>
      <c r="Q145" t="s">
        <v>27</v>
      </c>
      <c r="R145">
        <v>11</v>
      </c>
      <c r="S145">
        <v>1</v>
      </c>
      <c r="T145" s="3" t="s">
        <v>655</v>
      </c>
      <c r="U145" s="3" t="s">
        <v>655</v>
      </c>
      <c r="V145" s="3">
        <v>0</v>
      </c>
      <c r="W145" s="3" t="str">
        <f t="shared" si="4"/>
        <v>(352,null,1,'2025-11-27 00:00:00','003316020130000-33160201303','003316020130000-33160201303','小儿皮肤恶性肿瘤切除术',null,null,1625,1560,1325,null,2055,1855,1575,'次',11,1,'normal','normal',0),</v>
      </c>
    </row>
    <row r="146" spans="1:23">
      <c r="A146">
        <v>353</v>
      </c>
      <c r="B146" s="3" t="s">
        <v>653</v>
      </c>
      <c r="C146" s="3">
        <v>1</v>
      </c>
      <c r="D146" s="4" t="s">
        <v>654</v>
      </c>
      <c r="E146" t="s">
        <v>401</v>
      </c>
      <c r="F146" t="s">
        <v>401</v>
      </c>
      <c r="G146" t="s">
        <v>402</v>
      </c>
      <c r="H146" s="3" t="s">
        <v>653</v>
      </c>
      <c r="I146" s="3" t="s">
        <v>653</v>
      </c>
      <c r="J146">
        <v>815</v>
      </c>
      <c r="K146">
        <v>780</v>
      </c>
      <c r="L146">
        <v>665</v>
      </c>
      <c r="M146" s="3" t="s">
        <v>653</v>
      </c>
      <c r="N146">
        <v>1025</v>
      </c>
      <c r="O146">
        <v>930</v>
      </c>
      <c r="P146">
        <v>785</v>
      </c>
      <c r="Q146" t="s">
        <v>27</v>
      </c>
      <c r="R146">
        <v>11</v>
      </c>
      <c r="S146">
        <v>1</v>
      </c>
      <c r="T146" s="3" t="s">
        <v>655</v>
      </c>
      <c r="U146" s="3" t="s">
        <v>655</v>
      </c>
      <c r="V146" s="3">
        <v>0</v>
      </c>
      <c r="W146" s="3" t="str">
        <f t="shared" si="4"/>
        <v>(353,null,1,'2025-11-27 00:00:00','003316020130001-33160201304','003316020130001-33160201304','小儿皮肤恶性肿瘤切除术（植皮加收）',null,null,815,780,665,null,1025,930,785,'次',11,1,'normal','normal',0),</v>
      </c>
    </row>
    <row r="147" spans="1:23">
      <c r="A147">
        <v>354</v>
      </c>
      <c r="B147" s="3" t="s">
        <v>653</v>
      </c>
      <c r="C147" s="3">
        <v>1</v>
      </c>
      <c r="D147" s="4" t="s">
        <v>654</v>
      </c>
      <c r="E147" t="s">
        <v>403</v>
      </c>
      <c r="F147" t="s">
        <v>403</v>
      </c>
      <c r="G147" t="s">
        <v>404</v>
      </c>
      <c r="H147" s="3" t="s">
        <v>653</v>
      </c>
      <c r="I147" s="3" t="s">
        <v>653</v>
      </c>
      <c r="J147">
        <v>1950</v>
      </c>
      <c r="K147">
        <v>1870</v>
      </c>
      <c r="L147">
        <v>1590</v>
      </c>
      <c r="M147" s="3" t="s">
        <v>653</v>
      </c>
      <c r="N147">
        <v>2465</v>
      </c>
      <c r="O147">
        <v>2225</v>
      </c>
      <c r="P147">
        <v>1890</v>
      </c>
      <c r="Q147" t="s">
        <v>27</v>
      </c>
      <c r="R147">
        <v>11</v>
      </c>
      <c r="S147">
        <v>1</v>
      </c>
      <c r="T147" s="3" t="s">
        <v>655</v>
      </c>
      <c r="U147" s="3" t="s">
        <v>655</v>
      </c>
      <c r="V147" s="3">
        <v>0</v>
      </c>
      <c r="W147" s="3" t="str">
        <f t="shared" si="4"/>
        <v>(354,null,1,'2025-11-27 00:00:00','003316020130000-33160201305','003316020130000-33160201305','小儿皮肤恶性肿瘤切除术（头面颈部＞5cm2，躯干四肢&gt;2cm2）',null,null,1950,1870,1590,null,2465,2225,1890,'次',11,1,'normal','normal',0),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U16" sqref="U16"/>
    </sheetView>
  </sheetViews>
  <sheetFormatPr defaultColWidth="9" defaultRowHeight="14.2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理顺比价</vt:lpstr>
      <vt:lpstr>医院意见</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HIKVISION</dc:creator>
  <cp:lastModifiedBy>QHTF</cp:lastModifiedBy>
  <dcterms:created xsi:type="dcterms:W3CDTF">2025-10-26T20:33:00Z</dcterms:created>
  <dcterms:modified xsi:type="dcterms:W3CDTF">2026-01-20T11:47:10Z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4B5C0C86B07C651D9D0C2469AD80A88A</vt:lpwstr>
  </property>
  <property fmtid="{D5CDD505-2E9C-101B-9397-08002B2CF9AE}" pid="3" name="KSOProductBuildVer">
    <vt:lpwstr>2052-11.8.2.12219</vt:lpwstr>
  </property>
</Properties>
</file>