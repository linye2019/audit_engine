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35"/>
  </bookViews>
  <sheets>
    <sheet name="1" sheetId="1" r:id="rId1"/>
    <sheet name="Sheet1" sheetId="2" r:id="rId2"/>
    <sheet name="Sheet2" sheetId="3" r:id="rId3"/>
    <sheet name="Sheet3" sheetId="4" r:id="rId4"/>
  </sheets>
  <definedNames>
    <definedName name="_xlnm._FilterDatabase" localSheetId="0" hidden="1">'1'!$A$3:$AG$123</definedName>
    <definedName name="_xlnm._FilterDatabase" localSheetId="1" hidden="1">Sheet1!$A$1:$W$98</definedName>
    <definedName name="_xlnm.Print_Titles" localSheetId="0">'1'!$3:$3</definedName>
  </definedNames>
  <calcPr calcId="144525"/>
</workbook>
</file>

<file path=xl/sharedStrings.xml><?xml version="1.0" encoding="utf-8"?>
<sst xmlns="http://schemas.openxmlformats.org/spreadsheetml/2006/main" count="2627" uniqueCount="613">
  <si>
    <t>物理治疗类立项指南项目对应及拟定情况（征求意见稿）</t>
  </si>
  <si>
    <t>物理治疗类立项指南项目</t>
  </si>
  <si>
    <t>现行项目</t>
  </si>
  <si>
    <t>序号</t>
  </si>
  <si>
    <t>项目代码</t>
  </si>
  <si>
    <t>项目名称</t>
  </si>
  <si>
    <t>服务产出</t>
  </si>
  <si>
    <t>价格构成</t>
  </si>
  <si>
    <t>计价单位</t>
  </si>
  <si>
    <t>计价说明</t>
  </si>
  <si>
    <t>省三甲价格</t>
  </si>
  <si>
    <t>省三甲以下价格</t>
  </si>
  <si>
    <t>平移价格
(市级)</t>
  </si>
  <si>
    <t>平移价格
(县级)</t>
  </si>
  <si>
    <t>平移价格
(基层)</t>
  </si>
  <si>
    <t>拟定价格
(市级)</t>
  </si>
  <si>
    <t>拟定价格
(县级)</t>
  </si>
  <si>
    <t>拟定价格
(基层)</t>
  </si>
  <si>
    <t>医保
属性</t>
  </si>
  <si>
    <t>医保限定支付范围</t>
  </si>
  <si>
    <t>个人先行自付比例</t>
  </si>
  <si>
    <t>调整情况</t>
  </si>
  <si>
    <t>备注（泉州）</t>
  </si>
  <si>
    <t>国家结算编码</t>
  </si>
  <si>
    <t>项目编码</t>
  </si>
  <si>
    <t>项目内涵</t>
  </si>
  <si>
    <t>除外内容</t>
  </si>
  <si>
    <t>说明</t>
  </si>
  <si>
    <t>价格
(市级)</t>
  </si>
  <si>
    <t>价格
(县级)</t>
  </si>
  <si>
    <t>价格
(基层)</t>
  </si>
  <si>
    <t>015300000010000</t>
  </si>
  <si>
    <t>电刺激治疗费</t>
  </si>
  <si>
    <t>通过电流作用于体表或腔内对局部组织进行治疗。</t>
  </si>
  <si>
    <t>所定价格涵盖体位摆放、设备准备、消毒、设定参数、治疗、观察记录、处理用物等步骤所需的人力资源、设备成本与基本物质资源消耗。</t>
  </si>
  <si>
    <t>次</t>
  </si>
  <si>
    <t>“次”指20分钟，不足20分钟按照1次计费。一天多次治疗收费不超过60元。</t>
  </si>
  <si>
    <t>医保</t>
  </si>
  <si>
    <t/>
  </si>
  <si>
    <t>理顺</t>
  </si>
  <si>
    <r>
      <rPr>
        <sz val="10"/>
        <color theme="1"/>
        <rFont val="仿宋"/>
        <charset val="0"/>
      </rPr>
      <t>根据门诊数量和人次量计算，得出门诊次均费用（平移价格）。
省局考虑计价单位调整，按照对应部位价格</t>
    </r>
    <r>
      <rPr>
        <sz val="10"/>
        <color rgb="FF000000"/>
        <rFont val="Arial"/>
        <charset val="0"/>
      </rPr>
      <t>×</t>
    </r>
    <r>
      <rPr>
        <sz val="10"/>
        <color theme="1"/>
        <rFont val="仿宋"/>
        <charset val="0"/>
      </rPr>
      <t>2直接定价。我市参照制定价格，同质化高的项目市级持平省级，县级基层缩小价差。该项目计价单位变化，难以测算医疗费用基金。</t>
    </r>
  </si>
  <si>
    <t>003401000080000-340100008</t>
  </si>
  <si>
    <t>直流电治疗</t>
  </si>
  <si>
    <t>包括单纯直流电治疗、直流电药物离子导入治疗、直流电水浴治疗（单、双、四槽浴）、电化学疗法。</t>
  </si>
  <si>
    <t>药物</t>
  </si>
  <si>
    <t>每部位</t>
  </si>
  <si>
    <t>003401000090000-340100009</t>
  </si>
  <si>
    <t>低频脉冲电治疗</t>
  </si>
  <si>
    <t>包括感应电治疗、神经肌肉电刺激治疗、间动电疗、经皮神经电刺激治疗、功能性电刺激治疗、温热电脉冲治疗、微机功能性电刺激治疗、银棘状刺激疗法（SSP)</t>
  </si>
  <si>
    <t>003401000090100-34010000902</t>
  </si>
  <si>
    <t>低频脉冲感应电治疗</t>
  </si>
  <si>
    <t>感应电治疗</t>
  </si>
  <si>
    <t>003401000090200-34010000903</t>
  </si>
  <si>
    <t>低频脉冲神经肌肉电刺激治疗</t>
  </si>
  <si>
    <t>神经肌肉电刺激治疗</t>
  </si>
  <si>
    <t>003401000090300-34010000904</t>
  </si>
  <si>
    <t>低频脉冲间动电疗</t>
  </si>
  <si>
    <t>间动电疗</t>
  </si>
  <si>
    <t>003401000090400-34010000905</t>
  </si>
  <si>
    <t>经皮低频脉冲神经电刺激治疗</t>
  </si>
  <si>
    <t>经皮神经电刺激治疗</t>
  </si>
  <si>
    <t>003401000090500-34010000906</t>
  </si>
  <si>
    <t>低频脉冲功能性电刺激治疗</t>
  </si>
  <si>
    <t>功能性电刺激治疗</t>
  </si>
  <si>
    <t>003401000090600-34010000907</t>
  </si>
  <si>
    <t>低频温热电脉冲治疗</t>
  </si>
  <si>
    <t>温热电脉冲治疗</t>
  </si>
  <si>
    <t>003401000090700-34010000908</t>
  </si>
  <si>
    <t>低频脉冲微机功能性电刺激治疗</t>
  </si>
  <si>
    <t>微机功能性电刺激治疗</t>
  </si>
  <si>
    <t>003401000090800-34010000901</t>
  </si>
  <si>
    <t>低频脉冲银棘状刺激（SSP）电治疗</t>
  </si>
  <si>
    <t>银棘状刺激疗法(SSP)</t>
  </si>
  <si>
    <t>003401000100000-340100010</t>
  </si>
  <si>
    <t>中频脉冲电治疗</t>
  </si>
  <si>
    <t>包括中频脉冲电治疗、音频电治疗、干扰电治疗、动态干扰电治疗、立体动态干扰电治疗、调制中频电治疗、电脑中频电治疗</t>
  </si>
  <si>
    <t>015300000020000</t>
  </si>
  <si>
    <t>电化学治疗费</t>
  </si>
  <si>
    <t>通过电刺激诱导产生电化学反应对局部组织进行治疗。</t>
  </si>
  <si>
    <t>所定价格涵盖体位摆放、设备准备、消毒、设定参数、治疗、观察记录、处理用物，必要时穿刺等步骤所需的人力资源、设备成本与基本物质资源消耗。</t>
  </si>
  <si>
    <t>“次”指20分钟，不足20分钟按照1次计费。</t>
  </si>
  <si>
    <t>非医保</t>
  </si>
  <si>
    <t>新增价格</t>
  </si>
  <si>
    <t>新增价格，同质化较高的项目暂按不超过省三甲95%定价，县级基层缩小价差</t>
  </si>
  <si>
    <t>002407000030000-240700003</t>
  </si>
  <si>
    <t>体表肿瘤电化学治疗</t>
  </si>
  <si>
    <t>015300000030000</t>
  </si>
  <si>
    <t>电场治疗费</t>
  </si>
  <si>
    <t>通过静电场或其它方式产生的电场对局部组织进行治疗。</t>
  </si>
  <si>
    <t>003401000150000-340100015</t>
  </si>
  <si>
    <t>静电治疗</t>
  </si>
  <si>
    <t>包括低压、高压静电治疗、高电位治疗</t>
  </si>
  <si>
    <t>每20-30分钟</t>
  </si>
  <si>
    <t>015300000040000</t>
  </si>
  <si>
    <t>电火花共鸣治疗费</t>
  </si>
  <si>
    <t>通过火花放电产生高频电振荡作用于局部组织进行治疗。</t>
  </si>
  <si>
    <t>003401000110000-340100011</t>
  </si>
  <si>
    <t>共鸣火花治疗</t>
  </si>
  <si>
    <t>每5分钟</t>
  </si>
  <si>
    <t>015300000050000</t>
  </si>
  <si>
    <t>电凝治疗费</t>
  </si>
  <si>
    <t>通过使用电凝探头烧灼病变部位对浅表组织进行治疗。</t>
  </si>
  <si>
    <t>所定价格涵盖体位摆放、设备准备、消毒、设定参数、烧灼病变部位、创面止血、观察记录、处理用物等步骤所需的人力资源、设备成本与基本物质资源消耗。</t>
  </si>
  <si>
    <t>病灶</t>
  </si>
  <si>
    <t>提高</t>
  </si>
  <si>
    <t>省局根据项目间和区域间比价（我省价格偏低）提高价格，同质化较高的项目暂按不超过省三甲95%定价，县级基层缩小价差</t>
  </si>
  <si>
    <t>003114000140000-311400014</t>
  </si>
  <si>
    <t>皮肤赘生物电烧治疗</t>
  </si>
  <si>
    <t>包括皮赘去除术</t>
  </si>
  <si>
    <t>每个皮损</t>
  </si>
  <si>
    <t>015300000060000</t>
  </si>
  <si>
    <t>光敏治疗费</t>
  </si>
  <si>
    <t>使用光敏剂配合进行体表的光源治疗。</t>
  </si>
  <si>
    <t>所定价格涵盖体位摆放、设备准备、消毒、口服或涂抹光敏剂、设定参数、照射、观察记录、处理用物等步骤所需的人力资源、设备成本与基本物质资源消耗。</t>
  </si>
  <si>
    <t>每照射区</t>
  </si>
  <si>
    <t>全身照射按照3个照射区费用封顶计费。</t>
  </si>
  <si>
    <t>003401000060000-340100006</t>
  </si>
  <si>
    <t>光敏疗法</t>
  </si>
  <si>
    <t>包括紫外线、激光</t>
  </si>
  <si>
    <t>每个照射区</t>
  </si>
  <si>
    <t>015300000070000</t>
  </si>
  <si>
    <t>光动力治疗费（浅表）</t>
  </si>
  <si>
    <t>使用光源照射进行体表或浅表病变的光敏感药物治疗。</t>
  </si>
  <si>
    <t>所定价格涵盖体位摆放、设备准备、消毒、外敷、输注或灌注光敏剂、设定参数、照射、观察记录、处理用物等步骤所需的人力资源、设备成本与基本物质资源消耗。</t>
  </si>
  <si>
    <t>部位</t>
  </si>
  <si>
    <t>腔道粘膜病变按浅表收费。</t>
  </si>
  <si>
    <t>新增</t>
  </si>
  <si>
    <t>新增项目，同质化较高的项目暂按不超过省三甲95%定价，县级基层缩小价差</t>
  </si>
  <si>
    <t>015300000080000</t>
  </si>
  <si>
    <t>光动力治疗费（深部）</t>
  </si>
  <si>
    <t>使用光源照射进行深部病灶或肿瘤的光敏感药物治疗。</t>
  </si>
  <si>
    <t>所定价格涵盖体位摆放、设备准备、消毒、输注或灌注光敏剂、设定参数、照射、观察记录、处理用物等步骤所需的人力资源、设备成本与基本物质资源消耗。</t>
  </si>
  <si>
    <t>腔道粘膜肿瘤按深部收费。</t>
  </si>
  <si>
    <t>新增项目，按浅表的2倍定价</t>
  </si>
  <si>
    <t>015300000090000</t>
  </si>
  <si>
    <t>紫外线照射治疗费</t>
  </si>
  <si>
    <t>通过紫外线照射进行体表治疗。</t>
  </si>
  <si>
    <t>所定价格涵盖体位摆放、设备准备、消毒、设定参数、照射、观察记录、处理用物等步骤所需的人力资源、设备成本与基本物质资源消耗。</t>
  </si>
  <si>
    <t>理顺，降低</t>
  </si>
  <si>
    <t>不区分全身及部分紫外线照射定价；且紫外线比可见光、红外线增加防护措施成本。降低该项目价格理顺项目间比价</t>
  </si>
  <si>
    <t>003401000040000-340100004</t>
  </si>
  <si>
    <t>紫外线治疗</t>
  </si>
  <si>
    <t>包括长、中、短波紫外线、低压紫外线、高压紫外线、水冷式、导子紫外线、生物剂量测定、光化学疗法。</t>
  </si>
  <si>
    <t>003114000150000-311400015</t>
  </si>
  <si>
    <t>黑光治疗（PUVA治疗）</t>
  </si>
  <si>
    <t>每个部位</t>
  </si>
  <si>
    <t>分项</t>
  </si>
  <si>
    <t>015300000090100</t>
  </si>
  <si>
    <t>紫外线照射治疗费-白斑紫外线照射治疗（扩展）</t>
  </si>
  <si>
    <t>扩展项按主项价格执行</t>
  </si>
  <si>
    <t>003114000580000-311400058</t>
  </si>
  <si>
    <t>窄谱紫外线治疗</t>
  </si>
  <si>
    <t>含UVA、UVB</t>
  </si>
  <si>
    <t>全身照射加收200%</t>
  </si>
  <si>
    <t>003114000580000-31140005801</t>
  </si>
  <si>
    <t>窄谱紫外线治疗（全身照射）</t>
  </si>
  <si>
    <t>全身照射</t>
  </si>
  <si>
    <t>015300000100000</t>
  </si>
  <si>
    <t>可见光照射治疗费</t>
  </si>
  <si>
    <t>通过可见光照射进行体表治疗。</t>
  </si>
  <si>
    <t>加权平均，同质化较高的项目暂按不超过省三甲95%定价，县级基层缩小价差</t>
  </si>
  <si>
    <t>003401000020000-340100002</t>
  </si>
  <si>
    <t>可见光治疗</t>
  </si>
  <si>
    <t>包括红光照射、蓝光照射、蓝紫光照射、太阳灯照射。</t>
  </si>
  <si>
    <t>003114000160000-311400016</t>
  </si>
  <si>
    <t>红光治疗</t>
  </si>
  <si>
    <t>015300000110000</t>
  </si>
  <si>
    <t>红外线照射治疗费</t>
  </si>
  <si>
    <t>通过红外线照射进行体表治疗。</t>
  </si>
  <si>
    <r>
      <rPr>
        <sz val="10"/>
        <color theme="1"/>
        <rFont val="仿宋"/>
        <charset val="0"/>
      </rPr>
      <t>根据门诊数量和人次量计算，每人次门诊治疗量约1.5个部位；根据门诊总费用</t>
    </r>
    <r>
      <rPr>
        <sz val="10"/>
        <color rgb="FF000000"/>
        <rFont val="Arial"/>
        <charset val="0"/>
      </rPr>
      <t>÷</t>
    </r>
    <r>
      <rPr>
        <sz val="10"/>
        <color theme="1"/>
        <rFont val="仿宋"/>
        <charset val="0"/>
      </rPr>
      <t>门诊总人次，得出门诊治疗的次均费用（平移价格）。
按照省局定价原则，参照可见光照射治疗费定价</t>
    </r>
  </si>
  <si>
    <t>003401000010000-340100001</t>
  </si>
  <si>
    <t>红外线治疗</t>
  </si>
  <si>
    <t>包括远、近红外线：TDP、近红外线气功治疗、红外线真空拔罐治疗、红外线光浴治疗、远红外医疗舱治疗。</t>
  </si>
  <si>
    <t>每区照射不少于20分钟</t>
  </si>
  <si>
    <t>003105140030000-310514003</t>
  </si>
  <si>
    <t>口腔粘膜病特殊治疗</t>
  </si>
  <si>
    <t>冷冻法、红外线法、微波法、频谱法加收50%</t>
  </si>
  <si>
    <t>003105140030100-31051400301</t>
  </si>
  <si>
    <t>口腔粘膜病特殊治疗（冷冻法、红外线法、微波法、频谱法）</t>
  </si>
  <si>
    <t>冷冻法、红外线法、微波法、频谱法</t>
  </si>
  <si>
    <t>003401000030000-340100003</t>
  </si>
  <si>
    <t>偏振光照射</t>
  </si>
  <si>
    <t>015300000120000</t>
  </si>
  <si>
    <t>激光治疗费（理疗）</t>
  </si>
  <si>
    <t>通过不同强度的激光光束作用于体表进行无创治疗或理疗。</t>
  </si>
  <si>
    <r>
      <rPr>
        <sz val="10"/>
        <color theme="1"/>
        <rFont val="仿宋"/>
        <charset val="0"/>
      </rPr>
      <t>省局根据项目间</t>
    </r>
    <r>
      <rPr>
        <sz val="10"/>
        <color rgb="FFC00000"/>
        <rFont val="仿宋"/>
        <charset val="0"/>
      </rPr>
      <t>（激光治疗成本较红外线照射治疗、可见光照射治疗及紫外线照射治疗高）</t>
    </r>
    <r>
      <rPr>
        <sz val="10"/>
        <color theme="1"/>
        <rFont val="仿宋"/>
        <charset val="0"/>
      </rPr>
      <t>和区域间比价（我省价格偏低）提高价格，同质化较高的项目暂按不超过省三甲95%定价，县级基层缩小价差。</t>
    </r>
  </si>
  <si>
    <t>003401000050000-340100005</t>
  </si>
  <si>
    <t>激光疗法</t>
  </si>
  <si>
    <t>包括原光束、散焦激光疗法</t>
  </si>
  <si>
    <t>003103000840000-310300084</t>
  </si>
  <si>
    <t>低功率氦-氖激光治疗</t>
  </si>
  <si>
    <t>包括温热激光</t>
  </si>
  <si>
    <t>003103000840100-31030008401</t>
  </si>
  <si>
    <t>低功率氦-氖激光治疗（温热激光）</t>
  </si>
  <si>
    <t>015300000130000</t>
  </si>
  <si>
    <t>激光治疗费（浅表照射）</t>
  </si>
  <si>
    <t>通过不同强度的激光光束作用于体表或者腔内进行病变治疗。</t>
  </si>
  <si>
    <t>每病损</t>
  </si>
  <si>
    <t>每增加1个病损逐个递增计价，按照5个病损价格设置费用封顶线。</t>
  </si>
  <si>
    <t>加权平均,市级按不超过不超过省三甲定价，同质化高的项目缩小价格</t>
  </si>
  <si>
    <t>003105100080000-310510008</t>
  </si>
  <si>
    <t>激光口内治疗</t>
  </si>
  <si>
    <t>包括1.根管处置；2.牙周处置；3.各种斑、痣、小肿物、溃疡治疗</t>
  </si>
  <si>
    <t>病变范围增大加收加收50%</t>
  </si>
  <si>
    <t>003105100080100-31051000801</t>
  </si>
  <si>
    <t>激光口内治疗（根管处置）</t>
  </si>
  <si>
    <t>根管处置</t>
  </si>
  <si>
    <t>003105100080200-31051000802</t>
  </si>
  <si>
    <t>激光口内治疗（牙周处置）</t>
  </si>
  <si>
    <t>牙周处置</t>
  </si>
  <si>
    <t>003105100080000-31051000803</t>
  </si>
  <si>
    <t>激光口内治疗（各种斑、痣、小肿物、溃疡治疗）</t>
  </si>
  <si>
    <t>各种斑、痣、小肿物、溃疡治疗</t>
  </si>
  <si>
    <t>003105100080001-31051000804</t>
  </si>
  <si>
    <t>激光口内治疗（病变范围增大加收）</t>
  </si>
  <si>
    <t>病变范围增大加收</t>
  </si>
  <si>
    <t>003114000320000-311400032</t>
  </si>
  <si>
    <t>脉冲激光治疗</t>
  </si>
  <si>
    <t>包括鲜红斑痣等血管性皮肤病和太田痣等色素性皮肤病</t>
  </si>
  <si>
    <t>0.1cm2</t>
  </si>
  <si>
    <t>003114000330000-311400033</t>
  </si>
  <si>
    <t>二氧化碳（CO2）激光治疗</t>
  </si>
  <si>
    <t>包括体表良性增生物，如寻常疣、化脓性肉芽肿、脂溢性角化等</t>
  </si>
  <si>
    <t>003114000370000-311400037</t>
  </si>
  <si>
    <t>氩激光治疗</t>
  </si>
  <si>
    <t>包括小肿物</t>
  </si>
  <si>
    <t>003114000380000-311400038</t>
  </si>
  <si>
    <t>激光治疗腋臭</t>
  </si>
  <si>
    <t>单侧</t>
  </si>
  <si>
    <t>自主定价</t>
  </si>
  <si>
    <t>003114000360000-311400036</t>
  </si>
  <si>
    <t>氦氖（He-Ne）激光照射治疗</t>
  </si>
  <si>
    <t>包括过敏性疾患，疖肿及血管内照射等</t>
  </si>
  <si>
    <t>015300000140000</t>
  </si>
  <si>
    <t>磁疗费</t>
  </si>
  <si>
    <t>通过磁场作用于局部组织进行治疗。</t>
  </si>
  <si>
    <t>所定价格涵盖体位摆放、设备准备、放置磁极、设定参数、治疗、观察记录、处理用物等步骤所需的人力资源、设备成本与基本物质资源消耗。</t>
  </si>
  <si>
    <t>1.“次”指20分钟，不足20分钟按照1次计费。
2.全身磁疗按照3次费用计价。</t>
  </si>
  <si>
    <t>市级按不超过省三甲95%定价，同质化高的项目缩小价格</t>
  </si>
  <si>
    <t>003401000190000-340100019</t>
  </si>
  <si>
    <t>磁疗</t>
  </si>
  <si>
    <t>包括脉冲式、交变等不同机型又分低频磁、高频磁及热点磁、强磁场刺激、热磁振</t>
  </si>
  <si>
    <t>每20分钟</t>
  </si>
  <si>
    <t>全身立体超磁治疗加收150%</t>
  </si>
  <si>
    <t>003401000190000-34010001901</t>
  </si>
  <si>
    <t>全身立体超磁治疗加收</t>
  </si>
  <si>
    <t>每20钟</t>
  </si>
  <si>
    <t>004300000200000-430000020</t>
  </si>
  <si>
    <t>磁热疗法</t>
  </si>
  <si>
    <t>二个穴位</t>
  </si>
  <si>
    <t>003401000270000-340100027</t>
  </si>
  <si>
    <t>场效应治疗</t>
  </si>
  <si>
    <t>015300000150000</t>
  </si>
  <si>
    <t>热疗费</t>
  </si>
  <si>
    <t>通过传热介质或设备产生温热效应进行治疗。</t>
  </si>
  <si>
    <t>所定价格涵盖体位摆放、准备、消毒、治疗、观察记录、处理用物等步骤所需的人力资源、设备成本与基本物质资源消耗。</t>
  </si>
  <si>
    <t>003401000210000-340100021</t>
  </si>
  <si>
    <t>蜡疗</t>
  </si>
  <si>
    <t>包括浸蜡、刷蜡、蜡敷</t>
  </si>
  <si>
    <t>003401000220000-340100022</t>
  </si>
  <si>
    <t>泥疗</t>
  </si>
  <si>
    <t>包括电泥疗、泥敷</t>
  </si>
  <si>
    <t>全身泥疗加收</t>
  </si>
  <si>
    <t>003401000260000-340100026</t>
  </si>
  <si>
    <t>电按摩</t>
  </si>
  <si>
    <t>包括电动按摩、电热按摩、局部电按摩</t>
  </si>
  <si>
    <t>015300000160000</t>
  </si>
  <si>
    <t>冷疗费</t>
  </si>
  <si>
    <t>通过冷介质 (包含冰袋、冷疗包等)或专业设备实施的局部低温治疗。</t>
  </si>
  <si>
    <t>所定价格涵盖体位摆放、设备准备、设定参数、治疗、观察记录、处理用物等步骤所需的人力资源、设备成本与基本物质资源消耗。</t>
  </si>
  <si>
    <t>计价单位改变，省局根据项目间比价关系定价参照热疗价格</t>
  </si>
  <si>
    <t>003401000250000-340100025</t>
  </si>
  <si>
    <t>冷疗</t>
  </si>
  <si>
    <t>015300000170000</t>
  </si>
  <si>
    <t>冲击波治疗费</t>
  </si>
  <si>
    <t>通过体外冲击波设备向特定部位传递不同能量的冲击波作用于局部组织进行治疗。</t>
  </si>
  <si>
    <t>省局根据区域间和项目间比价及国家局指导意见，下调价格，同质化较高的项目暂按不超过省三甲95%定价，县级基层缩小价差。</t>
  </si>
  <si>
    <t>353401000280000-340100028</t>
  </si>
  <si>
    <t>冲击波疼痛治疗</t>
  </si>
  <si>
    <t>应用体外冲击波技术，在超声波定位下，确定治疗区域并进行冲击波治疗。治疗足底筋膜炎、钙化性肌腱炎、非钙化性肌腱炎、跟腱痛、转子滑囊炎、骼胫摩擦综合征、桡侧或尺侧肱骨上髁炎、胫骨缘综合征、常见性附着肌腱炎、肌触发痛点等。不含超声引导、心电图检查、血凝检查。</t>
  </si>
  <si>
    <t>015300000180000</t>
  </si>
  <si>
    <t>水疗费</t>
  </si>
  <si>
    <t>通过在浸浴、淋浴、气泡浴、旋涡浴等各种水疗浴槽中，利用水的物理特性进行治疗。</t>
  </si>
  <si>
    <t>所定价格涵盖体位摆放、水浴准备、浸泡治疗、观察记录、处理用物等步骤所需的人力资源、设备成本与基本物质资源消耗。</t>
  </si>
  <si>
    <t>不足10分钟不计费，超过10分钟按照1次计费。</t>
  </si>
  <si>
    <t>价格平移，我市价格持平省三甲，市级按不超过省三甲95%定价，同质化高的项目缩小价格</t>
  </si>
  <si>
    <t>003401000200000-340100020</t>
  </si>
  <si>
    <t>水疗</t>
  </si>
  <si>
    <t>包括药物浸浴、气泡浴、哈伯特槽浴（8字槽）旋涡浴（分上肢、下肢）</t>
  </si>
  <si>
    <t>003401000200100-34010002004</t>
  </si>
  <si>
    <t>水疗（旋涡浴）</t>
  </si>
  <si>
    <t>旋涡浴(分上肢、下肢)</t>
  </si>
  <si>
    <t>003401000200300-34010002002</t>
  </si>
  <si>
    <t>水疗（气泡浴）</t>
  </si>
  <si>
    <t>气泡浴</t>
  </si>
  <si>
    <t>003401000200400-34010002001</t>
  </si>
  <si>
    <t>水疗（药物浸浴）</t>
  </si>
  <si>
    <t>药物浸浴</t>
  </si>
  <si>
    <t>003401000200500-34010002003</t>
  </si>
  <si>
    <t>水疗（哈伯特槽浴-8字槽）</t>
  </si>
  <si>
    <t>哈伯特槽浴(8字槽)</t>
  </si>
  <si>
    <t>015300000190000</t>
  </si>
  <si>
    <t>气压治疗费</t>
  </si>
  <si>
    <t>采用正压/负压等不同压力方式作用于局部进行治疗。</t>
  </si>
  <si>
    <t>所定价格涵盖体位摆放、设备准备、设定参数、压力治疗、观察记录、处理用物等步骤所需的人力资源、设备成本与基本物质资源消耗。</t>
  </si>
  <si>
    <t>单肢</t>
  </si>
  <si>
    <t>003401000240000-340100024</t>
  </si>
  <si>
    <t>气压治疗</t>
  </si>
  <si>
    <t>包括肢体气压治疗、肢体正负压治疗</t>
  </si>
  <si>
    <t>015300000200000</t>
  </si>
  <si>
    <t>牵引治疗费</t>
  </si>
  <si>
    <t>采用牵引装置，通过调整牵引力及牵引方式进行治疗。</t>
  </si>
  <si>
    <t>所定价格涵盖体位摆放、设备准备、实时监测与反馈、观察记录、处理用物等步骤所需的人力资源、设备成本与基本物质资源消耗。</t>
  </si>
  <si>
    <t>平移取整</t>
  </si>
  <si>
    <t>平移取整，根据项目间比价关系，持平射频电疗费价格</t>
  </si>
  <si>
    <t>003401000230000-340100023</t>
  </si>
  <si>
    <t>牵引</t>
  </si>
  <si>
    <t>指土法牵引，包括悬吊治疗、脊柱矫正治疗</t>
  </si>
  <si>
    <t>电动牵引基层医院21.3元，县、市级医院25元；三维快速牵引基层医院42.5元，县、市级医院50元</t>
  </si>
  <si>
    <t>003401000230000-34010002301</t>
  </si>
  <si>
    <t>电动牵引</t>
  </si>
  <si>
    <t>003401000230600-34010002303</t>
  </si>
  <si>
    <t>牵引（悬吊治疗）</t>
  </si>
  <si>
    <t>悬吊治疗</t>
  </si>
  <si>
    <t>003401000230700-34010002304</t>
  </si>
  <si>
    <t>牵引（脊柱矫正治疗）</t>
  </si>
  <si>
    <t>脊柱矫正治疗</t>
  </si>
  <si>
    <t>003401000230500-34010002302</t>
  </si>
  <si>
    <t>三维快速牵引</t>
  </si>
  <si>
    <t>015300000210000</t>
  </si>
  <si>
    <t>射频电疗费</t>
  </si>
  <si>
    <t>通过射频设备作用于局部组织进行治疗。</t>
  </si>
  <si>
    <t>平移取整，县级理顺价格</t>
  </si>
  <si>
    <t>003109030060000-31090300601</t>
  </si>
  <si>
    <t>乙状结肠镜检查（使用多功能肛肠检查治疗仪检查加收）</t>
  </si>
  <si>
    <t>使用多功能肛肠检查治疗仪检查加收</t>
  </si>
  <si>
    <t>003401000140000-340100014</t>
  </si>
  <si>
    <t>射频电疗</t>
  </si>
  <si>
    <t>包括大功率短波、分米波、厘米波</t>
  </si>
  <si>
    <t>015300000220000</t>
  </si>
  <si>
    <t>超短波/短波治疗费</t>
  </si>
  <si>
    <t>通过超短波/短波设备作用于局部组织进行治疗。</t>
  </si>
  <si>
    <t>理顺，提高</t>
  </si>
  <si>
    <t>省局根据项目间比价关系，参照可见光价格</t>
  </si>
  <si>
    <t>003401000120000-340100012</t>
  </si>
  <si>
    <t>超短波短波治疗</t>
  </si>
  <si>
    <t>包括小功率超短波和短波、大功率超短波和短波、脉冲超短波和短波、体腔治疗。</t>
  </si>
  <si>
    <t>015300000230000</t>
  </si>
  <si>
    <t>微波治疗费</t>
  </si>
  <si>
    <t>通过微波设备作用于局部组织进行治疗。</t>
  </si>
  <si>
    <t>003401000130000-340100013</t>
  </si>
  <si>
    <t>微波治疗</t>
  </si>
  <si>
    <t>包括分米波、厘米波、毫米波、微波组织凝固、体腔治疗。</t>
  </si>
  <si>
    <t>015300000240000</t>
  </si>
  <si>
    <t>超声波治疗费（理疗）</t>
  </si>
  <si>
    <t>通过超声波设备作用于局部组织进行治疗或理疗。</t>
  </si>
  <si>
    <t>与超声波类其他同类项目不能同时收费。</t>
  </si>
  <si>
    <t>计价单位变化，按照根据门诊数量和人次量计算，根据门诊数量和人次量计算，得出门诊次均费用（平移价格），每人次14分钟（收费约2.8次）。同质化较高的项目缩小价差。</t>
  </si>
  <si>
    <t>003401000170000-340100017</t>
  </si>
  <si>
    <t>超声波治疗</t>
  </si>
  <si>
    <t>包括单纯超声、超声药物透入</t>
  </si>
  <si>
    <t>联合治疗加收60%</t>
  </si>
  <si>
    <t>003401000170001-34010001701</t>
  </si>
  <si>
    <t>超声波治疗（联合治疗）</t>
  </si>
  <si>
    <t>联合治疗</t>
  </si>
  <si>
    <t>015300000240001</t>
  </si>
  <si>
    <t>超声波治疗费（理疗）-聚焦超声治疗（加收）</t>
  </si>
  <si>
    <t>新增项目，同质化较高的项目暂按不超过省三甲定价，县级基层缩小价差</t>
  </si>
  <si>
    <t>015300000250000</t>
  </si>
  <si>
    <t>超声波治疗费（浅表治疗）</t>
  </si>
  <si>
    <t>通过超声波设备作用于局部组织进行浅表治疗。</t>
  </si>
  <si>
    <t>新增项目，省局根据项目间比价关系定价。在理疗基础加价50%</t>
  </si>
  <si>
    <t>015300000250001</t>
  </si>
  <si>
    <t>超声波治疗费（浅表治疗）-聚焦超声治疗（加收）</t>
  </si>
  <si>
    <t>新增项目，按项目间比价关系拟定</t>
  </si>
  <si>
    <t>015300000260000</t>
  </si>
  <si>
    <t>生物反馈重建治疗费</t>
  </si>
  <si>
    <t>通过应用电子仪器将人体内生物活动信息（肌电、脑电、皮温、心率、皮肤电阻等）转化为可识别的光、声、图像、曲线等信号并反馈给患者，调整生理功能及治疗某些身心疾病。</t>
  </si>
  <si>
    <t>所定价格涵盖体位摆放、设备准备、消毒、实时监测与反馈、训练、调节、观察记录、处理用物等步骤所需的人力资源、设备成本与基本物质资源消耗。</t>
  </si>
  <si>
    <t>加权平均，市级按不超过省三甲95%定价，同质化较高的项目缩小价差。</t>
  </si>
  <si>
    <t>003401000180000-340100018</t>
  </si>
  <si>
    <t>电子生物反馈疗法</t>
  </si>
  <si>
    <t>包括肌电、皮温、皮电、脑电、心率各种生物反馈</t>
  </si>
  <si>
    <t>003401000180100-34010001801</t>
  </si>
  <si>
    <t>肌电电子生物反馈</t>
  </si>
  <si>
    <t>肌电生物反馈</t>
  </si>
  <si>
    <t>003401000180200-34010001802</t>
  </si>
  <si>
    <t>皮温电子生物反馈</t>
  </si>
  <si>
    <t>皮温生物反馈</t>
  </si>
  <si>
    <t>003401000180300-34010001803</t>
  </si>
  <si>
    <t>皮电电子生物反馈</t>
  </si>
  <si>
    <t>皮电生物反馈</t>
  </si>
  <si>
    <t>003401000180500-34010001805</t>
  </si>
  <si>
    <t>心率电子生物反馈</t>
  </si>
  <si>
    <t>心率生物反馈</t>
  </si>
  <si>
    <t>003401000180400-34010001804</t>
  </si>
  <si>
    <t>脑电电子生物反馈</t>
  </si>
  <si>
    <t>脑电生物反馈</t>
  </si>
  <si>
    <t>003115030100000-311503010</t>
  </si>
  <si>
    <t>脑电生物反馈治疗</t>
  </si>
  <si>
    <t>003109040080000-310904008</t>
  </si>
  <si>
    <t>便秘及腹泻的生物反馈治疗</t>
  </si>
  <si>
    <t>013403000010000</t>
  </si>
  <si>
    <t>高强度聚焦超声治疗费</t>
  </si>
  <si>
    <t>使用高强度聚焦超声设备，对肿瘤或病变进行治疗。</t>
  </si>
  <si>
    <t>所定价格涵盖体位摆放、设备准备、制定计划、消毒、设定参数、定位、照射、处理用物等步骤所需的人力资源、设备成本与基本物质资源消耗。</t>
  </si>
  <si>
    <t>“次”指病灶数量3个及以下，超过3个病灶每增加1个按照10%加收，加收最高比例不超过50%。</t>
  </si>
  <si>
    <t>省局根据项目间比价关系定价，兼顾项目产出及历史价格情况，调至6000元。我市高强度聚焦超声热消融肿瘤治疗无开展量，高强度超声聚焦刀治疗开展量稍，结合我市市级，市级按省三甲90%定价，县、基层按比价关系拟定</t>
  </si>
  <si>
    <t>002407000020000-240700005</t>
  </si>
  <si>
    <t>高强度聚焦超声热消融肿瘤治疗</t>
  </si>
  <si>
    <t>指使用高强度超声聚焦设备对实体性肿瘤或囊性肿瘤、囊实性肿瘤、良性肿瘤实行的疗程式损毁治疗(由于治疗设备的超声强度和精确度的限制，或病灶的局限，无法实现肿瘤的一次性毁损，需要多次治疗才能完成)。换能器输出能量测定，术前麻醉或镇痛，体表准备，超声病灶定位，剂量与分布设计，照射，消融区超声实时监测。不含MRI术后评价。</t>
  </si>
  <si>
    <t>每疗程</t>
  </si>
  <si>
    <t>肿瘤直径≤5cm市级医院收6000元，县级医院收6000元，基层医院收5100元；肿瘤直径＞5cm加收1/6；两个及两个以上肿瘤的加收50%</t>
  </si>
  <si>
    <t>002407000020000-24070000501</t>
  </si>
  <si>
    <t>高强度聚焦超声热消融肿瘤治疗（肿瘤直径≤5cm）</t>
  </si>
  <si>
    <t>肿瘤直径≤5cm</t>
  </si>
  <si>
    <t>002407000020000-24070000502</t>
  </si>
  <si>
    <t>高强度聚焦超声热消融肿瘤治疗（肿瘤直径＞5cm）</t>
  </si>
  <si>
    <t>肿瘤直径＞5cm</t>
  </si>
  <si>
    <t>002407000020000-24070000503</t>
  </si>
  <si>
    <t>高强度聚焦超声热消融肿瘤治疗（两个及以上肿瘤加收）</t>
  </si>
  <si>
    <t>两个及两个以上肿瘤的加收</t>
  </si>
  <si>
    <t>002407000020000-240700002</t>
  </si>
  <si>
    <t>高强度超声聚焦刀治疗</t>
  </si>
  <si>
    <t>包括各种实体性恶性肿瘤治疗</t>
  </si>
  <si>
    <t>002407000020000-24070000201</t>
  </si>
  <si>
    <t>高强度超声聚焦刀治疗（浅部热疗）</t>
  </si>
  <si>
    <t>浅部热疗减半收费</t>
  </si>
  <si>
    <t>013403000010001</t>
  </si>
  <si>
    <t>高强度聚焦超声治疗费-恶性肿瘤（加收）</t>
  </si>
  <si>
    <t>恶性肿瘤加收10%</t>
  </si>
  <si>
    <t>3404</t>
  </si>
  <si>
    <t>4. 热疗</t>
  </si>
  <si>
    <t>013404000010000</t>
  </si>
  <si>
    <t>深部热疗费</t>
  </si>
  <si>
    <t>采用超声或电磁波，配合其他治疗或单独治疗手段对相应病变部位进行治疗。</t>
  </si>
  <si>
    <t>所定价格涵盖体位摆放、设备准备、消毒、设定参数、穿刺、热治疗、实时测温、观察记录、处理用物等步骤所需的人力资源、设备成本与基本物质资源消耗。</t>
  </si>
  <si>
    <t>限肿瘤患者使用。</t>
  </si>
  <si>
    <t>省局价格平移原项目深部热疗后提高价格，设置限肿瘤患者使用的限制条件，防止滥用。我市按比例提高价格，市级按省三甲90%定价，县、基层按比价关系拟定</t>
  </si>
  <si>
    <t>002407000010000-240700001</t>
  </si>
  <si>
    <t>深部热疗</t>
  </si>
  <si>
    <t>指超声、电磁波方法治疗各种肿瘤</t>
  </si>
  <si>
    <t>002407000010000-240700006</t>
  </si>
  <si>
    <t>全身大功率微波热疗</t>
  </si>
  <si>
    <t>填写患者基本资料、摆位要求。采用全身大功率微波热疗仪治疗，温度测量，温度要求39.5-42℃。</t>
  </si>
  <si>
    <t>002407000010000-340100029</t>
  </si>
  <si>
    <t>区域环形阵列热疗</t>
  </si>
  <si>
    <t>填写患者基本资料、摆位要求。采用BSD-2000热疗仪治疗，温度测量，热疗范围温度要求39.5-45℃。</t>
  </si>
  <si>
    <t>013404000020000</t>
  </si>
  <si>
    <t>腔内灌注治疗费</t>
  </si>
  <si>
    <t>通过灌注系统将灌注液灌注至体腔进行治疗。</t>
  </si>
  <si>
    <t>所定价格涵盖体位摆放、设备准备、消毒、设定参数、连接管路、灌注、观察记录、处理用物等步骤所需的人力资源、设备成本与基本物质资源消耗。</t>
  </si>
  <si>
    <t>平移</t>
  </si>
  <si>
    <t>价格平移</t>
  </si>
  <si>
    <t>003106060020100-31060600201</t>
  </si>
  <si>
    <t>结核病灌注治疗</t>
  </si>
  <si>
    <t>在胸腔穿刺或置管后，根据患者病情想胸腔注入药物进行灌注治疗</t>
  </si>
  <si>
    <t>013404000020001</t>
  </si>
  <si>
    <t>腔内灌注治疗费-腔内热循环灌注治疗（加收）</t>
  </si>
  <si>
    <t>降低</t>
  </si>
  <si>
    <t>根据省局定价规则为主项4倍</t>
  </si>
  <si>
    <t>003106060020000-310606002</t>
  </si>
  <si>
    <t>恶性肿瘤腔内灌注治疗</t>
  </si>
  <si>
    <t>包括腹腔恶性肿瘤热循环灌注治疗</t>
  </si>
  <si>
    <t>结核病灌注治疗市级按109元/次收取，县级按98元/次收取，基层按84元/次收取。</t>
  </si>
  <si>
    <t>013404000030000</t>
  </si>
  <si>
    <t>血管灌注治疗费</t>
  </si>
  <si>
    <t>通过灌注系统将灌注液灌注至血管进行治疗。</t>
  </si>
  <si>
    <t>所定价格涵盖体位摆放、设备准备、消毒、设定参数、穿刺、连接管路、灌注、观察记录、处理用物等步骤所需的人力资源、设备成本与基本物质资源消耗。不含影像学引导。</t>
  </si>
  <si>
    <t>省局价格平移主要项目经皮选择性动脉置管术（热灌注），我市价格偏低，提高价格，市级按省三甲90%定价，县、基层按比价关系拟定</t>
  </si>
  <si>
    <t>003202000040100-32020000401</t>
  </si>
  <si>
    <t>经皮选择性动脉置管术（各种药物治疗）</t>
  </si>
  <si>
    <t>各种药物治疗</t>
  </si>
  <si>
    <t>003202000040300-32020000403</t>
  </si>
  <si>
    <t>经皮选择性动脉置管术（热灌注）</t>
  </si>
  <si>
    <t>热灌注</t>
  </si>
  <si>
    <t>003202000130000-320200013</t>
  </si>
  <si>
    <t>经皮血管瘤腔内药物灌注术</t>
  </si>
  <si>
    <t>003202000130000-32020001301</t>
  </si>
  <si>
    <t>小儿经皮血管瘤腔内药物灌注术</t>
  </si>
  <si>
    <t>003203000020000-320300002</t>
  </si>
  <si>
    <t>肝动脉插管灌注术</t>
  </si>
  <si>
    <t>003203000020000-32030000201</t>
  </si>
  <si>
    <t>小儿肝动脉插管灌注术</t>
  </si>
  <si>
    <t>003305030090000-330503009</t>
  </si>
  <si>
    <t>颌内动脉插管灌注术</t>
  </si>
  <si>
    <t>包括颞浅动脉</t>
  </si>
  <si>
    <t>导管</t>
  </si>
  <si>
    <t>003305030090000-33050300901</t>
  </si>
  <si>
    <t>小儿颌内动脉插管灌注术</t>
  </si>
  <si>
    <t>013404000030001</t>
  </si>
  <si>
    <t>血管灌注治疗费-血管热循环灌注治疗（加收）</t>
  </si>
  <si>
    <t>加收项为主项10%</t>
  </si>
  <si>
    <t>3405</t>
  </si>
  <si>
    <t>5. 消融治疗</t>
  </si>
  <si>
    <t>013405000010000</t>
  </si>
  <si>
    <t>消融治疗费</t>
  </si>
  <si>
    <t>使用射频、微波、冷冻、激光、低温等离子、不可逆电穿孔、化学等方法通过经皮或开放手术方式对肿瘤或病变进行消融治疗。</t>
  </si>
  <si>
    <t>所定价格涵盖体位摆放、设备准备、消毒、设定参数、穿刺/切开、治疗、观察记录、处理用物等步骤所需的人力资源、设备成本与基本物质资源消耗。</t>
  </si>
  <si>
    <t>1.“次”指病灶数量3个及以下，超过3个病灶每增加1个按照10%加收。
2.在1次治疗中联合使用多种消融方式时，按照1次计费。</t>
  </si>
  <si>
    <t>加权平均我市价格倒挂省三甲，按不超过省级下调。</t>
  </si>
  <si>
    <t>003307030020000-330703002</t>
  </si>
  <si>
    <t>开胸肿瘤特殊治疗</t>
  </si>
  <si>
    <t>热疗加收50%</t>
  </si>
  <si>
    <t>003307030020000-33070300201</t>
  </si>
  <si>
    <t>开胸肿瘤特殊治疗（热疗）</t>
  </si>
  <si>
    <t>热疗</t>
  </si>
  <si>
    <t>003307030020000-33070300202</t>
  </si>
  <si>
    <t>小儿开胸肿瘤特殊治疗</t>
  </si>
  <si>
    <t>003307030020000-33070300203</t>
  </si>
  <si>
    <t>小儿开胸肿瘤特殊治疗（热疗）</t>
  </si>
  <si>
    <t>003307030010000-330703001</t>
  </si>
  <si>
    <t>开胸冷冻治疗</t>
  </si>
  <si>
    <t>含各种不能切除之胸部肿瘤</t>
  </si>
  <si>
    <t>003307030010000-33070300101</t>
  </si>
  <si>
    <t>小儿开胸冷冻治疗</t>
  </si>
  <si>
    <t>002407000040000-240700004</t>
  </si>
  <si>
    <t>经皮肿瘤消融术</t>
  </si>
  <si>
    <t>包括经皮利用射频、微波、冷冻等手段对肿瘤进行消融治疗</t>
  </si>
  <si>
    <t>消融套件</t>
  </si>
  <si>
    <t>消融套件指消融针、消融刀、消融电极主件及其附件，一次手术按一个套件进行收费。消融套件超过8000元，经皮肿瘤消融术按收费标准50%收取</t>
  </si>
  <si>
    <t>002407000040000-24070000401</t>
  </si>
  <si>
    <t>消融套件超过8000元</t>
  </si>
  <si>
    <t>003306040280000-330604028</t>
  </si>
  <si>
    <t>睡眠呼吸暂停综合症射频温控消融治疗术</t>
  </si>
  <si>
    <t>包括鼻甲、软腭、舌根肥大；鼻鼾症；阻塞性睡眠呼吸暂停综合症</t>
  </si>
  <si>
    <t>013405000010001</t>
  </si>
  <si>
    <t>消融治疗费-恶性肿瘤（加收）</t>
  </si>
  <si>
    <t>003310080130000-33100801301</t>
  </si>
  <si>
    <t>腹腔恶性肿瘤特殊治疗（激光法、射频消融法）</t>
  </si>
  <si>
    <t>激光法、射频消融法</t>
  </si>
  <si>
    <t>003310080130000-33100801303</t>
  </si>
  <si>
    <t>小儿腹腔恶性肿瘤特殊治疗（激光法、射频消融法）</t>
  </si>
  <si>
    <t>003310050100000-331005010</t>
  </si>
  <si>
    <t>开腹恶性肿瘤特殊治疗</t>
  </si>
  <si>
    <t>指微波、冷冻法。含注药。</t>
  </si>
  <si>
    <t>激光法、射频消融法基层医院1224元，县级医院1440元，市级医院1500元</t>
  </si>
  <si>
    <t>003310050100000-33100501001</t>
  </si>
  <si>
    <t>开腹恶性肿瘤特殊治疗（激光法、射频消融法）</t>
  </si>
  <si>
    <t>003310050100000-33100501002</t>
  </si>
  <si>
    <t>小儿开腹恶性肿瘤特殊治疗</t>
  </si>
  <si>
    <t>003310050100000-33100501003</t>
  </si>
  <si>
    <t>小儿开腹恶性肿瘤特殊治疗（激光法、射频消融法）</t>
  </si>
  <si>
    <t>013405000020000</t>
  </si>
  <si>
    <t>复合集成消融治疗费</t>
  </si>
  <si>
    <t>通过采用多种消融方式复合集成式对肿瘤或病变进行消融治疗。</t>
  </si>
  <si>
    <t>所定价格涵盖体位摆放、设备准备、消毒、设定参数、穿刺、治疗、观察记录、处理用物等步骤所需的人力资源、设备成本与基本物质资源消耗。</t>
  </si>
  <si>
    <t>1.“次”指病灶数量3个及以下，超过3个病灶每增加1个按照10%加收。
2.“复合集成消融治疗”指的是1次治疗中使用集成式消融方式。</t>
  </si>
  <si>
    <t>新增项目，按比价关系拟定。</t>
  </si>
  <si>
    <t>013405000020001</t>
  </si>
  <si>
    <t>复合集成消融治疗费-恶性肿瘤（加收）</t>
  </si>
  <si>
    <t>id</t>
  </si>
  <si>
    <t>code</t>
  </si>
  <si>
    <t>sever_type</t>
  </si>
  <si>
    <t>change_time</t>
  </si>
  <si>
    <t>old_hilist_code</t>
  </si>
  <si>
    <t>new_hilist_code</t>
  </si>
  <si>
    <t>hilist_name</t>
  </si>
  <si>
    <t>selfpay_prop</t>
  </si>
  <si>
    <t>old_price</t>
  </si>
  <si>
    <t>old_price_city</t>
  </si>
  <si>
    <t>old_price_town</t>
  </si>
  <si>
    <t>old_price_village</t>
  </si>
  <si>
    <t>new_price</t>
  </si>
  <si>
    <t>new_price_city</t>
  </si>
  <si>
    <t>new_price_town</t>
  </si>
  <si>
    <t>new_price_village</t>
  </si>
  <si>
    <t>unit</t>
  </si>
  <si>
    <t>batch</t>
  </si>
  <si>
    <t>is_use_old</t>
  </si>
  <si>
    <t>merge_type</t>
  </si>
  <si>
    <t>cnt_change_model</t>
  </si>
  <si>
    <t>cnt_change_value</t>
  </si>
  <si>
    <t>null</t>
  </si>
  <si>
    <t>2026-03-19 00:00:00</t>
  </si>
  <si>
    <t>merge</t>
  </si>
  <si>
    <t>limit</t>
  </si>
  <si>
    <t>normal</t>
  </si>
  <si>
    <t>main</t>
  </si>
  <si>
    <t>server_list_id</t>
  </si>
  <si>
    <t>is_main</t>
  </si>
  <si>
    <t>main_code</t>
  </si>
  <si>
    <t>A</t>
  </si>
  <si>
    <t>B</t>
  </si>
  <si>
    <t>C</t>
  </si>
  <si>
    <t>D</t>
  </si>
  <si>
    <t>E</t>
  </si>
  <si>
    <t>F</t>
  </si>
  <si>
    <t>G</t>
  </si>
  <si>
    <t>H</t>
  </si>
  <si>
    <t>I</t>
  </si>
  <si>
    <t>J</t>
  </si>
  <si>
    <t>K</t>
  </si>
  <si>
    <t>L</t>
  </si>
  <si>
    <t>M</t>
  </si>
  <si>
    <t>N</t>
  </si>
  <si>
    <t>O</t>
  </si>
  <si>
    <t>P</t>
  </si>
  <si>
    <t>Q</t>
  </si>
  <si>
    <t>R</t>
  </si>
  <si>
    <t>S</t>
  </si>
  <si>
    <t>T</t>
  </si>
  <si>
    <t>U</t>
  </si>
  <si>
    <t>V</t>
  </si>
  <si>
    <t>数量3</t>
  </si>
  <si>
    <t>数量2</t>
  </si>
  <si>
    <t>数量1</t>
  </si>
  <si>
    <t>预计差额3</t>
  </si>
  <si>
    <t>预计差额2</t>
  </si>
  <si>
    <t>预计差额1</t>
  </si>
  <si>
    <t>实际差额3</t>
  </si>
  <si>
    <t>实际差额2</t>
  </si>
  <si>
    <t>实际差额1</t>
  </si>
</sst>
</file>

<file path=xl/styles.xml><?xml version="1.0" encoding="utf-8"?>
<styleSheet xmlns="http://schemas.openxmlformats.org/spreadsheetml/2006/main">
  <numFmts count="5">
    <numFmt numFmtId="176" formatCode="0.00_);[Red]\(0.00\)"/>
    <numFmt numFmtId="42" formatCode="_ &quot;￥&quot;* #,##0_ ;_ &quot;￥&quot;* \-#,##0_ ;_ &quot;￥&quot;* &quot;-&quot;_ ;_ @_ "/>
    <numFmt numFmtId="43" formatCode="_ * #,##0.00_ ;_ * \-#,##0.00_ ;_ * &quot;-&quot;??_ ;_ @_ "/>
    <numFmt numFmtId="44" formatCode="_ &quot;￥&quot;* #,##0.00_ ;_ &quot;￥&quot;* \-#,##0.00_ ;_ &quot;￥&quot;* &quot;-&quot;??_ ;_ @_ "/>
    <numFmt numFmtId="41" formatCode="_ * #,##0_ ;_ * \-#,##0_ ;_ * &quot;-&quot;_ ;_ @_ "/>
  </numFmts>
  <fonts count="36">
    <font>
      <sz val="11"/>
      <color theme="1"/>
      <name val="宋体"/>
      <charset val="134"/>
      <scheme val="minor"/>
    </font>
    <font>
      <b/>
      <sz val="10"/>
      <color theme="1"/>
      <name val="Arial Unicode MS"/>
      <charset val="134"/>
    </font>
    <font>
      <sz val="6.75"/>
      <color theme="1"/>
      <name val="Arial Unicode MS"/>
      <charset val="134"/>
    </font>
    <font>
      <sz val="6.75"/>
      <color theme="1"/>
      <name val="宋体"/>
      <charset val="134"/>
      <scheme val="minor"/>
    </font>
    <font>
      <sz val="12"/>
      <name val="宋体"/>
      <charset val="134"/>
    </font>
    <font>
      <sz val="18"/>
      <color theme="1"/>
      <name val="楷体"/>
      <charset val="134"/>
    </font>
    <font>
      <b/>
      <sz val="10"/>
      <color theme="1"/>
      <name val="宋体"/>
      <charset val="134"/>
      <scheme val="minor"/>
    </font>
    <font>
      <sz val="10"/>
      <color theme="1"/>
      <name val="宋体"/>
      <charset val="134"/>
      <scheme val="minor"/>
    </font>
    <font>
      <sz val="12"/>
      <color theme="1"/>
      <name val="CESI宋体-GB2312"/>
      <charset val="134"/>
    </font>
    <font>
      <sz val="22"/>
      <color theme="1"/>
      <name val="方正小标宋简体"/>
      <charset val="134"/>
    </font>
    <font>
      <b/>
      <sz val="10"/>
      <color theme="1"/>
      <name val="仿宋"/>
      <charset val="0"/>
    </font>
    <font>
      <b/>
      <sz val="10"/>
      <name val="仿宋"/>
      <charset val="0"/>
    </font>
    <font>
      <sz val="10"/>
      <color theme="1"/>
      <name val="仿宋"/>
      <charset val="0"/>
    </font>
    <font>
      <strike/>
      <sz val="10"/>
      <color theme="1"/>
      <name val="仿宋"/>
      <charset val="0"/>
    </font>
    <font>
      <sz val="10"/>
      <color rgb="FFFF0000"/>
      <name val="仿宋"/>
      <charset val="0"/>
    </font>
    <font>
      <b/>
      <sz val="11"/>
      <color rgb="FFFA7D00"/>
      <name val="宋体"/>
      <charset val="134"/>
      <scheme val="minor"/>
    </font>
    <font>
      <sz val="11"/>
      <color rgb="FF9C6500"/>
      <name val="宋体"/>
      <charset val="134"/>
      <scheme val="minor"/>
    </font>
    <font>
      <sz val="11"/>
      <color theme="0"/>
      <name val="宋体"/>
      <charset val="134"/>
      <scheme val="minor"/>
    </font>
    <font>
      <sz val="11"/>
      <color rgb="FFFF0000"/>
      <name val="宋体"/>
      <charset val="134"/>
      <scheme val="minor"/>
    </font>
    <font>
      <sz val="10"/>
      <name val="Arial"/>
      <charset val="134"/>
    </font>
    <font>
      <b/>
      <sz val="11"/>
      <color theme="3"/>
      <name val="宋体"/>
      <charset val="134"/>
      <scheme val="minor"/>
    </font>
    <font>
      <b/>
      <sz val="11"/>
      <color rgb="FFFFFFFF"/>
      <name val="宋体"/>
      <charset val="134"/>
      <scheme val="minor"/>
    </font>
    <font>
      <u/>
      <sz val="11"/>
      <color rgb="FF800080"/>
      <name val="宋体"/>
      <charset val="134"/>
      <scheme val="minor"/>
    </font>
    <font>
      <sz val="11"/>
      <color rgb="FF006100"/>
      <name val="宋体"/>
      <charset val="134"/>
      <scheme val="minor"/>
    </font>
    <font>
      <b/>
      <sz val="13"/>
      <color theme="3"/>
      <name val="宋体"/>
      <charset val="134"/>
      <scheme val="minor"/>
    </font>
    <font>
      <b/>
      <sz val="18"/>
      <color theme="3"/>
      <name val="宋体"/>
      <charset val="134"/>
      <scheme val="minor"/>
    </font>
    <font>
      <b/>
      <sz val="11"/>
      <color theme="1"/>
      <name val="宋体"/>
      <charset val="134"/>
      <scheme val="minor"/>
    </font>
    <font>
      <u/>
      <sz val="11"/>
      <color rgb="FF0000FF"/>
      <name val="宋体"/>
      <charset val="134"/>
      <scheme val="minor"/>
    </font>
    <font>
      <b/>
      <sz val="11"/>
      <color rgb="FF3F3F3F"/>
      <name val="宋体"/>
      <charset val="134"/>
      <scheme val="minor"/>
    </font>
    <font>
      <b/>
      <sz val="15"/>
      <color theme="3"/>
      <name val="宋体"/>
      <charset val="134"/>
      <scheme val="minor"/>
    </font>
    <font>
      <i/>
      <sz val="11"/>
      <color rgb="FF7F7F7F"/>
      <name val="宋体"/>
      <charset val="134"/>
      <scheme val="minor"/>
    </font>
    <font>
      <sz val="11"/>
      <color rgb="FFFA7D00"/>
      <name val="宋体"/>
      <charset val="134"/>
      <scheme val="minor"/>
    </font>
    <font>
      <sz val="11"/>
      <color rgb="FF3F3F76"/>
      <name val="宋体"/>
      <charset val="134"/>
      <scheme val="minor"/>
    </font>
    <font>
      <sz val="11"/>
      <color rgb="FF9C0006"/>
      <name val="宋体"/>
      <charset val="134"/>
      <scheme val="minor"/>
    </font>
    <font>
      <sz val="10"/>
      <color rgb="FF000000"/>
      <name val="Arial"/>
      <charset val="0"/>
    </font>
    <font>
      <sz val="10"/>
      <color rgb="FFC00000"/>
      <name val="仿宋"/>
      <charset val="0"/>
    </font>
  </fonts>
  <fills count="37">
    <fill>
      <patternFill patternType="none"/>
    </fill>
    <fill>
      <patternFill patternType="gray125"/>
    </fill>
    <fill>
      <patternFill patternType="solid">
        <fgColor theme="5" tint="0.799981688894314"/>
        <bgColor indexed="64"/>
      </patternFill>
    </fill>
    <fill>
      <patternFill patternType="solid">
        <fgColor theme="4" tint="0.8"/>
        <bgColor indexed="64"/>
      </patternFill>
    </fill>
    <fill>
      <patternFill patternType="solid">
        <fgColor theme="2" tint="-0.0999786370433668"/>
        <bgColor indexed="64"/>
      </patternFill>
    </fill>
    <fill>
      <patternFill patternType="solid">
        <fgColor rgb="FFEDEDED"/>
        <bgColor indexed="64"/>
      </patternFill>
    </fill>
    <fill>
      <patternFill patternType="solid">
        <fgColor theme="7" tint="0.799981688894314"/>
        <bgColor indexed="64"/>
      </patternFill>
    </fill>
    <fill>
      <patternFill patternType="solid">
        <fgColor theme="7" tint="0.8"/>
        <bgColor indexed="64"/>
      </patternFill>
    </fill>
    <fill>
      <patternFill patternType="solid">
        <fgColor theme="8" tint="0.599993896298105"/>
        <bgColor indexed="64"/>
      </patternFill>
    </fill>
    <fill>
      <patternFill patternType="solid">
        <fgColor rgb="FFF2F2F2"/>
        <bgColor indexed="64"/>
      </patternFill>
    </fill>
    <fill>
      <patternFill patternType="solid">
        <fgColor theme="9" tint="0.599993896298105"/>
        <bgColor indexed="64"/>
      </patternFill>
    </fill>
    <fill>
      <patternFill patternType="solid">
        <fgColor rgb="FFFFFFCC"/>
        <bgColor indexed="64"/>
      </patternFill>
    </fill>
    <fill>
      <patternFill patternType="solid">
        <fgColor rgb="FFFFEB9C"/>
        <bgColor indexed="64"/>
      </patternFill>
    </fill>
    <fill>
      <patternFill patternType="solid">
        <fgColor theme="8"/>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theme="9"/>
        <bgColor indexed="64"/>
      </patternFill>
    </fill>
    <fill>
      <patternFill patternType="solid">
        <fgColor rgb="FFA5A5A5"/>
        <bgColor indexed="64"/>
      </patternFill>
    </fill>
    <fill>
      <patternFill patternType="solid">
        <fgColor theme="7"/>
        <bgColor indexed="64"/>
      </patternFill>
    </fill>
    <fill>
      <patternFill patternType="solid">
        <fgColor theme="4" tint="0.799981688894314"/>
        <bgColor indexed="64"/>
      </patternFill>
    </fill>
    <fill>
      <patternFill patternType="solid">
        <fgColor theme="5"/>
        <bgColor indexed="64"/>
      </patternFill>
    </fill>
    <fill>
      <patternFill patternType="solid">
        <fgColor rgb="FFC6EFCE"/>
        <bgColor indexed="64"/>
      </patternFill>
    </fill>
    <fill>
      <patternFill patternType="solid">
        <fgColor theme="8" tint="0.399975585192419"/>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theme="4" tint="0.399975585192419"/>
        <bgColor indexed="64"/>
      </patternFill>
    </fill>
    <fill>
      <patternFill patternType="solid">
        <fgColor theme="6"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4"/>
        <bgColor indexed="64"/>
      </patternFill>
    </fill>
    <fill>
      <patternFill patternType="solid">
        <fgColor theme="7" tint="0.399975585192419"/>
        <bgColor indexed="64"/>
      </patternFill>
    </fill>
    <fill>
      <patternFill patternType="solid">
        <fgColor rgb="FFFFCC99"/>
        <bgColor indexed="64"/>
      </patternFill>
    </fill>
    <fill>
      <patternFill patternType="solid">
        <fgColor theme="5" tint="0.399975585192419"/>
        <bgColor indexed="64"/>
      </patternFill>
    </fill>
    <fill>
      <patternFill patternType="solid">
        <fgColor theme="4" tint="0.599993896298105"/>
        <bgColor indexed="64"/>
      </patternFill>
    </fill>
    <fill>
      <patternFill patternType="solid">
        <fgColor theme="9" tint="0.399975585192419"/>
        <bgColor indexed="64"/>
      </patternFill>
    </fill>
    <fill>
      <patternFill patternType="solid">
        <fgColor rgb="FFFFC7CE"/>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bottom style="medium">
        <color theme="4" tint="0.499984740745262"/>
      </bottom>
      <diagonal/>
    </border>
  </borders>
  <cellStyleXfs count="51">
    <xf numFmtId="0" fontId="0" fillId="0" borderId="0">
      <alignment vertical="center"/>
    </xf>
    <xf numFmtId="0" fontId="4" fillId="0" borderId="0"/>
    <xf numFmtId="0" fontId="17" fillId="35" borderId="0" applyNumberFormat="0" applyBorder="0" applyAlignment="0" applyProtection="0">
      <alignment vertical="center"/>
    </xf>
    <xf numFmtId="0" fontId="0" fillId="6" borderId="0" applyNumberFormat="0" applyBorder="0" applyAlignment="0" applyProtection="0">
      <alignment vertical="center"/>
    </xf>
    <xf numFmtId="0" fontId="17" fillId="19" borderId="0" applyNumberFormat="0" applyBorder="0" applyAlignment="0" applyProtection="0">
      <alignment vertical="center"/>
    </xf>
    <xf numFmtId="0" fontId="32" fillId="32" borderId="5" applyNumberFormat="0" applyAlignment="0" applyProtection="0">
      <alignment vertical="center"/>
    </xf>
    <xf numFmtId="0" fontId="0" fillId="29" borderId="0" applyNumberFormat="0" applyBorder="0" applyAlignment="0" applyProtection="0">
      <alignment vertical="center"/>
    </xf>
    <xf numFmtId="0" fontId="0" fillId="27" borderId="0" applyNumberFormat="0" applyBorder="0" applyAlignment="0" applyProtection="0">
      <alignment vertical="center"/>
    </xf>
    <xf numFmtId="44" fontId="0" fillId="0" borderId="0" applyFont="0" applyFill="0" applyBorder="0" applyAlignment="0" applyProtection="0">
      <alignment vertical="center"/>
    </xf>
    <xf numFmtId="0" fontId="17" fillId="28" borderId="0" applyNumberFormat="0" applyBorder="0" applyAlignment="0" applyProtection="0">
      <alignment vertical="center"/>
    </xf>
    <xf numFmtId="9" fontId="0" fillId="0" borderId="0" applyFont="0" applyFill="0" applyBorder="0" applyAlignment="0" applyProtection="0">
      <alignment vertical="center"/>
    </xf>
    <xf numFmtId="0" fontId="17" fillId="33" borderId="0" applyNumberFormat="0" applyBorder="0" applyAlignment="0" applyProtection="0">
      <alignment vertical="center"/>
    </xf>
    <xf numFmtId="0" fontId="17" fillId="23" borderId="0" applyNumberFormat="0" applyBorder="0" applyAlignment="0" applyProtection="0">
      <alignment vertical="center"/>
    </xf>
    <xf numFmtId="0" fontId="17" fillId="21" borderId="0" applyNumberFormat="0" applyBorder="0" applyAlignment="0" applyProtection="0">
      <alignment vertical="center"/>
    </xf>
    <xf numFmtId="0" fontId="17" fillId="26" borderId="0" applyNumberFormat="0" applyBorder="0" applyAlignment="0" applyProtection="0">
      <alignment vertical="center"/>
    </xf>
    <xf numFmtId="0" fontId="17" fillId="31" borderId="0" applyNumberFormat="0" applyBorder="0" applyAlignment="0" applyProtection="0">
      <alignment vertical="center"/>
    </xf>
    <xf numFmtId="0" fontId="15" fillId="9" borderId="5" applyNumberFormat="0" applyAlignment="0" applyProtection="0">
      <alignment vertical="center"/>
    </xf>
    <xf numFmtId="0" fontId="17" fillId="30" borderId="0" applyNumberFormat="0" applyBorder="0" applyAlignment="0" applyProtection="0">
      <alignment vertical="center"/>
    </xf>
    <xf numFmtId="0" fontId="16" fillId="12" borderId="0" applyNumberFormat="0" applyBorder="0" applyAlignment="0" applyProtection="0">
      <alignment vertical="center"/>
    </xf>
    <xf numFmtId="0" fontId="0" fillId="24" borderId="0" applyNumberFormat="0" applyBorder="0" applyAlignment="0" applyProtection="0">
      <alignment vertical="center"/>
    </xf>
    <xf numFmtId="0" fontId="23" fillId="22" borderId="0" applyNumberFormat="0" applyBorder="0" applyAlignment="0" applyProtection="0">
      <alignment vertical="center"/>
    </xf>
    <xf numFmtId="0" fontId="0" fillId="20" borderId="0" applyNumberFormat="0" applyBorder="0" applyAlignment="0" applyProtection="0">
      <alignment vertical="center"/>
    </xf>
    <xf numFmtId="0" fontId="26" fillId="0" borderId="9" applyNumberFormat="0" applyFill="0" applyAlignment="0" applyProtection="0">
      <alignment vertical="center"/>
    </xf>
    <xf numFmtId="0" fontId="33" fillId="36" borderId="0" applyNumberFormat="0" applyBorder="0" applyAlignment="0" applyProtection="0">
      <alignment vertical="center"/>
    </xf>
    <xf numFmtId="0" fontId="21" fillId="18" borderId="7" applyNumberFormat="0" applyAlignment="0" applyProtection="0">
      <alignment vertical="center"/>
    </xf>
    <xf numFmtId="0" fontId="28" fillId="9" borderId="10" applyNumberFormat="0" applyAlignment="0" applyProtection="0">
      <alignment vertical="center"/>
    </xf>
    <xf numFmtId="0" fontId="29" fillId="0" borderId="8" applyNumberFormat="0" applyFill="0" applyAlignment="0" applyProtection="0">
      <alignment vertical="center"/>
    </xf>
    <xf numFmtId="0" fontId="30" fillId="0" borderId="0" applyNumberFormat="0" applyFill="0" applyBorder="0" applyAlignment="0" applyProtection="0">
      <alignment vertical="center"/>
    </xf>
    <xf numFmtId="0" fontId="0" fillId="2" borderId="0" applyNumberFormat="0" applyBorder="0" applyAlignment="0" applyProtection="0">
      <alignment vertical="center"/>
    </xf>
    <xf numFmtId="0" fontId="20" fillId="0" borderId="0" applyNumberFormat="0" applyFill="0" applyBorder="0" applyAlignment="0" applyProtection="0">
      <alignment vertical="center"/>
    </xf>
    <xf numFmtId="0" fontId="19" fillId="0" borderId="0"/>
    <xf numFmtId="42" fontId="0" fillId="0" borderId="0" applyFont="0" applyFill="0" applyBorder="0" applyAlignment="0" applyProtection="0">
      <alignment vertical="center"/>
    </xf>
    <xf numFmtId="0" fontId="0" fillId="16" borderId="0" applyNumberFormat="0" applyBorder="0" applyAlignment="0" applyProtection="0">
      <alignment vertical="center"/>
    </xf>
    <xf numFmtId="43"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0" fillId="15" borderId="0" applyNumberFormat="0" applyBorder="0" applyAlignment="0" applyProtection="0">
      <alignment vertical="center"/>
    </xf>
    <xf numFmtId="0" fontId="18" fillId="0" borderId="0" applyNumberFormat="0" applyFill="0" applyBorder="0" applyAlignment="0" applyProtection="0">
      <alignment vertical="center"/>
    </xf>
    <xf numFmtId="0" fontId="17" fillId="14" borderId="0" applyNumberFormat="0" applyBorder="0" applyAlignment="0" applyProtection="0">
      <alignment vertical="center"/>
    </xf>
    <xf numFmtId="0" fontId="0" fillId="11" borderId="6" applyNumberFormat="0" applyFont="0" applyAlignment="0" applyProtection="0">
      <alignment vertical="center"/>
    </xf>
    <xf numFmtId="0" fontId="0" fillId="25" borderId="0" applyNumberFormat="0" applyBorder="0" applyAlignment="0" applyProtection="0">
      <alignment vertical="center"/>
    </xf>
    <xf numFmtId="0" fontId="17" fillId="13" borderId="0" applyNumberFormat="0" applyBorder="0" applyAlignment="0" applyProtection="0">
      <alignment vertical="center"/>
    </xf>
    <xf numFmtId="0" fontId="0" fillId="10" borderId="0" applyNumberFormat="0" applyBorder="0" applyAlignment="0" applyProtection="0">
      <alignment vertical="center"/>
    </xf>
    <xf numFmtId="0" fontId="27" fillId="0" borderId="0" applyNumberFormat="0" applyFill="0" applyBorder="0" applyAlignment="0" applyProtection="0">
      <alignment vertical="center"/>
    </xf>
    <xf numFmtId="41" fontId="0" fillId="0" borderId="0" applyFont="0" applyFill="0" applyBorder="0" applyAlignment="0" applyProtection="0">
      <alignment vertical="center"/>
    </xf>
    <xf numFmtId="0" fontId="24" fillId="0" borderId="8" applyNumberFormat="0" applyFill="0" applyAlignment="0" applyProtection="0">
      <alignment vertical="center"/>
    </xf>
    <xf numFmtId="0" fontId="0" fillId="8" borderId="0" applyNumberFormat="0" applyBorder="0" applyAlignment="0" applyProtection="0">
      <alignment vertical="center"/>
    </xf>
    <xf numFmtId="0" fontId="20" fillId="0" borderId="12" applyNumberFormat="0" applyFill="0" applyAlignment="0" applyProtection="0">
      <alignment vertical="center"/>
    </xf>
    <xf numFmtId="0" fontId="17" fillId="17" borderId="0" applyNumberFormat="0" applyBorder="0" applyAlignment="0" applyProtection="0">
      <alignment vertical="center"/>
    </xf>
    <xf numFmtId="0" fontId="0" fillId="34" borderId="0" applyNumberFormat="0" applyBorder="0" applyAlignment="0" applyProtection="0">
      <alignment vertical="center"/>
    </xf>
    <xf numFmtId="0" fontId="31" fillId="0" borderId="11" applyNumberFormat="0" applyFill="0" applyAlignment="0" applyProtection="0">
      <alignment vertical="center"/>
    </xf>
  </cellStyleXfs>
  <cellXfs count="81">
    <xf numFmtId="0" fontId="0" fillId="0" borderId="0" xfId="0">
      <alignment vertical="center"/>
    </xf>
    <xf numFmtId="0" fontId="1" fillId="0" borderId="0" xfId="0" applyFont="1" applyAlignment="1">
      <alignment horizontal="center" vertical="center" wrapText="1"/>
    </xf>
    <xf numFmtId="0" fontId="2" fillId="0" borderId="0" xfId="0" applyFont="1">
      <alignment vertical="center"/>
    </xf>
    <xf numFmtId="0" fontId="3" fillId="0" borderId="0" xfId="0" applyFont="1">
      <alignment vertical="center"/>
    </xf>
    <xf numFmtId="0" fontId="1" fillId="0" borderId="0" xfId="0" applyFont="1" applyFill="1" applyBorder="1" applyAlignment="1">
      <alignment horizontal="center" vertical="center" wrapText="1"/>
    </xf>
    <xf numFmtId="49" fontId="1" fillId="0" borderId="0" xfId="0" applyNumberFormat="1" applyFont="1" applyFill="1" applyBorder="1" applyAlignment="1">
      <alignment horizontal="center" vertical="center" wrapText="1"/>
    </xf>
    <xf numFmtId="0" fontId="0" fillId="0" borderId="0" xfId="0" applyFill="1" applyBorder="1" applyAlignment="1">
      <alignment vertical="center"/>
    </xf>
    <xf numFmtId="0" fontId="0" fillId="0" borderId="0" xfId="0" applyFont="1" applyFill="1" applyAlignment="1">
      <alignment vertical="center"/>
    </xf>
    <xf numFmtId="49" fontId="0" fillId="0" borderId="0" xfId="0" applyNumberFormat="1" applyFont="1" applyFill="1" applyBorder="1" applyAlignment="1">
      <alignment vertical="center"/>
    </xf>
    <xf numFmtId="0" fontId="4" fillId="0" borderId="0" xfId="0" applyFont="1" applyFill="1" applyAlignment="1">
      <alignment vertical="center"/>
    </xf>
    <xf numFmtId="0" fontId="0" fillId="0" borderId="0" xfId="0" applyFont="1" applyFill="1" applyBorder="1" applyAlignment="1">
      <alignment vertical="center"/>
    </xf>
    <xf numFmtId="0" fontId="5" fillId="0" borderId="0" xfId="0" applyFont="1">
      <alignment vertical="center"/>
    </xf>
    <xf numFmtId="0" fontId="6" fillId="0" borderId="0" xfId="0" applyFont="1" applyFill="1" applyAlignment="1">
      <alignment horizontal="center" vertical="center" wrapText="1"/>
    </xf>
    <xf numFmtId="0" fontId="7" fillId="0" borderId="0" xfId="0" applyFont="1" applyFill="1" applyAlignment="1">
      <alignment horizontal="center" vertical="center"/>
    </xf>
    <xf numFmtId="0" fontId="7" fillId="0" borderId="0" xfId="0" applyFont="1" applyAlignment="1">
      <alignment horizontal="center" vertical="center"/>
    </xf>
    <xf numFmtId="0" fontId="8" fillId="0" borderId="0" xfId="0" applyFont="1" applyFill="1" applyAlignment="1">
      <alignment horizontal="center" vertical="center"/>
    </xf>
    <xf numFmtId="0" fontId="8" fillId="0" borderId="0" xfId="0" applyFont="1" applyFill="1" applyAlignment="1">
      <alignment horizontal="center" vertical="center" wrapText="1"/>
    </xf>
    <xf numFmtId="0" fontId="8" fillId="0" borderId="0" xfId="0" applyFont="1" applyFill="1" applyAlignment="1">
      <alignment horizontal="left" vertical="center" wrapText="1"/>
    </xf>
    <xf numFmtId="9" fontId="8" fillId="0" borderId="0" xfId="0" applyNumberFormat="1" applyFont="1" applyFill="1" applyAlignment="1">
      <alignment horizontal="center" vertical="center" wrapText="1"/>
    </xf>
    <xf numFmtId="0" fontId="0" fillId="2" borderId="0" xfId="0" applyFont="1" applyFill="1">
      <alignment vertical="center"/>
    </xf>
    <xf numFmtId="0" fontId="0" fillId="0" borderId="0" xfId="0" applyFont="1">
      <alignment vertical="center"/>
    </xf>
    <xf numFmtId="9" fontId="0" fillId="0" borderId="0" xfId="0" applyNumberFormat="1" applyFont="1">
      <alignment vertical="center"/>
    </xf>
    <xf numFmtId="0" fontId="9" fillId="0" borderId="0" xfId="0" applyFont="1" applyFill="1" applyAlignment="1">
      <alignment horizontal="center" vertical="center"/>
    </xf>
    <xf numFmtId="0" fontId="5" fillId="3" borderId="0" xfId="0" applyFont="1" applyFill="1" applyAlignment="1">
      <alignment horizontal="center" vertical="center"/>
    </xf>
    <xf numFmtId="0" fontId="10" fillId="0" borderId="1" xfId="0" applyFont="1" applyFill="1" applyBorder="1" applyAlignment="1">
      <alignment horizontal="center" vertical="center" wrapText="1"/>
    </xf>
    <xf numFmtId="0" fontId="11" fillId="0" borderId="1" xfId="0" applyFont="1" applyFill="1" applyBorder="1" applyAlignment="1">
      <alignment horizontal="center" vertical="center" wrapText="1"/>
    </xf>
    <xf numFmtId="0" fontId="12" fillId="0" borderId="1" xfId="0" applyFont="1" applyFill="1" applyBorder="1" applyAlignment="1">
      <alignment horizontal="center" vertical="center"/>
    </xf>
    <xf numFmtId="0" fontId="12" fillId="0" borderId="1" xfId="0" applyFont="1" applyFill="1" applyBorder="1" applyAlignment="1">
      <alignment horizontal="center" vertical="center" wrapText="1"/>
    </xf>
    <xf numFmtId="0" fontId="12" fillId="0" borderId="1" xfId="0" applyFont="1" applyFill="1" applyBorder="1" applyAlignment="1">
      <alignment horizontal="left" vertical="center" wrapText="1"/>
    </xf>
    <xf numFmtId="0" fontId="12" fillId="0" borderId="2" xfId="0" applyFont="1" applyFill="1" applyBorder="1" applyAlignment="1">
      <alignment horizontal="center" vertical="center"/>
    </xf>
    <xf numFmtId="0" fontId="12" fillId="0" borderId="2"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0" borderId="3" xfId="0" applyFont="1" applyFill="1" applyBorder="1" applyAlignment="1">
      <alignment horizontal="center" vertical="center"/>
    </xf>
    <xf numFmtId="0" fontId="12" fillId="0" borderId="3" xfId="0" applyFont="1" applyFill="1" applyBorder="1" applyAlignment="1">
      <alignment horizontal="center" vertical="center" wrapText="1"/>
    </xf>
    <xf numFmtId="0" fontId="12" fillId="4" borderId="3" xfId="0" applyFont="1" applyFill="1" applyBorder="1" applyAlignment="1">
      <alignment horizontal="center" vertical="center" wrapText="1"/>
    </xf>
    <xf numFmtId="0" fontId="12" fillId="0" borderId="4" xfId="0" applyFont="1" applyFill="1" applyBorder="1" applyAlignment="1">
      <alignment horizontal="center" vertical="center"/>
    </xf>
    <xf numFmtId="0" fontId="12" fillId="0" borderId="4" xfId="0" applyFont="1" applyFill="1" applyBorder="1" applyAlignment="1">
      <alignment horizontal="center" vertical="center" wrapText="1"/>
    </xf>
    <xf numFmtId="0" fontId="12" fillId="4" borderId="4"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2" borderId="1" xfId="0" applyNumberFormat="1" applyFont="1" applyFill="1" applyBorder="1" applyAlignment="1">
      <alignment horizontal="center" vertical="center" wrapText="1"/>
    </xf>
    <xf numFmtId="0" fontId="12" fillId="2" borderId="1" xfId="0" applyFont="1" applyFill="1" applyBorder="1" applyAlignment="1">
      <alignment horizontal="center" vertical="center" wrapText="1"/>
    </xf>
    <xf numFmtId="0" fontId="12" fillId="2" borderId="2"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1" fillId="5" borderId="1" xfId="0" applyFont="1" applyFill="1" applyBorder="1" applyAlignment="1">
      <alignment horizontal="center" vertical="center" wrapText="1"/>
    </xf>
    <xf numFmtId="176" fontId="12" fillId="5" borderId="1" xfId="0" applyNumberFormat="1" applyFont="1" applyFill="1" applyBorder="1" applyAlignment="1">
      <alignment horizontal="center" vertical="center" wrapText="1"/>
    </xf>
    <xf numFmtId="0" fontId="12" fillId="5" borderId="1" xfId="0" applyFont="1" applyFill="1" applyBorder="1" applyAlignment="1">
      <alignment horizontal="center" vertical="center" wrapText="1"/>
    </xf>
    <xf numFmtId="176" fontId="12" fillId="5" borderId="2" xfId="0" applyNumberFormat="1" applyFont="1" applyFill="1" applyBorder="1" applyAlignment="1">
      <alignment horizontal="center" vertical="center" wrapText="1"/>
    </xf>
    <xf numFmtId="176" fontId="12" fillId="5" borderId="3" xfId="0" applyNumberFormat="1" applyFont="1" applyFill="1" applyBorder="1" applyAlignment="1">
      <alignment horizontal="center" vertical="center" wrapText="1"/>
    </xf>
    <xf numFmtId="176" fontId="12" fillId="5" borderId="4" xfId="0" applyNumberFormat="1" applyFont="1" applyFill="1" applyBorder="1" applyAlignment="1">
      <alignment horizontal="center" vertical="center" wrapText="1"/>
    </xf>
    <xf numFmtId="0" fontId="11" fillId="6" borderId="1" xfId="0" applyFont="1" applyFill="1" applyBorder="1" applyAlignment="1">
      <alignment horizontal="center" vertical="center" wrapText="1"/>
    </xf>
    <xf numFmtId="0" fontId="12" fillId="6" borderId="1" xfId="0" applyFont="1" applyFill="1" applyBorder="1" applyAlignment="1">
      <alignment horizontal="center" vertical="center" wrapText="1"/>
    </xf>
    <xf numFmtId="0" fontId="12" fillId="6" borderId="2" xfId="0" applyFont="1" applyFill="1" applyBorder="1" applyAlignment="1">
      <alignment horizontal="center" vertical="center" wrapText="1"/>
    </xf>
    <xf numFmtId="0" fontId="12" fillId="6" borderId="3" xfId="0" applyFont="1" applyFill="1" applyBorder="1" applyAlignment="1">
      <alignment horizontal="center" vertical="center" wrapText="1"/>
    </xf>
    <xf numFmtId="0" fontId="12" fillId="6" borderId="4" xfId="0" applyFont="1" applyFill="1" applyBorder="1" applyAlignment="1">
      <alignment horizontal="center" vertical="center" wrapText="1"/>
    </xf>
    <xf numFmtId="9" fontId="11" fillId="0" borderId="1" xfId="0" applyNumberFormat="1" applyFont="1" applyFill="1" applyBorder="1" applyAlignment="1">
      <alignment horizontal="center" vertical="center" wrapText="1"/>
    </xf>
    <xf numFmtId="0" fontId="11" fillId="4" borderId="1" xfId="0" applyFont="1" applyFill="1" applyBorder="1" applyAlignment="1">
      <alignment horizontal="center" vertical="center" wrapText="1"/>
    </xf>
    <xf numFmtId="9" fontId="12" fillId="0" borderId="1" xfId="0" applyNumberFormat="1" applyFont="1" applyFill="1" applyBorder="1" applyAlignment="1">
      <alignment horizontal="center" vertical="center" wrapText="1"/>
    </xf>
    <xf numFmtId="0" fontId="12" fillId="4" borderId="1" xfId="0" applyFont="1" applyFill="1" applyBorder="1" applyAlignment="1">
      <alignment horizontal="center" vertical="center" wrapText="1"/>
    </xf>
    <xf numFmtId="9" fontId="12" fillId="0" borderId="2" xfId="0" applyNumberFormat="1" applyFont="1" applyFill="1" applyBorder="1" applyAlignment="1">
      <alignment horizontal="center" vertical="center" wrapText="1"/>
    </xf>
    <xf numFmtId="0" fontId="5" fillId="7" borderId="0" xfId="0" applyFont="1" applyFill="1" applyAlignment="1">
      <alignment horizontal="center" vertical="center"/>
    </xf>
    <xf numFmtId="0" fontId="12" fillId="0" borderId="1" xfId="30" applyFont="1" applyFill="1" applyBorder="1" applyAlignment="1" applyProtection="1">
      <alignment horizontal="center" vertical="center" wrapText="1"/>
      <protection locked="0"/>
    </xf>
    <xf numFmtId="43" fontId="12" fillId="0" borderId="1" xfId="33" applyNumberFormat="1" applyFont="1" applyFill="1" applyBorder="1" applyAlignment="1" applyProtection="1">
      <alignment horizontal="center" vertical="center" wrapText="1"/>
      <protection locked="0"/>
    </xf>
    <xf numFmtId="0" fontId="13" fillId="0" borderId="1" xfId="30" applyFont="1" applyFill="1" applyBorder="1" applyAlignment="1" applyProtection="1">
      <alignment horizontal="center" vertical="center" wrapText="1"/>
      <protection locked="0"/>
    </xf>
    <xf numFmtId="0" fontId="12" fillId="0" borderId="1" xfId="30" applyFont="1" applyFill="1" applyBorder="1" applyAlignment="1" applyProtection="1">
      <alignment vertical="center" wrapText="1"/>
      <protection locked="0"/>
    </xf>
    <xf numFmtId="43" fontId="14" fillId="0" borderId="1" xfId="33" applyNumberFormat="1" applyFont="1" applyFill="1" applyBorder="1" applyAlignment="1" applyProtection="1">
      <alignment horizontal="center" vertical="center" wrapText="1"/>
      <protection locked="0"/>
    </xf>
    <xf numFmtId="0" fontId="12" fillId="0" borderId="1" xfId="30" applyFont="1" applyFill="1" applyBorder="1" applyAlignment="1">
      <alignment horizontal="center" vertical="center" wrapText="1"/>
    </xf>
    <xf numFmtId="0" fontId="12" fillId="0" borderId="1" xfId="30" applyFont="1" applyFill="1" applyBorder="1" applyAlignment="1" applyProtection="1">
      <alignment horizontal="left" vertical="center" wrapText="1"/>
      <protection locked="0"/>
    </xf>
    <xf numFmtId="0" fontId="12" fillId="2" borderId="1" xfId="0" applyNumberFormat="1" applyFont="1" applyFill="1" applyBorder="1" applyAlignment="1">
      <alignment horizontal="center" vertical="center"/>
    </xf>
    <xf numFmtId="0" fontId="12" fillId="2" borderId="1" xfId="0" applyFont="1" applyFill="1" applyBorder="1" applyAlignment="1">
      <alignment horizontal="center" vertical="center"/>
    </xf>
    <xf numFmtId="1" fontId="13" fillId="0" borderId="1" xfId="0" applyNumberFormat="1" applyFont="1" applyFill="1" applyBorder="1" applyAlignment="1">
      <alignment horizontal="center" vertical="center" wrapText="1"/>
    </xf>
    <xf numFmtId="9" fontId="5" fillId="0" borderId="0" xfId="0" applyNumberFormat="1" applyFont="1">
      <alignment vertical="center"/>
    </xf>
    <xf numFmtId="9" fontId="10" fillId="0" borderId="1" xfId="0" applyNumberFormat="1" applyFont="1" applyFill="1" applyBorder="1" applyAlignment="1">
      <alignment horizontal="center" vertical="center" wrapText="1"/>
    </xf>
    <xf numFmtId="9" fontId="12" fillId="0" borderId="1" xfId="0" applyNumberFormat="1" applyFont="1" applyFill="1" applyBorder="1" applyAlignment="1">
      <alignment horizontal="center" vertical="center"/>
    </xf>
    <xf numFmtId="0" fontId="14" fillId="0" borderId="1" xfId="0" applyFont="1" applyFill="1" applyBorder="1" applyAlignment="1">
      <alignment horizontal="center" vertical="center" wrapText="1"/>
    </xf>
    <xf numFmtId="0" fontId="12" fillId="0" borderId="1" xfId="0" applyFont="1" applyFill="1" applyBorder="1" applyAlignment="1" applyProtection="1">
      <alignment horizontal="center" vertical="center" wrapText="1"/>
      <protection locked="0"/>
    </xf>
    <xf numFmtId="43" fontId="13" fillId="0" borderId="1" xfId="33" applyNumberFormat="1" applyFont="1" applyFill="1" applyBorder="1" applyAlignment="1" applyProtection="1">
      <alignment horizontal="center" vertical="center" wrapText="1"/>
      <protection locked="0"/>
    </xf>
    <xf numFmtId="0" fontId="13" fillId="0" borderId="1" xfId="0" applyFont="1" applyFill="1" applyBorder="1" applyAlignment="1" applyProtection="1">
      <alignment horizontal="center" vertical="center" wrapText="1"/>
      <protection locked="0"/>
    </xf>
    <xf numFmtId="1" fontId="12" fillId="0" borderId="1" xfId="0" applyNumberFormat="1" applyFont="1" applyFill="1" applyBorder="1" applyAlignment="1">
      <alignment horizontal="center" vertical="center" wrapText="1"/>
    </xf>
    <xf numFmtId="0" fontId="12" fillId="0" borderId="1" xfId="30" applyNumberFormat="1" applyFont="1" applyFill="1" applyBorder="1" applyAlignment="1" applyProtection="1">
      <alignment horizontal="center" vertical="center" wrapText="1"/>
      <protection locked="0"/>
    </xf>
    <xf numFmtId="0" fontId="12" fillId="0" borderId="1" xfId="1" applyFont="1" applyFill="1" applyBorder="1" applyAlignment="1" applyProtection="1">
      <alignment horizontal="center" vertical="center" wrapText="1"/>
      <protection locked="0"/>
    </xf>
  </cellXfs>
  <cellStyles count="51">
    <cellStyle name="常规" xfId="0" builtinId="0"/>
    <cellStyle name="常规 17" xfId="1"/>
    <cellStyle name="60% - 强调文字颜色 6" xfId="2" builtinId="52"/>
    <cellStyle name="20% - 强调文字颜色 4" xfId="3" builtinId="42"/>
    <cellStyle name="强调文字颜色 4" xfId="4" builtinId="41"/>
    <cellStyle name="输入" xfId="5" builtinId="20"/>
    <cellStyle name="40% - 强调文字颜色 3" xfId="6" builtinId="39"/>
    <cellStyle name="20% - 强调文字颜色 3" xfId="7" builtinId="38"/>
    <cellStyle name="货币" xfId="8" builtinId="4"/>
    <cellStyle name="强调文字颜色 3" xfId="9" builtinId="37"/>
    <cellStyle name="百分比" xfId="10" builtinId="5"/>
    <cellStyle name="60% - 强调文字颜色 2" xfId="11" builtinId="36"/>
    <cellStyle name="60% - 强调文字颜色 5" xfId="12" builtinId="48"/>
    <cellStyle name="强调文字颜色 2" xfId="13" builtinId="33"/>
    <cellStyle name="60% - 强调文字颜色 1" xfId="14" builtinId="32"/>
    <cellStyle name="60% - 强调文字颜色 4" xfId="15" builtinId="44"/>
    <cellStyle name="计算" xfId="16" builtinId="22"/>
    <cellStyle name="强调文字颜色 1" xfId="17" builtinId="29"/>
    <cellStyle name="适中" xfId="18" builtinId="28"/>
    <cellStyle name="20% - 强调文字颜色 5" xfId="19" builtinId="46"/>
    <cellStyle name="好" xfId="20" builtinId="26"/>
    <cellStyle name="20% - 强调文字颜色 1" xfId="21" builtinId="30"/>
    <cellStyle name="汇总" xfId="22" builtinId="25"/>
    <cellStyle name="差" xfId="23" builtinId="27"/>
    <cellStyle name="检查单元格" xfId="24" builtinId="23"/>
    <cellStyle name="输出" xfId="25" builtinId="21"/>
    <cellStyle name="标题 1" xfId="26" builtinId="16"/>
    <cellStyle name="解释性文本" xfId="27" builtinId="53"/>
    <cellStyle name="20% - 强调文字颜色 2" xfId="28" builtinId="34"/>
    <cellStyle name="标题 4" xfId="29" builtinId="19"/>
    <cellStyle name="常规 10" xfId="30"/>
    <cellStyle name="货币[0]" xfId="31" builtinId="7"/>
    <cellStyle name="40% - 强调文字颜色 4" xfId="32" builtinId="43"/>
    <cellStyle name="千位分隔" xfId="33" builtinId="3"/>
    <cellStyle name="已访问的超链接" xfId="34" builtinId="9"/>
    <cellStyle name="标题" xfId="35" builtinId="15"/>
    <cellStyle name="40% - 强调文字颜色 2" xfId="36" builtinId="35"/>
    <cellStyle name="警告文本" xfId="37" builtinId="11"/>
    <cellStyle name="60% - 强调文字颜色 3" xfId="38" builtinId="40"/>
    <cellStyle name="注释" xfId="39" builtinId="10"/>
    <cellStyle name="20% - 强调文字颜色 6" xfId="40" builtinId="50"/>
    <cellStyle name="强调文字颜色 5" xfId="41" builtinId="45"/>
    <cellStyle name="40% - 强调文字颜色 6" xfId="42" builtinId="51"/>
    <cellStyle name="超链接" xfId="43" builtinId="8"/>
    <cellStyle name="千位分隔[0]" xfId="44" builtinId="6"/>
    <cellStyle name="标题 2" xfId="45" builtinId="17"/>
    <cellStyle name="40% - 强调文字颜色 5" xfId="46" builtinId="47"/>
    <cellStyle name="标题 3" xfId="47" builtinId="18"/>
    <cellStyle name="强调文字颜色 6" xfId="48" builtinId="49"/>
    <cellStyle name="40% - 强调文字颜色 1" xfId="49" builtinId="31"/>
    <cellStyle name="链接单元格" xfId="50" builtinId="24"/>
  </cellStyles>
  <tableStyles count="0" defaultTableStyle="TableStyleMedium2" defaultPivotStyle="PivotStyleLight16"/>
  <colors>
    <mruColors>
      <color rgb="00FF0000"/>
      <color rgb="00D0CECE"/>
      <color rgb="00F2F2F2"/>
      <color rgb="00E2EFDA"/>
      <color rgb="00EDEDED"/>
      <color rgb="00FCE4D6"/>
      <color rgb="00000000"/>
      <color rgb="00C00000"/>
      <color rgb="00FFF2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123"/>
  <sheetViews>
    <sheetView tabSelected="1" topLeftCell="I1" workbookViewId="0">
      <pane ySplit="3" topLeftCell="A4" activePane="bottomLeft" state="frozen"/>
      <selection/>
      <selection pane="bottomLeft" activeCell="M107" sqref="M107:O121"/>
    </sheetView>
  </sheetViews>
  <sheetFormatPr defaultColWidth="8.89166666666667" defaultRowHeight="20" customHeight="1"/>
  <cols>
    <col min="1" max="1" width="4.85833333333333" style="15" customWidth="1"/>
    <col min="2" max="2" width="16.25" style="16" customWidth="1"/>
    <col min="3" max="3" width="18.5" style="16" customWidth="1"/>
    <col min="4" max="4" width="19" style="17" customWidth="1"/>
    <col min="5" max="5" width="25.75" style="17" customWidth="1"/>
    <col min="6" max="6" width="5" style="16" customWidth="1"/>
    <col min="7" max="7" width="18.375" style="17" customWidth="1"/>
    <col min="8" max="9" width="7" style="16" customWidth="1"/>
    <col min="10" max="12" width="9.875" style="16" customWidth="1"/>
    <col min="13" max="15" width="9.625" style="16" customWidth="1"/>
    <col min="16" max="17" width="6.375" style="16" hidden="1" customWidth="1"/>
    <col min="18" max="18" width="6.375" style="18" hidden="1" customWidth="1"/>
    <col min="19" max="19" width="6.375" style="18" customWidth="1"/>
    <col min="20" max="20" width="28.6333333333333" style="17" customWidth="1"/>
    <col min="21" max="21" width="18" style="17" customWidth="1"/>
    <col min="22" max="22" width="14.125" style="17" customWidth="1"/>
    <col min="23" max="23" width="20.875" style="17" customWidth="1"/>
    <col min="24" max="25" width="20.875" style="17" hidden="1" customWidth="1"/>
    <col min="26" max="26" width="5.375" style="16" customWidth="1"/>
    <col min="27" max="27" width="20.875" style="17" hidden="1" customWidth="1"/>
    <col min="28" max="30" width="6.5" style="19" customWidth="1"/>
    <col min="31" max="32" width="4.75" style="20" hidden="1" customWidth="1"/>
    <col min="33" max="33" width="8.89166666666667" style="21" hidden="1" customWidth="1"/>
    <col min="34" max="218" width="8.89166666666667" style="20" customWidth="1"/>
    <col min="219" max="16384" width="8.89166666666667" style="20"/>
  </cols>
  <sheetData>
    <row r="1" ht="66" customHeight="1" spans="1:30">
      <c r="A1" s="22" t="s">
        <v>0</v>
      </c>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row>
    <row r="2" s="11" customFormat="1" ht="51" customHeight="1" spans="1:33">
      <c r="A2" s="23" t="s">
        <v>1</v>
      </c>
      <c r="B2" s="23"/>
      <c r="C2" s="23"/>
      <c r="D2" s="23"/>
      <c r="E2" s="23"/>
      <c r="F2" s="23"/>
      <c r="G2" s="23"/>
      <c r="H2" s="23"/>
      <c r="I2" s="23"/>
      <c r="J2" s="23"/>
      <c r="K2" s="23"/>
      <c r="L2" s="23"/>
      <c r="M2" s="23"/>
      <c r="N2" s="23"/>
      <c r="O2" s="23"/>
      <c r="P2" s="23"/>
      <c r="Q2" s="23"/>
      <c r="R2" s="23"/>
      <c r="S2" s="23"/>
      <c r="T2" s="23"/>
      <c r="U2" s="60" t="s">
        <v>2</v>
      </c>
      <c r="V2" s="60"/>
      <c r="W2" s="60"/>
      <c r="X2" s="60"/>
      <c r="Y2" s="60"/>
      <c r="Z2" s="60"/>
      <c r="AA2" s="60"/>
      <c r="AB2" s="60"/>
      <c r="AC2" s="60"/>
      <c r="AD2" s="60"/>
      <c r="AG2" s="71"/>
    </row>
    <row r="3" s="12" customFormat="1" ht="48" customHeight="1" spans="1:33">
      <c r="A3" s="24" t="s">
        <v>3</v>
      </c>
      <c r="B3" s="24" t="s">
        <v>4</v>
      </c>
      <c r="C3" s="24" t="s">
        <v>5</v>
      </c>
      <c r="D3" s="25" t="s">
        <v>6</v>
      </c>
      <c r="E3" s="25" t="s">
        <v>7</v>
      </c>
      <c r="F3" s="25" t="s">
        <v>8</v>
      </c>
      <c r="G3" s="25" t="s">
        <v>9</v>
      </c>
      <c r="H3" s="38" t="s">
        <v>10</v>
      </c>
      <c r="I3" s="38" t="s">
        <v>11</v>
      </c>
      <c r="J3" s="44" t="s">
        <v>12</v>
      </c>
      <c r="K3" s="44" t="s">
        <v>13</v>
      </c>
      <c r="L3" s="44" t="s">
        <v>14</v>
      </c>
      <c r="M3" s="50" t="s">
        <v>15</v>
      </c>
      <c r="N3" s="50" t="s">
        <v>16</v>
      </c>
      <c r="O3" s="50" t="s">
        <v>17</v>
      </c>
      <c r="P3" s="25" t="s">
        <v>18</v>
      </c>
      <c r="Q3" s="25" t="s">
        <v>19</v>
      </c>
      <c r="R3" s="55" t="s">
        <v>20</v>
      </c>
      <c r="S3" s="56" t="s">
        <v>21</v>
      </c>
      <c r="T3" s="25" t="s">
        <v>22</v>
      </c>
      <c r="U3" s="25" t="s">
        <v>23</v>
      </c>
      <c r="V3" s="25" t="s">
        <v>24</v>
      </c>
      <c r="W3" s="25" t="s">
        <v>5</v>
      </c>
      <c r="X3" s="25" t="s">
        <v>25</v>
      </c>
      <c r="Y3" s="25" t="s">
        <v>26</v>
      </c>
      <c r="Z3" s="25" t="s">
        <v>8</v>
      </c>
      <c r="AA3" s="25" t="s">
        <v>27</v>
      </c>
      <c r="AB3" s="38" t="s">
        <v>28</v>
      </c>
      <c r="AC3" s="38" t="s">
        <v>29</v>
      </c>
      <c r="AD3" s="38" t="s">
        <v>30</v>
      </c>
      <c r="AE3" s="25" t="s">
        <v>18</v>
      </c>
      <c r="AF3" s="25" t="s">
        <v>19</v>
      </c>
      <c r="AG3" s="72" t="s">
        <v>20</v>
      </c>
    </row>
    <row r="4" s="13" customFormat="1" ht="24" customHeight="1" spans="1:33">
      <c r="A4" s="26">
        <v>1</v>
      </c>
      <c r="B4" s="27" t="s">
        <v>31</v>
      </c>
      <c r="C4" s="27" t="s">
        <v>32</v>
      </c>
      <c r="D4" s="28" t="s">
        <v>33</v>
      </c>
      <c r="E4" s="28" t="s">
        <v>34</v>
      </c>
      <c r="F4" s="27" t="s">
        <v>35</v>
      </c>
      <c r="G4" s="28" t="s">
        <v>36</v>
      </c>
      <c r="H4" s="39">
        <v>20</v>
      </c>
      <c r="I4" s="39">
        <v>20</v>
      </c>
      <c r="J4" s="45">
        <v>28.9691354699704</v>
      </c>
      <c r="K4" s="45">
        <v>28.3323885262629</v>
      </c>
      <c r="L4" s="45">
        <v>22.3620299226186</v>
      </c>
      <c r="M4" s="51">
        <v>20</v>
      </c>
      <c r="N4" s="51">
        <v>19</v>
      </c>
      <c r="O4" s="51">
        <v>18</v>
      </c>
      <c r="P4" s="27" t="s">
        <v>37</v>
      </c>
      <c r="Q4" s="27" t="s">
        <v>38</v>
      </c>
      <c r="R4" s="57">
        <v>0.2</v>
      </c>
      <c r="S4" s="58" t="s">
        <v>39</v>
      </c>
      <c r="T4" s="28" t="s">
        <v>40</v>
      </c>
      <c r="U4" s="61" t="s">
        <v>41</v>
      </c>
      <c r="V4" s="61">
        <v>340100008</v>
      </c>
      <c r="W4" s="61" t="s">
        <v>42</v>
      </c>
      <c r="X4" s="61" t="s">
        <v>43</v>
      </c>
      <c r="Y4" s="61" t="s">
        <v>44</v>
      </c>
      <c r="Z4" s="61" t="s">
        <v>45</v>
      </c>
      <c r="AA4" s="61" t="s">
        <v>38</v>
      </c>
      <c r="AB4" s="68">
        <v>8</v>
      </c>
      <c r="AC4" s="68">
        <v>8</v>
      </c>
      <c r="AD4" s="68">
        <v>6.8</v>
      </c>
      <c r="AE4" s="26" t="s">
        <v>37</v>
      </c>
      <c r="AF4" s="26" t="s">
        <v>38</v>
      </c>
      <c r="AG4" s="73">
        <v>0.2</v>
      </c>
    </row>
    <row r="5" s="13" customFormat="1" ht="24" customHeight="1" spans="1:33">
      <c r="A5" s="26"/>
      <c r="B5" s="27"/>
      <c r="C5" s="27"/>
      <c r="D5" s="28"/>
      <c r="E5" s="28"/>
      <c r="F5" s="27"/>
      <c r="G5" s="28"/>
      <c r="H5" s="40"/>
      <c r="I5" s="40"/>
      <c r="J5" s="45"/>
      <c r="K5" s="45"/>
      <c r="L5" s="45"/>
      <c r="M5" s="51"/>
      <c r="N5" s="51"/>
      <c r="O5" s="51"/>
      <c r="P5" s="27"/>
      <c r="Q5" s="27"/>
      <c r="R5" s="57"/>
      <c r="S5" s="58"/>
      <c r="T5" s="28"/>
      <c r="U5" s="61" t="s">
        <v>46</v>
      </c>
      <c r="V5" s="61">
        <v>340100009</v>
      </c>
      <c r="W5" s="62" t="s">
        <v>47</v>
      </c>
      <c r="X5" s="61" t="s">
        <v>48</v>
      </c>
      <c r="Y5" s="61"/>
      <c r="Z5" s="61" t="s">
        <v>45</v>
      </c>
      <c r="AA5" s="61" t="s">
        <v>38</v>
      </c>
      <c r="AB5" s="68">
        <v>10</v>
      </c>
      <c r="AC5" s="68">
        <v>10</v>
      </c>
      <c r="AD5" s="68">
        <v>8.5</v>
      </c>
      <c r="AE5" s="26" t="s">
        <v>37</v>
      </c>
      <c r="AF5" s="26" t="s">
        <v>38</v>
      </c>
      <c r="AG5" s="73">
        <v>0.2</v>
      </c>
    </row>
    <row r="6" s="13" customFormat="1" ht="24" customHeight="1" spans="1:33">
      <c r="A6" s="26"/>
      <c r="B6" s="27"/>
      <c r="C6" s="27"/>
      <c r="D6" s="28"/>
      <c r="E6" s="28"/>
      <c r="F6" s="27"/>
      <c r="G6" s="28"/>
      <c r="H6" s="40"/>
      <c r="I6" s="40"/>
      <c r="J6" s="45"/>
      <c r="K6" s="45"/>
      <c r="L6" s="45"/>
      <c r="M6" s="51"/>
      <c r="N6" s="51"/>
      <c r="O6" s="51"/>
      <c r="P6" s="27"/>
      <c r="Q6" s="27"/>
      <c r="R6" s="57"/>
      <c r="S6" s="58"/>
      <c r="T6" s="28"/>
      <c r="U6" s="61" t="s">
        <v>49</v>
      </c>
      <c r="V6" s="61">
        <v>34010000902</v>
      </c>
      <c r="W6" s="62" t="s">
        <v>50</v>
      </c>
      <c r="X6" s="61"/>
      <c r="Y6" s="61"/>
      <c r="Z6" s="61" t="s">
        <v>45</v>
      </c>
      <c r="AA6" s="61" t="s">
        <v>51</v>
      </c>
      <c r="AB6" s="68">
        <v>10</v>
      </c>
      <c r="AC6" s="68">
        <v>10</v>
      </c>
      <c r="AD6" s="68">
        <v>8.5</v>
      </c>
      <c r="AE6" s="26" t="s">
        <v>37</v>
      </c>
      <c r="AF6" s="26" t="s">
        <v>38</v>
      </c>
      <c r="AG6" s="73" t="s">
        <v>38</v>
      </c>
    </row>
    <row r="7" s="13" customFormat="1" ht="24" customHeight="1" spans="1:33">
      <c r="A7" s="26"/>
      <c r="B7" s="27"/>
      <c r="C7" s="27"/>
      <c r="D7" s="28"/>
      <c r="E7" s="28"/>
      <c r="F7" s="27"/>
      <c r="G7" s="28"/>
      <c r="H7" s="40"/>
      <c r="I7" s="40"/>
      <c r="J7" s="45"/>
      <c r="K7" s="45"/>
      <c r="L7" s="45"/>
      <c r="M7" s="51"/>
      <c r="N7" s="51"/>
      <c r="O7" s="51"/>
      <c r="P7" s="27"/>
      <c r="Q7" s="27"/>
      <c r="R7" s="57"/>
      <c r="S7" s="58"/>
      <c r="T7" s="28"/>
      <c r="U7" s="61" t="s">
        <v>52</v>
      </c>
      <c r="V7" s="61">
        <v>34010000903</v>
      </c>
      <c r="W7" s="62" t="s">
        <v>53</v>
      </c>
      <c r="X7" s="61"/>
      <c r="Y7" s="61"/>
      <c r="Z7" s="61" t="s">
        <v>45</v>
      </c>
      <c r="AA7" s="61" t="s">
        <v>54</v>
      </c>
      <c r="AB7" s="68">
        <v>10</v>
      </c>
      <c r="AC7" s="68">
        <v>10</v>
      </c>
      <c r="AD7" s="68">
        <v>8.5</v>
      </c>
      <c r="AE7" s="26" t="s">
        <v>37</v>
      </c>
      <c r="AF7" s="26" t="s">
        <v>38</v>
      </c>
      <c r="AG7" s="73" t="s">
        <v>38</v>
      </c>
    </row>
    <row r="8" s="13" customFormat="1" ht="24" customHeight="1" spans="1:33">
      <c r="A8" s="26"/>
      <c r="B8" s="27"/>
      <c r="C8" s="27"/>
      <c r="D8" s="28"/>
      <c r="E8" s="28"/>
      <c r="F8" s="27"/>
      <c r="G8" s="28"/>
      <c r="H8" s="40"/>
      <c r="I8" s="40"/>
      <c r="J8" s="45"/>
      <c r="K8" s="45"/>
      <c r="L8" s="45"/>
      <c r="M8" s="51"/>
      <c r="N8" s="51"/>
      <c r="O8" s="51"/>
      <c r="P8" s="27"/>
      <c r="Q8" s="27"/>
      <c r="R8" s="57"/>
      <c r="S8" s="58"/>
      <c r="T8" s="28"/>
      <c r="U8" s="61" t="s">
        <v>55</v>
      </c>
      <c r="V8" s="61">
        <v>34010000904</v>
      </c>
      <c r="W8" s="62" t="s">
        <v>56</v>
      </c>
      <c r="X8" s="61"/>
      <c r="Y8" s="61"/>
      <c r="Z8" s="61" t="s">
        <v>45</v>
      </c>
      <c r="AA8" s="61" t="s">
        <v>57</v>
      </c>
      <c r="AB8" s="68">
        <v>10</v>
      </c>
      <c r="AC8" s="68">
        <v>10</v>
      </c>
      <c r="AD8" s="68">
        <v>8.5</v>
      </c>
      <c r="AE8" s="26" t="s">
        <v>37</v>
      </c>
      <c r="AF8" s="26" t="s">
        <v>38</v>
      </c>
      <c r="AG8" s="73" t="s">
        <v>38</v>
      </c>
    </row>
    <row r="9" s="13" customFormat="1" ht="24" customHeight="1" spans="1:33">
      <c r="A9" s="26"/>
      <c r="B9" s="27"/>
      <c r="C9" s="27"/>
      <c r="D9" s="28"/>
      <c r="E9" s="28"/>
      <c r="F9" s="27"/>
      <c r="G9" s="28"/>
      <c r="H9" s="40"/>
      <c r="I9" s="40"/>
      <c r="J9" s="45"/>
      <c r="K9" s="45"/>
      <c r="L9" s="45"/>
      <c r="M9" s="51"/>
      <c r="N9" s="51"/>
      <c r="O9" s="51"/>
      <c r="P9" s="27"/>
      <c r="Q9" s="27"/>
      <c r="R9" s="57"/>
      <c r="S9" s="58"/>
      <c r="T9" s="28"/>
      <c r="U9" s="61" t="s">
        <v>58</v>
      </c>
      <c r="V9" s="61">
        <v>34010000905</v>
      </c>
      <c r="W9" s="62" t="s">
        <v>59</v>
      </c>
      <c r="X9" s="61"/>
      <c r="Y9" s="61"/>
      <c r="Z9" s="61" t="s">
        <v>45</v>
      </c>
      <c r="AA9" s="61" t="s">
        <v>60</v>
      </c>
      <c r="AB9" s="68">
        <v>10</v>
      </c>
      <c r="AC9" s="68">
        <v>10</v>
      </c>
      <c r="AD9" s="68">
        <v>8.5</v>
      </c>
      <c r="AE9" s="26" t="s">
        <v>37</v>
      </c>
      <c r="AF9" s="26" t="s">
        <v>38</v>
      </c>
      <c r="AG9" s="73" t="s">
        <v>38</v>
      </c>
    </row>
    <row r="10" s="13" customFormat="1" ht="24" customHeight="1" spans="1:33">
      <c r="A10" s="26"/>
      <c r="B10" s="27"/>
      <c r="C10" s="27"/>
      <c r="D10" s="28"/>
      <c r="E10" s="28"/>
      <c r="F10" s="27"/>
      <c r="G10" s="28"/>
      <c r="H10" s="40"/>
      <c r="I10" s="40"/>
      <c r="J10" s="45"/>
      <c r="K10" s="45"/>
      <c r="L10" s="45"/>
      <c r="M10" s="51"/>
      <c r="N10" s="51"/>
      <c r="O10" s="51"/>
      <c r="P10" s="27"/>
      <c r="Q10" s="27"/>
      <c r="R10" s="57"/>
      <c r="S10" s="58"/>
      <c r="T10" s="28"/>
      <c r="U10" s="61" t="s">
        <v>61</v>
      </c>
      <c r="V10" s="61">
        <v>34010000906</v>
      </c>
      <c r="W10" s="62" t="s">
        <v>62</v>
      </c>
      <c r="X10" s="61"/>
      <c r="Y10" s="61"/>
      <c r="Z10" s="61" t="s">
        <v>45</v>
      </c>
      <c r="AA10" s="61" t="s">
        <v>63</v>
      </c>
      <c r="AB10" s="68">
        <v>10</v>
      </c>
      <c r="AC10" s="68">
        <v>10</v>
      </c>
      <c r="AD10" s="68">
        <v>8.5</v>
      </c>
      <c r="AE10" s="26" t="s">
        <v>37</v>
      </c>
      <c r="AF10" s="26" t="s">
        <v>38</v>
      </c>
      <c r="AG10" s="73" t="s">
        <v>38</v>
      </c>
    </row>
    <row r="11" s="13" customFormat="1" ht="24" customHeight="1" spans="1:33">
      <c r="A11" s="26"/>
      <c r="B11" s="27"/>
      <c r="C11" s="27"/>
      <c r="D11" s="28"/>
      <c r="E11" s="28"/>
      <c r="F11" s="27"/>
      <c r="G11" s="28"/>
      <c r="H11" s="40"/>
      <c r="I11" s="40"/>
      <c r="J11" s="45"/>
      <c r="K11" s="45"/>
      <c r="L11" s="45"/>
      <c r="M11" s="51"/>
      <c r="N11" s="51"/>
      <c r="O11" s="51"/>
      <c r="P11" s="27"/>
      <c r="Q11" s="27"/>
      <c r="R11" s="57"/>
      <c r="S11" s="58"/>
      <c r="T11" s="28"/>
      <c r="U11" s="61" t="s">
        <v>64</v>
      </c>
      <c r="V11" s="61">
        <v>34010000907</v>
      </c>
      <c r="W11" s="62" t="s">
        <v>65</v>
      </c>
      <c r="X11" s="61"/>
      <c r="Y11" s="61"/>
      <c r="Z11" s="61" t="s">
        <v>45</v>
      </c>
      <c r="AA11" s="61" t="s">
        <v>66</v>
      </c>
      <c r="AB11" s="68">
        <v>10</v>
      </c>
      <c r="AC11" s="68">
        <v>10</v>
      </c>
      <c r="AD11" s="68">
        <v>8.5</v>
      </c>
      <c r="AE11" s="26" t="s">
        <v>37</v>
      </c>
      <c r="AF11" s="26" t="s">
        <v>38</v>
      </c>
      <c r="AG11" s="73" t="s">
        <v>38</v>
      </c>
    </row>
    <row r="12" s="13" customFormat="1" ht="24" customHeight="1" spans="1:33">
      <c r="A12" s="26"/>
      <c r="B12" s="27"/>
      <c r="C12" s="27"/>
      <c r="D12" s="28"/>
      <c r="E12" s="28"/>
      <c r="F12" s="27"/>
      <c r="G12" s="28"/>
      <c r="H12" s="40"/>
      <c r="I12" s="40"/>
      <c r="J12" s="45"/>
      <c r="K12" s="45"/>
      <c r="L12" s="45"/>
      <c r="M12" s="51"/>
      <c r="N12" s="51"/>
      <c r="O12" s="51"/>
      <c r="P12" s="27"/>
      <c r="Q12" s="27"/>
      <c r="R12" s="57"/>
      <c r="S12" s="58"/>
      <c r="T12" s="28"/>
      <c r="U12" s="61" t="s">
        <v>67</v>
      </c>
      <c r="V12" s="61">
        <v>34010000908</v>
      </c>
      <c r="W12" s="62" t="s">
        <v>68</v>
      </c>
      <c r="X12" s="61"/>
      <c r="Y12" s="61"/>
      <c r="Z12" s="61" t="s">
        <v>45</v>
      </c>
      <c r="AA12" s="61" t="s">
        <v>69</v>
      </c>
      <c r="AB12" s="68">
        <v>10</v>
      </c>
      <c r="AC12" s="68">
        <v>10</v>
      </c>
      <c r="AD12" s="68">
        <v>8.5</v>
      </c>
      <c r="AE12" s="26" t="s">
        <v>37</v>
      </c>
      <c r="AF12" s="26" t="s">
        <v>38</v>
      </c>
      <c r="AG12" s="73" t="s">
        <v>38</v>
      </c>
    </row>
    <row r="13" s="13" customFormat="1" ht="24" customHeight="1" spans="1:33">
      <c r="A13" s="26"/>
      <c r="B13" s="27"/>
      <c r="C13" s="27"/>
      <c r="D13" s="28"/>
      <c r="E13" s="28"/>
      <c r="F13" s="27"/>
      <c r="G13" s="28"/>
      <c r="H13" s="40"/>
      <c r="I13" s="40"/>
      <c r="J13" s="45"/>
      <c r="K13" s="45"/>
      <c r="L13" s="45"/>
      <c r="M13" s="51"/>
      <c r="N13" s="51"/>
      <c r="O13" s="51"/>
      <c r="P13" s="27"/>
      <c r="Q13" s="27"/>
      <c r="R13" s="57"/>
      <c r="S13" s="58"/>
      <c r="T13" s="28"/>
      <c r="U13" s="61" t="s">
        <v>70</v>
      </c>
      <c r="V13" s="61">
        <v>34010000901</v>
      </c>
      <c r="W13" s="62" t="s">
        <v>71</v>
      </c>
      <c r="X13" s="61"/>
      <c r="Y13" s="61"/>
      <c r="Z13" s="61" t="s">
        <v>45</v>
      </c>
      <c r="AA13" s="61" t="s">
        <v>72</v>
      </c>
      <c r="AB13" s="68">
        <v>10</v>
      </c>
      <c r="AC13" s="68">
        <v>10</v>
      </c>
      <c r="AD13" s="68">
        <v>8.5</v>
      </c>
      <c r="AE13" s="26" t="s">
        <v>37</v>
      </c>
      <c r="AF13" s="26" t="s">
        <v>38</v>
      </c>
      <c r="AG13" s="73" t="s">
        <v>38</v>
      </c>
    </row>
    <row r="14" s="13" customFormat="1" ht="24" customHeight="1" spans="1:33">
      <c r="A14" s="26"/>
      <c r="B14" s="27"/>
      <c r="C14" s="27"/>
      <c r="D14" s="28"/>
      <c r="E14" s="28"/>
      <c r="F14" s="27"/>
      <c r="G14" s="28"/>
      <c r="H14" s="40"/>
      <c r="I14" s="40"/>
      <c r="J14" s="45"/>
      <c r="K14" s="45"/>
      <c r="L14" s="45"/>
      <c r="M14" s="51"/>
      <c r="N14" s="51"/>
      <c r="O14" s="51"/>
      <c r="P14" s="27"/>
      <c r="Q14" s="27"/>
      <c r="R14" s="57"/>
      <c r="S14" s="58"/>
      <c r="T14" s="28"/>
      <c r="U14" s="61" t="s">
        <v>73</v>
      </c>
      <c r="V14" s="61">
        <v>340100010</v>
      </c>
      <c r="W14" s="61" t="s">
        <v>74</v>
      </c>
      <c r="X14" s="61" t="s">
        <v>75</v>
      </c>
      <c r="Y14" s="61"/>
      <c r="Z14" s="61" t="s">
        <v>45</v>
      </c>
      <c r="AA14" s="61" t="s">
        <v>38</v>
      </c>
      <c r="AB14" s="68">
        <v>10</v>
      </c>
      <c r="AC14" s="68">
        <v>10</v>
      </c>
      <c r="AD14" s="68">
        <v>8.5</v>
      </c>
      <c r="AE14" s="26" t="s">
        <v>37</v>
      </c>
      <c r="AF14" s="26" t="s">
        <v>38</v>
      </c>
      <c r="AG14" s="73">
        <v>0.2</v>
      </c>
    </row>
    <row r="15" s="13" customFormat="1" ht="78" customHeight="1" spans="1:33">
      <c r="A15" s="26">
        <v>2</v>
      </c>
      <c r="B15" s="27" t="s">
        <v>76</v>
      </c>
      <c r="C15" s="27" t="s">
        <v>77</v>
      </c>
      <c r="D15" s="28" t="s">
        <v>78</v>
      </c>
      <c r="E15" s="28" t="s">
        <v>79</v>
      </c>
      <c r="F15" s="27" t="s">
        <v>35</v>
      </c>
      <c r="G15" s="28" t="s">
        <v>80</v>
      </c>
      <c r="H15" s="39">
        <v>50</v>
      </c>
      <c r="I15" s="39">
        <v>50</v>
      </c>
      <c r="J15" s="46"/>
      <c r="K15" s="46"/>
      <c r="L15" s="46"/>
      <c r="M15" s="51">
        <v>47</v>
      </c>
      <c r="N15" s="51">
        <v>45</v>
      </c>
      <c r="O15" s="51">
        <v>41</v>
      </c>
      <c r="P15" s="27" t="s">
        <v>81</v>
      </c>
      <c r="Q15" s="27" t="s">
        <v>38</v>
      </c>
      <c r="R15" s="57" t="s">
        <v>38</v>
      </c>
      <c r="S15" s="58" t="s">
        <v>82</v>
      </c>
      <c r="T15" s="28" t="s">
        <v>83</v>
      </c>
      <c r="U15" s="61" t="s">
        <v>84</v>
      </c>
      <c r="V15" s="61">
        <v>240700003</v>
      </c>
      <c r="W15" s="62" t="s">
        <v>85</v>
      </c>
      <c r="X15" s="61"/>
      <c r="Y15" s="61"/>
      <c r="Z15" s="61" t="s">
        <v>35</v>
      </c>
      <c r="AA15" s="61" t="s">
        <v>38</v>
      </c>
      <c r="AB15" s="69" t="s">
        <v>38</v>
      </c>
      <c r="AC15" s="69" t="s">
        <v>38</v>
      </c>
      <c r="AD15" s="69"/>
      <c r="AE15" s="26"/>
      <c r="AF15" s="26"/>
      <c r="AG15" s="73"/>
    </row>
    <row r="16" s="13" customFormat="1" ht="65" customHeight="1" spans="1:33">
      <c r="A16" s="26">
        <v>3</v>
      </c>
      <c r="B16" s="27" t="s">
        <v>86</v>
      </c>
      <c r="C16" s="27" t="s">
        <v>87</v>
      </c>
      <c r="D16" s="28" t="s">
        <v>88</v>
      </c>
      <c r="E16" s="28" t="s">
        <v>34</v>
      </c>
      <c r="F16" s="27" t="s">
        <v>35</v>
      </c>
      <c r="G16" s="28" t="s">
        <v>80</v>
      </c>
      <c r="H16" s="39">
        <v>15</v>
      </c>
      <c r="I16" s="39">
        <v>15</v>
      </c>
      <c r="J16" s="46"/>
      <c r="K16" s="46"/>
      <c r="L16" s="46"/>
      <c r="M16" s="51">
        <v>14</v>
      </c>
      <c r="N16" s="51">
        <v>13</v>
      </c>
      <c r="O16" s="51">
        <v>12</v>
      </c>
      <c r="P16" s="27" t="s">
        <v>81</v>
      </c>
      <c r="Q16" s="27" t="s">
        <v>38</v>
      </c>
      <c r="R16" s="57" t="s">
        <v>38</v>
      </c>
      <c r="S16" s="58" t="s">
        <v>82</v>
      </c>
      <c r="T16" s="28" t="s">
        <v>83</v>
      </c>
      <c r="U16" s="61" t="s">
        <v>89</v>
      </c>
      <c r="V16" s="61">
        <v>340100015</v>
      </c>
      <c r="W16" s="61" t="s">
        <v>90</v>
      </c>
      <c r="X16" s="61" t="s">
        <v>91</v>
      </c>
      <c r="Y16" s="61"/>
      <c r="Z16" s="61" t="s">
        <v>92</v>
      </c>
      <c r="AA16" s="61" t="s">
        <v>38</v>
      </c>
      <c r="AB16" s="69" t="s">
        <v>38</v>
      </c>
      <c r="AC16" s="69" t="s">
        <v>38</v>
      </c>
      <c r="AD16" s="69"/>
      <c r="AE16" s="26"/>
      <c r="AF16" s="26"/>
      <c r="AG16" s="73"/>
    </row>
    <row r="17" s="13" customFormat="1" ht="91" customHeight="1" spans="1:33">
      <c r="A17" s="26">
        <v>4</v>
      </c>
      <c r="B17" s="27" t="s">
        <v>93</v>
      </c>
      <c r="C17" s="27" t="s">
        <v>94</v>
      </c>
      <c r="D17" s="28" t="s">
        <v>95</v>
      </c>
      <c r="E17" s="28" t="s">
        <v>34</v>
      </c>
      <c r="F17" s="27" t="s">
        <v>35</v>
      </c>
      <c r="G17" s="28" t="s">
        <v>80</v>
      </c>
      <c r="H17" s="39">
        <v>10</v>
      </c>
      <c r="I17" s="39">
        <v>10</v>
      </c>
      <c r="J17" s="46"/>
      <c r="K17" s="46"/>
      <c r="L17" s="46"/>
      <c r="M17" s="51">
        <v>9.5</v>
      </c>
      <c r="N17" s="51">
        <v>9</v>
      </c>
      <c r="O17" s="51">
        <v>8</v>
      </c>
      <c r="P17" s="27" t="s">
        <v>81</v>
      </c>
      <c r="Q17" s="27" t="s">
        <v>38</v>
      </c>
      <c r="R17" s="57" t="s">
        <v>38</v>
      </c>
      <c r="S17" s="58" t="s">
        <v>82</v>
      </c>
      <c r="T17" s="28" t="s">
        <v>83</v>
      </c>
      <c r="U17" s="61" t="s">
        <v>96</v>
      </c>
      <c r="V17" s="61">
        <v>340100011</v>
      </c>
      <c r="W17" s="62" t="s">
        <v>97</v>
      </c>
      <c r="X17" s="61"/>
      <c r="Y17" s="61"/>
      <c r="Z17" s="61" t="s">
        <v>98</v>
      </c>
      <c r="AA17" s="61" t="s">
        <v>38</v>
      </c>
      <c r="AB17" s="69" t="s">
        <v>38</v>
      </c>
      <c r="AC17" s="69" t="s">
        <v>38</v>
      </c>
      <c r="AD17" s="69"/>
      <c r="AE17" s="26"/>
      <c r="AF17" s="26"/>
      <c r="AG17" s="73"/>
    </row>
    <row r="18" s="13" customFormat="1" ht="108" customHeight="1" spans="1:33">
      <c r="A18" s="26">
        <v>5</v>
      </c>
      <c r="B18" s="27" t="s">
        <v>99</v>
      </c>
      <c r="C18" s="27" t="s">
        <v>100</v>
      </c>
      <c r="D18" s="28" t="s">
        <v>101</v>
      </c>
      <c r="E18" s="28" t="s">
        <v>102</v>
      </c>
      <c r="F18" s="27" t="s">
        <v>103</v>
      </c>
      <c r="G18" s="28" t="s">
        <v>38</v>
      </c>
      <c r="H18" s="39">
        <v>11</v>
      </c>
      <c r="I18" s="39">
        <v>11</v>
      </c>
      <c r="J18" s="46">
        <v>8.8</v>
      </c>
      <c r="K18" s="46">
        <v>8</v>
      </c>
      <c r="L18" s="46">
        <v>6.8</v>
      </c>
      <c r="M18" s="51">
        <v>10.5</v>
      </c>
      <c r="N18" s="51">
        <v>10</v>
      </c>
      <c r="O18" s="51">
        <v>9</v>
      </c>
      <c r="P18" s="27" t="s">
        <v>37</v>
      </c>
      <c r="Q18" s="27" t="s">
        <v>38</v>
      </c>
      <c r="R18" s="57" t="s">
        <v>38</v>
      </c>
      <c r="S18" s="58" t="s">
        <v>104</v>
      </c>
      <c r="T18" s="28" t="s">
        <v>105</v>
      </c>
      <c r="U18" s="61" t="s">
        <v>106</v>
      </c>
      <c r="V18" s="61">
        <v>311400014</v>
      </c>
      <c r="W18" s="62" t="s">
        <v>107</v>
      </c>
      <c r="X18" s="61" t="s">
        <v>108</v>
      </c>
      <c r="Y18" s="70"/>
      <c r="Z18" s="61" t="s">
        <v>109</v>
      </c>
      <c r="AA18" s="61" t="s">
        <v>38</v>
      </c>
      <c r="AB18" s="68">
        <v>8.8</v>
      </c>
      <c r="AC18" s="68">
        <v>8</v>
      </c>
      <c r="AD18" s="68">
        <v>6.8</v>
      </c>
      <c r="AE18" s="26" t="s">
        <v>37</v>
      </c>
      <c r="AF18" s="26" t="s">
        <v>38</v>
      </c>
      <c r="AG18" s="73" t="s">
        <v>38</v>
      </c>
    </row>
    <row r="19" s="13" customFormat="1" ht="105" customHeight="1" spans="1:33">
      <c r="A19" s="26">
        <v>6</v>
      </c>
      <c r="B19" s="27" t="s">
        <v>110</v>
      </c>
      <c r="C19" s="27" t="s">
        <v>111</v>
      </c>
      <c r="D19" s="28" t="s">
        <v>112</v>
      </c>
      <c r="E19" s="28" t="s">
        <v>113</v>
      </c>
      <c r="F19" s="27" t="s">
        <v>114</v>
      </c>
      <c r="G19" s="28" t="s">
        <v>115</v>
      </c>
      <c r="H19" s="39">
        <v>15</v>
      </c>
      <c r="I19" s="39">
        <v>15</v>
      </c>
      <c r="J19" s="46">
        <v>12</v>
      </c>
      <c r="K19" s="46">
        <v>12</v>
      </c>
      <c r="L19" s="46">
        <v>10.2</v>
      </c>
      <c r="M19" s="51">
        <v>14</v>
      </c>
      <c r="N19" s="51">
        <v>13</v>
      </c>
      <c r="O19" s="51">
        <v>12</v>
      </c>
      <c r="P19" s="27" t="s">
        <v>37</v>
      </c>
      <c r="Q19" s="27" t="s">
        <v>38</v>
      </c>
      <c r="R19" s="57">
        <v>0.2</v>
      </c>
      <c r="S19" s="58" t="s">
        <v>104</v>
      </c>
      <c r="T19" s="28" t="s">
        <v>105</v>
      </c>
      <c r="U19" s="61" t="s">
        <v>116</v>
      </c>
      <c r="V19" s="61">
        <v>340100006</v>
      </c>
      <c r="W19" s="61" t="s">
        <v>117</v>
      </c>
      <c r="X19" s="61" t="s">
        <v>118</v>
      </c>
      <c r="Y19" s="61"/>
      <c r="Z19" s="61" t="s">
        <v>119</v>
      </c>
      <c r="AA19" s="61" t="s">
        <v>38</v>
      </c>
      <c r="AB19" s="68">
        <v>12</v>
      </c>
      <c r="AC19" s="68">
        <v>12</v>
      </c>
      <c r="AD19" s="68">
        <v>10.2</v>
      </c>
      <c r="AE19" s="26" t="s">
        <v>37</v>
      </c>
      <c r="AF19" s="26" t="s">
        <v>38</v>
      </c>
      <c r="AG19" s="73">
        <v>0.2</v>
      </c>
    </row>
    <row r="20" s="13" customFormat="1" ht="102" customHeight="1" spans="1:33">
      <c r="A20" s="26">
        <v>7</v>
      </c>
      <c r="B20" s="27" t="s">
        <v>120</v>
      </c>
      <c r="C20" s="27" t="s">
        <v>121</v>
      </c>
      <c r="D20" s="28" t="s">
        <v>122</v>
      </c>
      <c r="E20" s="28" t="s">
        <v>123</v>
      </c>
      <c r="F20" s="27" t="s">
        <v>124</v>
      </c>
      <c r="G20" s="28" t="s">
        <v>125</v>
      </c>
      <c r="H20" s="39">
        <v>250</v>
      </c>
      <c r="I20" s="39">
        <v>250</v>
      </c>
      <c r="J20" s="46"/>
      <c r="K20" s="46"/>
      <c r="L20" s="46"/>
      <c r="M20" s="51">
        <v>235</v>
      </c>
      <c r="N20" s="51">
        <v>220</v>
      </c>
      <c r="O20" s="51">
        <v>195</v>
      </c>
      <c r="P20" s="27" t="s">
        <v>81</v>
      </c>
      <c r="Q20" s="27" t="s">
        <v>38</v>
      </c>
      <c r="R20" s="57" t="s">
        <v>38</v>
      </c>
      <c r="S20" s="58" t="s">
        <v>126</v>
      </c>
      <c r="T20" s="28" t="s">
        <v>127</v>
      </c>
      <c r="U20" s="27"/>
      <c r="V20" s="27"/>
      <c r="W20" s="27"/>
      <c r="X20" s="27"/>
      <c r="Y20" s="27"/>
      <c r="Z20" s="27"/>
      <c r="AA20" s="61"/>
      <c r="AB20" s="69"/>
      <c r="AC20" s="69"/>
      <c r="AD20" s="69"/>
      <c r="AE20" s="26"/>
      <c r="AF20" s="26"/>
      <c r="AG20" s="73"/>
    </row>
    <row r="21" s="13" customFormat="1" ht="102" customHeight="1" spans="1:33">
      <c r="A21" s="26">
        <v>8</v>
      </c>
      <c r="B21" s="27" t="s">
        <v>128</v>
      </c>
      <c r="C21" s="27" t="s">
        <v>129</v>
      </c>
      <c r="D21" s="28" t="s">
        <v>130</v>
      </c>
      <c r="E21" s="28" t="s">
        <v>131</v>
      </c>
      <c r="F21" s="27" t="s">
        <v>124</v>
      </c>
      <c r="G21" s="28" t="s">
        <v>132</v>
      </c>
      <c r="H21" s="39">
        <v>500</v>
      </c>
      <c r="I21" s="39">
        <v>500</v>
      </c>
      <c r="J21" s="46"/>
      <c r="K21" s="46"/>
      <c r="L21" s="46"/>
      <c r="M21" s="51">
        <v>470</v>
      </c>
      <c r="N21" s="51">
        <v>440</v>
      </c>
      <c r="O21" s="51">
        <v>390</v>
      </c>
      <c r="P21" s="27" t="s">
        <v>81</v>
      </c>
      <c r="Q21" s="27" t="s">
        <v>38</v>
      </c>
      <c r="R21" s="57" t="s">
        <v>38</v>
      </c>
      <c r="S21" s="58" t="s">
        <v>126</v>
      </c>
      <c r="T21" s="28" t="s">
        <v>133</v>
      </c>
      <c r="U21" s="63"/>
      <c r="V21" s="63"/>
      <c r="W21" s="63"/>
      <c r="X21" s="63"/>
      <c r="Y21" s="63"/>
      <c r="Z21" s="63"/>
      <c r="AA21" s="61"/>
      <c r="AB21" s="68"/>
      <c r="AC21" s="68"/>
      <c r="AD21" s="68"/>
      <c r="AE21" s="26"/>
      <c r="AF21" s="26"/>
      <c r="AG21" s="73"/>
    </row>
    <row r="22" s="13" customFormat="1" ht="54" customHeight="1" spans="1:33">
      <c r="A22" s="26">
        <v>9</v>
      </c>
      <c r="B22" s="27" t="s">
        <v>134</v>
      </c>
      <c r="C22" s="27" t="s">
        <v>135</v>
      </c>
      <c r="D22" s="28" t="s">
        <v>136</v>
      </c>
      <c r="E22" s="28" t="s">
        <v>137</v>
      </c>
      <c r="F22" s="27" t="s">
        <v>35</v>
      </c>
      <c r="G22" s="28"/>
      <c r="H22" s="39">
        <v>19</v>
      </c>
      <c r="I22" s="39">
        <v>19</v>
      </c>
      <c r="J22" s="46">
        <v>33</v>
      </c>
      <c r="K22" s="45">
        <v>17.6475738781467</v>
      </c>
      <c r="L22" s="45">
        <v>15.7903846153846</v>
      </c>
      <c r="M22" s="51">
        <v>18</v>
      </c>
      <c r="N22" s="51">
        <v>17</v>
      </c>
      <c r="O22" s="51">
        <v>15</v>
      </c>
      <c r="P22" s="27" t="s">
        <v>37</v>
      </c>
      <c r="Q22" s="27" t="s">
        <v>38</v>
      </c>
      <c r="R22" s="57">
        <v>0.2</v>
      </c>
      <c r="S22" s="58" t="s">
        <v>138</v>
      </c>
      <c r="T22" s="28" t="s">
        <v>139</v>
      </c>
      <c r="U22" s="61" t="s">
        <v>140</v>
      </c>
      <c r="V22" s="61">
        <v>340100004</v>
      </c>
      <c r="W22" s="61" t="s">
        <v>141</v>
      </c>
      <c r="X22" s="61" t="s">
        <v>142</v>
      </c>
      <c r="Y22" s="61"/>
      <c r="Z22" s="61" t="s">
        <v>119</v>
      </c>
      <c r="AA22" s="61" t="s">
        <v>38</v>
      </c>
      <c r="AB22" s="68">
        <v>8</v>
      </c>
      <c r="AC22" s="68">
        <v>8</v>
      </c>
      <c r="AD22" s="68">
        <v>6.8</v>
      </c>
      <c r="AE22" s="26" t="s">
        <v>37</v>
      </c>
      <c r="AF22" s="26" t="s">
        <v>38</v>
      </c>
      <c r="AG22" s="73">
        <v>0.2</v>
      </c>
    </row>
    <row r="23" s="13" customFormat="1" ht="54" customHeight="1" spans="1:33">
      <c r="A23" s="26"/>
      <c r="B23" s="27"/>
      <c r="C23" s="27"/>
      <c r="D23" s="28"/>
      <c r="E23" s="28"/>
      <c r="F23" s="27"/>
      <c r="G23" s="28"/>
      <c r="H23" s="40"/>
      <c r="I23" s="40"/>
      <c r="J23" s="46"/>
      <c r="K23" s="45"/>
      <c r="L23" s="45"/>
      <c r="M23" s="51"/>
      <c r="N23" s="51"/>
      <c r="O23" s="51"/>
      <c r="P23" s="27"/>
      <c r="Q23" s="27"/>
      <c r="R23" s="57"/>
      <c r="S23" s="58"/>
      <c r="T23" s="28"/>
      <c r="U23" s="61" t="s">
        <v>143</v>
      </c>
      <c r="V23" s="61">
        <v>311400015</v>
      </c>
      <c r="W23" s="62" t="s">
        <v>144</v>
      </c>
      <c r="X23" s="61"/>
      <c r="Y23" s="61"/>
      <c r="Z23" s="61" t="s">
        <v>145</v>
      </c>
      <c r="AA23" s="61" t="s">
        <v>38</v>
      </c>
      <c r="AB23" s="68">
        <v>33</v>
      </c>
      <c r="AC23" s="68">
        <v>30</v>
      </c>
      <c r="AD23" s="68">
        <v>25.5</v>
      </c>
      <c r="AE23" s="26" t="s">
        <v>37</v>
      </c>
      <c r="AF23" s="26" t="s">
        <v>38</v>
      </c>
      <c r="AG23" s="73" t="s">
        <v>38</v>
      </c>
    </row>
    <row r="24" s="13" customFormat="1" ht="44" customHeight="1" spans="1:33">
      <c r="A24" s="26" t="s">
        <v>146</v>
      </c>
      <c r="B24" s="27" t="s">
        <v>147</v>
      </c>
      <c r="C24" s="27" t="s">
        <v>148</v>
      </c>
      <c r="D24" s="28" t="s">
        <v>38</v>
      </c>
      <c r="E24" s="28" t="s">
        <v>38</v>
      </c>
      <c r="F24" s="27" t="s">
        <v>35</v>
      </c>
      <c r="G24" s="28" t="s">
        <v>38</v>
      </c>
      <c r="H24" s="39">
        <v>19</v>
      </c>
      <c r="I24" s="39">
        <v>19</v>
      </c>
      <c r="J24" s="45">
        <v>46.3290586630286</v>
      </c>
      <c r="K24" s="45">
        <v>25.0214399270346</v>
      </c>
      <c r="L24" s="45">
        <v>17.9366391184573</v>
      </c>
      <c r="M24" s="51">
        <v>18</v>
      </c>
      <c r="N24" s="51">
        <v>17</v>
      </c>
      <c r="O24" s="51">
        <v>15</v>
      </c>
      <c r="P24" s="27" t="s">
        <v>37</v>
      </c>
      <c r="Q24" s="27" t="s">
        <v>38</v>
      </c>
      <c r="R24" s="57">
        <v>0.2</v>
      </c>
      <c r="S24" s="58"/>
      <c r="T24" s="28" t="s">
        <v>149</v>
      </c>
      <c r="U24" s="61" t="s">
        <v>150</v>
      </c>
      <c r="V24" s="61">
        <v>311400058</v>
      </c>
      <c r="W24" s="62" t="s">
        <v>151</v>
      </c>
      <c r="X24" s="61" t="s">
        <v>152</v>
      </c>
      <c r="Y24" s="61"/>
      <c r="Z24" s="61" t="s">
        <v>35</v>
      </c>
      <c r="AA24" s="61" t="s">
        <v>153</v>
      </c>
      <c r="AB24" s="68">
        <v>22</v>
      </c>
      <c r="AC24" s="68">
        <v>20</v>
      </c>
      <c r="AD24" s="68">
        <v>17</v>
      </c>
      <c r="AE24" s="26" t="s">
        <v>37</v>
      </c>
      <c r="AF24" s="26" t="s">
        <v>38</v>
      </c>
      <c r="AG24" s="73">
        <v>0.2</v>
      </c>
    </row>
    <row r="25" s="13" customFormat="1" ht="44" customHeight="1" spans="1:33">
      <c r="A25" s="26"/>
      <c r="B25" s="27"/>
      <c r="C25" s="27"/>
      <c r="D25" s="28"/>
      <c r="E25" s="28"/>
      <c r="F25" s="27"/>
      <c r="G25" s="28"/>
      <c r="H25" s="40"/>
      <c r="I25" s="40"/>
      <c r="J25" s="45"/>
      <c r="K25" s="45"/>
      <c r="L25" s="45"/>
      <c r="M25" s="51"/>
      <c r="N25" s="51"/>
      <c r="O25" s="51"/>
      <c r="P25" s="27"/>
      <c r="Q25" s="27"/>
      <c r="R25" s="57"/>
      <c r="S25" s="58"/>
      <c r="T25" s="28"/>
      <c r="U25" s="61" t="s">
        <v>154</v>
      </c>
      <c r="V25" s="61">
        <v>31140005801</v>
      </c>
      <c r="W25" s="62" t="s">
        <v>155</v>
      </c>
      <c r="X25" s="61"/>
      <c r="Y25" s="61"/>
      <c r="Z25" s="61" t="s">
        <v>35</v>
      </c>
      <c r="AA25" s="61" t="s">
        <v>156</v>
      </c>
      <c r="AB25" s="68">
        <v>66</v>
      </c>
      <c r="AC25" s="68">
        <v>60</v>
      </c>
      <c r="AD25" s="68">
        <v>51</v>
      </c>
      <c r="AE25" s="26" t="s">
        <v>37</v>
      </c>
      <c r="AF25" s="26" t="s">
        <v>38</v>
      </c>
      <c r="AG25" s="73">
        <v>0.2</v>
      </c>
    </row>
    <row r="26" s="13" customFormat="1" ht="30" customHeight="1" spans="1:33">
      <c r="A26" s="26">
        <v>10</v>
      </c>
      <c r="B26" s="27" t="s">
        <v>157</v>
      </c>
      <c r="C26" s="27" t="s">
        <v>158</v>
      </c>
      <c r="D26" s="28" t="s">
        <v>159</v>
      </c>
      <c r="E26" s="28" t="s">
        <v>137</v>
      </c>
      <c r="F26" s="27" t="s">
        <v>35</v>
      </c>
      <c r="G26" s="28" t="s">
        <v>38</v>
      </c>
      <c r="H26" s="39">
        <v>15</v>
      </c>
      <c r="I26" s="39">
        <v>15</v>
      </c>
      <c r="J26" s="45">
        <v>26.566281467274</v>
      </c>
      <c r="K26" s="45">
        <v>22.8290331321221</v>
      </c>
      <c r="L26" s="45">
        <v>21.2248479102473</v>
      </c>
      <c r="M26" s="51">
        <v>14</v>
      </c>
      <c r="N26" s="51">
        <v>13</v>
      </c>
      <c r="O26" s="51">
        <v>12</v>
      </c>
      <c r="P26" s="27" t="s">
        <v>37</v>
      </c>
      <c r="Q26" s="27" t="s">
        <v>38</v>
      </c>
      <c r="R26" s="57">
        <v>0.2</v>
      </c>
      <c r="S26" s="58" t="s">
        <v>138</v>
      </c>
      <c r="T26" s="28" t="s">
        <v>160</v>
      </c>
      <c r="U26" s="61" t="s">
        <v>161</v>
      </c>
      <c r="V26" s="61">
        <v>340100002</v>
      </c>
      <c r="W26" s="61" t="s">
        <v>162</v>
      </c>
      <c r="X26" s="61" t="s">
        <v>163</v>
      </c>
      <c r="Y26" s="61"/>
      <c r="Z26" s="61" t="s">
        <v>119</v>
      </c>
      <c r="AA26" s="61" t="s">
        <v>38</v>
      </c>
      <c r="AB26" s="68">
        <v>8</v>
      </c>
      <c r="AC26" s="68">
        <v>8</v>
      </c>
      <c r="AD26" s="68">
        <v>6.8</v>
      </c>
      <c r="AE26" s="26" t="s">
        <v>37</v>
      </c>
      <c r="AF26" s="26" t="s">
        <v>38</v>
      </c>
      <c r="AG26" s="73">
        <v>0.2</v>
      </c>
    </row>
    <row r="27" s="13" customFormat="1" ht="40" customHeight="1" spans="1:33">
      <c r="A27" s="26"/>
      <c r="B27" s="27"/>
      <c r="C27" s="27"/>
      <c r="D27" s="28"/>
      <c r="E27" s="28"/>
      <c r="F27" s="27"/>
      <c r="G27" s="28"/>
      <c r="H27" s="40"/>
      <c r="I27" s="40"/>
      <c r="J27" s="45"/>
      <c r="K27" s="45"/>
      <c r="L27" s="45"/>
      <c r="M27" s="51"/>
      <c r="N27" s="51"/>
      <c r="O27" s="51"/>
      <c r="P27" s="27"/>
      <c r="Q27" s="27"/>
      <c r="R27" s="57"/>
      <c r="S27" s="58"/>
      <c r="T27" s="28"/>
      <c r="U27" s="61" t="s">
        <v>164</v>
      </c>
      <c r="V27" s="61">
        <v>311400016</v>
      </c>
      <c r="W27" s="62" t="s">
        <v>165</v>
      </c>
      <c r="X27" s="61"/>
      <c r="Y27" s="61"/>
      <c r="Z27" s="61" t="s">
        <v>145</v>
      </c>
      <c r="AA27" s="61" t="s">
        <v>38</v>
      </c>
      <c r="AB27" s="68">
        <v>27.5</v>
      </c>
      <c r="AC27" s="68">
        <v>25</v>
      </c>
      <c r="AD27" s="68">
        <v>21.3</v>
      </c>
      <c r="AE27" s="26" t="s">
        <v>37</v>
      </c>
      <c r="AF27" s="26" t="s">
        <v>38</v>
      </c>
      <c r="AG27" s="73" t="s">
        <v>38</v>
      </c>
    </row>
    <row r="28" s="14" customFormat="1" ht="31" customHeight="1" spans="1:33">
      <c r="A28" s="29">
        <v>11</v>
      </c>
      <c r="B28" s="30" t="s">
        <v>166</v>
      </c>
      <c r="C28" s="31" t="s">
        <v>167</v>
      </c>
      <c r="D28" s="30" t="s">
        <v>168</v>
      </c>
      <c r="E28" s="30" t="s">
        <v>137</v>
      </c>
      <c r="F28" s="30" t="s">
        <v>35</v>
      </c>
      <c r="G28" s="30" t="s">
        <v>38</v>
      </c>
      <c r="H28" s="41">
        <v>15</v>
      </c>
      <c r="I28" s="41">
        <v>15</v>
      </c>
      <c r="J28" s="47">
        <v>13.3450630898261</v>
      </c>
      <c r="K28" s="47">
        <v>13.1435831435831</v>
      </c>
      <c r="L28" s="47">
        <v>9.19915329458711</v>
      </c>
      <c r="M28" s="52">
        <v>14</v>
      </c>
      <c r="N28" s="52">
        <v>13</v>
      </c>
      <c r="O28" s="52">
        <v>12</v>
      </c>
      <c r="P28" s="30" t="s">
        <v>37</v>
      </c>
      <c r="Q28" s="30" t="s">
        <v>38</v>
      </c>
      <c r="R28" s="59">
        <v>0.2</v>
      </c>
      <c r="S28" s="31" t="s">
        <v>39</v>
      </c>
      <c r="T28" s="28" t="s">
        <v>169</v>
      </c>
      <c r="U28" s="61" t="s">
        <v>170</v>
      </c>
      <c r="V28" s="61">
        <v>340100001</v>
      </c>
      <c r="W28" s="61" t="s">
        <v>171</v>
      </c>
      <c r="X28" s="64" t="s">
        <v>172</v>
      </c>
      <c r="Y28" s="61"/>
      <c r="Z28" s="61" t="s">
        <v>119</v>
      </c>
      <c r="AA28" s="61" t="s">
        <v>173</v>
      </c>
      <c r="AB28" s="68">
        <v>10</v>
      </c>
      <c r="AC28" s="68">
        <v>10</v>
      </c>
      <c r="AD28" s="68">
        <v>8.5</v>
      </c>
      <c r="AE28" s="26" t="s">
        <v>37</v>
      </c>
      <c r="AF28" s="26" t="s">
        <v>38</v>
      </c>
      <c r="AG28" s="73">
        <v>0.2</v>
      </c>
    </row>
    <row r="29" s="14" customFormat="1" ht="31" customHeight="1" spans="1:33">
      <c r="A29" s="32"/>
      <c r="B29" s="33"/>
      <c r="C29" s="34"/>
      <c r="D29" s="33"/>
      <c r="E29" s="33"/>
      <c r="F29" s="33"/>
      <c r="G29" s="33"/>
      <c r="H29" s="42"/>
      <c r="I29" s="42"/>
      <c r="J29" s="48"/>
      <c r="K29" s="48"/>
      <c r="L29" s="48"/>
      <c r="M29" s="53"/>
      <c r="N29" s="53"/>
      <c r="O29" s="53"/>
      <c r="P29" s="33"/>
      <c r="Q29" s="33"/>
      <c r="R29" s="33"/>
      <c r="S29" s="34"/>
      <c r="T29" s="28"/>
      <c r="U29" s="61" t="s">
        <v>174</v>
      </c>
      <c r="V29" s="61">
        <v>310514003</v>
      </c>
      <c r="W29" s="62" t="s">
        <v>175</v>
      </c>
      <c r="X29" s="61"/>
      <c r="Y29" s="61"/>
      <c r="Z29" s="61" t="s">
        <v>45</v>
      </c>
      <c r="AA29" s="61" t="s">
        <v>176</v>
      </c>
      <c r="AB29" s="68">
        <v>10.5</v>
      </c>
      <c r="AC29" s="68">
        <v>10</v>
      </c>
      <c r="AD29" s="68">
        <v>8.5</v>
      </c>
      <c r="AE29" s="26" t="s">
        <v>37</v>
      </c>
      <c r="AF29" s="26" t="s">
        <v>38</v>
      </c>
      <c r="AG29" s="73" t="s">
        <v>38</v>
      </c>
    </row>
    <row r="30" s="14" customFormat="1" ht="31" customHeight="1" spans="1:33">
      <c r="A30" s="32"/>
      <c r="B30" s="33"/>
      <c r="C30" s="34"/>
      <c r="D30" s="33"/>
      <c r="E30" s="33"/>
      <c r="F30" s="33"/>
      <c r="G30" s="33"/>
      <c r="H30" s="42"/>
      <c r="I30" s="42"/>
      <c r="J30" s="48"/>
      <c r="K30" s="48"/>
      <c r="L30" s="48"/>
      <c r="M30" s="53"/>
      <c r="N30" s="53"/>
      <c r="O30" s="53"/>
      <c r="P30" s="33"/>
      <c r="Q30" s="33"/>
      <c r="R30" s="33"/>
      <c r="S30" s="34"/>
      <c r="T30" s="28"/>
      <c r="U30" s="61" t="s">
        <v>177</v>
      </c>
      <c r="V30" s="61">
        <v>31051400301</v>
      </c>
      <c r="W30" s="65" t="s">
        <v>178</v>
      </c>
      <c r="X30" s="61"/>
      <c r="Y30" s="61"/>
      <c r="Z30" s="61" t="s">
        <v>45</v>
      </c>
      <c r="AA30" s="61" t="s">
        <v>179</v>
      </c>
      <c r="AB30" s="68">
        <v>15.8</v>
      </c>
      <c r="AC30" s="68">
        <v>15</v>
      </c>
      <c r="AD30" s="68">
        <v>12.8</v>
      </c>
      <c r="AE30" s="26" t="s">
        <v>37</v>
      </c>
      <c r="AF30" s="26" t="s">
        <v>38</v>
      </c>
      <c r="AG30" s="73" t="s">
        <v>38</v>
      </c>
    </row>
    <row r="31" s="14" customFormat="1" ht="31" customHeight="1" spans="1:33">
      <c r="A31" s="35"/>
      <c r="B31" s="36"/>
      <c r="C31" s="37"/>
      <c r="D31" s="36"/>
      <c r="E31" s="36"/>
      <c r="F31" s="36"/>
      <c r="G31" s="36"/>
      <c r="H31" s="43"/>
      <c r="I31" s="43"/>
      <c r="J31" s="49"/>
      <c r="K31" s="49"/>
      <c r="L31" s="49"/>
      <c r="M31" s="54"/>
      <c r="N31" s="54"/>
      <c r="O31" s="54"/>
      <c r="P31" s="36"/>
      <c r="Q31" s="36"/>
      <c r="R31" s="36"/>
      <c r="S31" s="37"/>
      <c r="T31" s="28"/>
      <c r="U31" s="61" t="s">
        <v>180</v>
      </c>
      <c r="V31" s="61">
        <v>340100003</v>
      </c>
      <c r="W31" s="62" t="s">
        <v>181</v>
      </c>
      <c r="X31" s="61"/>
      <c r="Y31" s="61"/>
      <c r="Z31" s="61" t="s">
        <v>119</v>
      </c>
      <c r="AA31" s="61" t="s">
        <v>38</v>
      </c>
      <c r="AB31" s="68">
        <v>10</v>
      </c>
      <c r="AC31" s="68">
        <v>10</v>
      </c>
      <c r="AD31" s="68">
        <v>8.5</v>
      </c>
      <c r="AE31" s="26" t="s">
        <v>37</v>
      </c>
      <c r="AF31" s="26" t="s">
        <v>38</v>
      </c>
      <c r="AG31" s="73">
        <v>0.2</v>
      </c>
    </row>
    <row r="32" s="14" customFormat="1" ht="27" customHeight="1" spans="1:33">
      <c r="A32" s="26">
        <v>12</v>
      </c>
      <c r="B32" s="27" t="s">
        <v>182</v>
      </c>
      <c r="C32" s="27" t="s">
        <v>183</v>
      </c>
      <c r="D32" s="28" t="s">
        <v>184</v>
      </c>
      <c r="E32" s="28" t="s">
        <v>137</v>
      </c>
      <c r="F32" s="27" t="s">
        <v>35</v>
      </c>
      <c r="G32" s="28" t="s">
        <v>38</v>
      </c>
      <c r="H32" s="39">
        <v>20</v>
      </c>
      <c r="I32" s="39">
        <v>20</v>
      </c>
      <c r="J32" s="46">
        <v>15</v>
      </c>
      <c r="K32" s="46">
        <v>15</v>
      </c>
      <c r="L32" s="46">
        <v>12.8</v>
      </c>
      <c r="M32" s="51">
        <v>19</v>
      </c>
      <c r="N32" s="51">
        <v>18</v>
      </c>
      <c r="O32" s="51">
        <v>16</v>
      </c>
      <c r="P32" s="27" t="s">
        <v>37</v>
      </c>
      <c r="Q32" s="27" t="s">
        <v>38</v>
      </c>
      <c r="R32" s="57">
        <v>0.2</v>
      </c>
      <c r="S32" s="58" t="s">
        <v>104</v>
      </c>
      <c r="T32" s="28" t="s">
        <v>185</v>
      </c>
      <c r="U32" s="61" t="s">
        <v>186</v>
      </c>
      <c r="V32" s="61">
        <v>340100005</v>
      </c>
      <c r="W32" s="61" t="s">
        <v>187</v>
      </c>
      <c r="X32" s="61" t="s">
        <v>188</v>
      </c>
      <c r="Y32" s="61"/>
      <c r="Z32" s="61" t="s">
        <v>119</v>
      </c>
      <c r="AA32" s="61" t="s">
        <v>38</v>
      </c>
      <c r="AB32" s="68">
        <v>15</v>
      </c>
      <c r="AC32" s="68">
        <v>15</v>
      </c>
      <c r="AD32" s="68">
        <v>12.8</v>
      </c>
      <c r="AE32" s="26" t="s">
        <v>37</v>
      </c>
      <c r="AF32" s="26" t="s">
        <v>38</v>
      </c>
      <c r="AG32" s="73">
        <v>0.2</v>
      </c>
    </row>
    <row r="33" s="14" customFormat="1" ht="27" customHeight="1" spans="1:33">
      <c r="A33" s="26"/>
      <c r="B33" s="27"/>
      <c r="C33" s="27"/>
      <c r="D33" s="28"/>
      <c r="E33" s="28"/>
      <c r="F33" s="27"/>
      <c r="G33" s="28"/>
      <c r="H33" s="40"/>
      <c r="I33" s="40"/>
      <c r="J33" s="46"/>
      <c r="K33" s="46"/>
      <c r="L33" s="46"/>
      <c r="M33" s="51"/>
      <c r="N33" s="51"/>
      <c r="O33" s="51"/>
      <c r="P33" s="27"/>
      <c r="Q33" s="27"/>
      <c r="R33" s="57"/>
      <c r="S33" s="58"/>
      <c r="T33" s="28"/>
      <c r="U33" s="61" t="s">
        <v>189</v>
      </c>
      <c r="V33" s="61">
        <v>310300084</v>
      </c>
      <c r="W33" s="62" t="s">
        <v>190</v>
      </c>
      <c r="X33" s="61" t="s">
        <v>191</v>
      </c>
      <c r="Y33" s="61"/>
      <c r="Z33" s="61" t="s">
        <v>35</v>
      </c>
      <c r="AA33" s="61" t="s">
        <v>38</v>
      </c>
      <c r="AB33" s="69" t="s">
        <v>38</v>
      </c>
      <c r="AC33" s="69" t="s">
        <v>38</v>
      </c>
      <c r="AD33" s="69" t="s">
        <v>38</v>
      </c>
      <c r="AE33" s="26" t="s">
        <v>38</v>
      </c>
      <c r="AF33" s="26" t="s">
        <v>38</v>
      </c>
      <c r="AG33" s="73" t="s">
        <v>38</v>
      </c>
    </row>
    <row r="34" s="14" customFormat="1" ht="27" customHeight="1" spans="1:33">
      <c r="A34" s="26"/>
      <c r="B34" s="27"/>
      <c r="C34" s="27"/>
      <c r="D34" s="28"/>
      <c r="E34" s="28"/>
      <c r="F34" s="27"/>
      <c r="G34" s="28"/>
      <c r="H34" s="40"/>
      <c r="I34" s="40"/>
      <c r="J34" s="46"/>
      <c r="K34" s="46"/>
      <c r="L34" s="46"/>
      <c r="M34" s="51"/>
      <c r="N34" s="51"/>
      <c r="O34" s="51"/>
      <c r="P34" s="27"/>
      <c r="Q34" s="27"/>
      <c r="R34" s="57"/>
      <c r="S34" s="58"/>
      <c r="T34" s="28"/>
      <c r="U34" s="61" t="s">
        <v>192</v>
      </c>
      <c r="V34" s="61">
        <v>31030008401</v>
      </c>
      <c r="W34" s="62" t="s">
        <v>193</v>
      </c>
      <c r="X34" s="61"/>
      <c r="Y34" s="61"/>
      <c r="Z34" s="61" t="s">
        <v>35</v>
      </c>
      <c r="AA34" s="61" t="s">
        <v>38</v>
      </c>
      <c r="AB34" s="69" t="s">
        <v>38</v>
      </c>
      <c r="AC34" s="69" t="s">
        <v>38</v>
      </c>
      <c r="AD34" s="69" t="s">
        <v>38</v>
      </c>
      <c r="AE34" s="26" t="s">
        <v>38</v>
      </c>
      <c r="AF34" s="26" t="s">
        <v>38</v>
      </c>
      <c r="AG34" s="73" t="s">
        <v>38</v>
      </c>
    </row>
    <row r="35" s="14" customFormat="1" customHeight="1" spans="1:33">
      <c r="A35" s="26">
        <v>13</v>
      </c>
      <c r="B35" s="27" t="s">
        <v>194</v>
      </c>
      <c r="C35" s="27" t="s">
        <v>195</v>
      </c>
      <c r="D35" s="28" t="s">
        <v>196</v>
      </c>
      <c r="E35" s="28" t="s">
        <v>137</v>
      </c>
      <c r="F35" s="27" t="s">
        <v>197</v>
      </c>
      <c r="G35" s="28" t="s">
        <v>198</v>
      </c>
      <c r="H35" s="39">
        <v>25</v>
      </c>
      <c r="I35" s="39">
        <v>25</v>
      </c>
      <c r="J35" s="45">
        <v>27.6570463022983</v>
      </c>
      <c r="K35" s="45">
        <v>25.9359374141946</v>
      </c>
      <c r="L35" s="45">
        <v>20.9487983809765</v>
      </c>
      <c r="M35" s="51">
        <v>24</v>
      </c>
      <c r="N35" s="51">
        <v>22</v>
      </c>
      <c r="O35" s="51">
        <v>20</v>
      </c>
      <c r="P35" s="27" t="s">
        <v>37</v>
      </c>
      <c r="Q35" s="27" t="s">
        <v>38</v>
      </c>
      <c r="R35" s="57" t="s">
        <v>38</v>
      </c>
      <c r="S35" s="58" t="s">
        <v>138</v>
      </c>
      <c r="T35" s="28" t="s">
        <v>199</v>
      </c>
      <c r="U35" s="61" t="s">
        <v>200</v>
      </c>
      <c r="V35" s="61">
        <v>310510008</v>
      </c>
      <c r="W35" s="62" t="s">
        <v>201</v>
      </c>
      <c r="X35" s="61" t="s">
        <v>202</v>
      </c>
      <c r="Y35" s="61"/>
      <c r="Z35" s="61" t="s">
        <v>45</v>
      </c>
      <c r="AA35" s="61" t="s">
        <v>203</v>
      </c>
      <c r="AB35" s="68">
        <v>15.8</v>
      </c>
      <c r="AC35" s="68">
        <v>15</v>
      </c>
      <c r="AD35" s="68">
        <v>12.8</v>
      </c>
      <c r="AE35" s="26" t="s">
        <v>37</v>
      </c>
      <c r="AF35" s="26" t="s">
        <v>38</v>
      </c>
      <c r="AG35" s="73" t="s">
        <v>38</v>
      </c>
    </row>
    <row r="36" s="14" customFormat="1" customHeight="1" spans="1:33">
      <c r="A36" s="26"/>
      <c r="B36" s="27"/>
      <c r="C36" s="27"/>
      <c r="D36" s="28"/>
      <c r="E36" s="28"/>
      <c r="F36" s="27"/>
      <c r="G36" s="28"/>
      <c r="H36" s="40"/>
      <c r="I36" s="40"/>
      <c r="J36" s="45"/>
      <c r="K36" s="45"/>
      <c r="L36" s="45"/>
      <c r="M36" s="51"/>
      <c r="N36" s="51"/>
      <c r="O36" s="51"/>
      <c r="P36" s="27"/>
      <c r="Q36" s="27"/>
      <c r="R36" s="57"/>
      <c r="S36" s="58"/>
      <c r="T36" s="28"/>
      <c r="U36" s="61" t="s">
        <v>204</v>
      </c>
      <c r="V36" s="61">
        <v>31051000801</v>
      </c>
      <c r="W36" s="62" t="s">
        <v>205</v>
      </c>
      <c r="X36" s="61"/>
      <c r="Y36" s="61"/>
      <c r="Z36" s="61" t="s">
        <v>45</v>
      </c>
      <c r="AA36" s="61" t="s">
        <v>206</v>
      </c>
      <c r="AB36" s="68">
        <v>15.8</v>
      </c>
      <c r="AC36" s="68">
        <v>15</v>
      </c>
      <c r="AD36" s="68">
        <v>12.8</v>
      </c>
      <c r="AE36" s="26" t="s">
        <v>37</v>
      </c>
      <c r="AF36" s="26" t="s">
        <v>38</v>
      </c>
      <c r="AG36" s="73" t="s">
        <v>38</v>
      </c>
    </row>
    <row r="37" s="14" customFormat="1" customHeight="1" spans="1:33">
      <c r="A37" s="26"/>
      <c r="B37" s="27"/>
      <c r="C37" s="27"/>
      <c r="D37" s="28"/>
      <c r="E37" s="28"/>
      <c r="F37" s="27"/>
      <c r="G37" s="28"/>
      <c r="H37" s="40"/>
      <c r="I37" s="40"/>
      <c r="J37" s="45"/>
      <c r="K37" s="45"/>
      <c r="L37" s="45"/>
      <c r="M37" s="51"/>
      <c r="N37" s="51"/>
      <c r="O37" s="51"/>
      <c r="P37" s="27"/>
      <c r="Q37" s="27"/>
      <c r="R37" s="57"/>
      <c r="S37" s="58"/>
      <c r="T37" s="28"/>
      <c r="U37" s="61" t="s">
        <v>207</v>
      </c>
      <c r="V37" s="61">
        <v>31051000802</v>
      </c>
      <c r="W37" s="62" t="s">
        <v>208</v>
      </c>
      <c r="X37" s="61"/>
      <c r="Y37" s="61"/>
      <c r="Z37" s="61" t="s">
        <v>45</v>
      </c>
      <c r="AA37" s="61" t="s">
        <v>209</v>
      </c>
      <c r="AB37" s="68">
        <v>15.8</v>
      </c>
      <c r="AC37" s="68">
        <v>15</v>
      </c>
      <c r="AD37" s="68">
        <v>12.8</v>
      </c>
      <c r="AE37" s="26" t="s">
        <v>37</v>
      </c>
      <c r="AF37" s="26" t="s">
        <v>38</v>
      </c>
      <c r="AG37" s="73" t="s">
        <v>38</v>
      </c>
    </row>
    <row r="38" s="14" customFormat="1" customHeight="1" spans="1:33">
      <c r="A38" s="26"/>
      <c r="B38" s="27"/>
      <c r="C38" s="27"/>
      <c r="D38" s="28"/>
      <c r="E38" s="28"/>
      <c r="F38" s="27"/>
      <c r="G38" s="28"/>
      <c r="H38" s="40"/>
      <c r="I38" s="40"/>
      <c r="J38" s="45"/>
      <c r="K38" s="45"/>
      <c r="L38" s="45"/>
      <c r="M38" s="51"/>
      <c r="N38" s="51"/>
      <c r="O38" s="51"/>
      <c r="P38" s="27"/>
      <c r="Q38" s="27"/>
      <c r="R38" s="57"/>
      <c r="S38" s="58"/>
      <c r="T38" s="28"/>
      <c r="U38" s="61" t="s">
        <v>210</v>
      </c>
      <c r="V38" s="61">
        <v>31051000803</v>
      </c>
      <c r="W38" s="62" t="s">
        <v>211</v>
      </c>
      <c r="X38" s="61"/>
      <c r="Y38" s="61"/>
      <c r="Z38" s="61" t="s">
        <v>45</v>
      </c>
      <c r="AA38" s="61" t="s">
        <v>212</v>
      </c>
      <c r="AB38" s="68">
        <v>15.8</v>
      </c>
      <c r="AC38" s="68">
        <v>15</v>
      </c>
      <c r="AD38" s="68">
        <v>12.8</v>
      </c>
      <c r="AE38" s="26" t="s">
        <v>37</v>
      </c>
      <c r="AF38" s="26" t="s">
        <v>38</v>
      </c>
      <c r="AG38" s="73" t="s">
        <v>38</v>
      </c>
    </row>
    <row r="39" s="14" customFormat="1" customHeight="1" spans="1:33">
      <c r="A39" s="26"/>
      <c r="B39" s="27"/>
      <c r="C39" s="27"/>
      <c r="D39" s="28"/>
      <c r="E39" s="28"/>
      <c r="F39" s="27"/>
      <c r="G39" s="28"/>
      <c r="H39" s="40"/>
      <c r="I39" s="40"/>
      <c r="J39" s="45"/>
      <c r="K39" s="45"/>
      <c r="L39" s="45"/>
      <c r="M39" s="51"/>
      <c r="N39" s="51"/>
      <c r="O39" s="51"/>
      <c r="P39" s="27"/>
      <c r="Q39" s="27"/>
      <c r="R39" s="57"/>
      <c r="S39" s="58"/>
      <c r="T39" s="28"/>
      <c r="U39" s="61" t="s">
        <v>213</v>
      </c>
      <c r="V39" s="61">
        <v>31051000804</v>
      </c>
      <c r="W39" s="62" t="s">
        <v>214</v>
      </c>
      <c r="X39" s="61"/>
      <c r="Y39" s="61"/>
      <c r="Z39" s="61" t="s">
        <v>45</v>
      </c>
      <c r="AA39" s="61" t="s">
        <v>215</v>
      </c>
      <c r="AB39" s="68">
        <v>7.9</v>
      </c>
      <c r="AC39" s="68">
        <v>7.5</v>
      </c>
      <c r="AD39" s="68">
        <v>6.4</v>
      </c>
      <c r="AE39" s="26" t="s">
        <v>37</v>
      </c>
      <c r="AF39" s="26" t="s">
        <v>38</v>
      </c>
      <c r="AG39" s="73" t="s">
        <v>38</v>
      </c>
    </row>
    <row r="40" s="14" customFormat="1" customHeight="1" spans="1:33">
      <c r="A40" s="26"/>
      <c r="B40" s="27"/>
      <c r="C40" s="27"/>
      <c r="D40" s="28"/>
      <c r="E40" s="28"/>
      <c r="F40" s="27"/>
      <c r="G40" s="28"/>
      <c r="H40" s="40"/>
      <c r="I40" s="40"/>
      <c r="J40" s="45"/>
      <c r="K40" s="45"/>
      <c r="L40" s="45"/>
      <c r="M40" s="51"/>
      <c r="N40" s="51"/>
      <c r="O40" s="51"/>
      <c r="P40" s="27"/>
      <c r="Q40" s="27"/>
      <c r="R40" s="57"/>
      <c r="S40" s="58"/>
      <c r="T40" s="28"/>
      <c r="U40" s="61" t="s">
        <v>216</v>
      </c>
      <c r="V40" s="61">
        <v>311400032</v>
      </c>
      <c r="W40" s="61" t="s">
        <v>217</v>
      </c>
      <c r="X40" s="61" t="s">
        <v>218</v>
      </c>
      <c r="Y40" s="61"/>
      <c r="Z40" s="61" t="s">
        <v>219</v>
      </c>
      <c r="AA40" s="61" t="s">
        <v>38</v>
      </c>
      <c r="AB40" s="68">
        <v>27.5</v>
      </c>
      <c r="AC40" s="68">
        <v>25</v>
      </c>
      <c r="AD40" s="68">
        <v>21.3</v>
      </c>
      <c r="AE40" s="26" t="s">
        <v>37</v>
      </c>
      <c r="AF40" s="26" t="s">
        <v>38</v>
      </c>
      <c r="AG40" s="73" t="s">
        <v>38</v>
      </c>
    </row>
    <row r="41" s="14" customFormat="1" customHeight="1" spans="1:33">
      <c r="A41" s="26"/>
      <c r="B41" s="27"/>
      <c r="C41" s="27"/>
      <c r="D41" s="28"/>
      <c r="E41" s="28"/>
      <c r="F41" s="27"/>
      <c r="G41" s="28"/>
      <c r="H41" s="40"/>
      <c r="I41" s="40"/>
      <c r="J41" s="45"/>
      <c r="K41" s="45"/>
      <c r="L41" s="45"/>
      <c r="M41" s="51"/>
      <c r="N41" s="51"/>
      <c r="O41" s="51"/>
      <c r="P41" s="27"/>
      <c r="Q41" s="27"/>
      <c r="R41" s="57"/>
      <c r="S41" s="58"/>
      <c r="T41" s="28"/>
      <c r="U41" s="61" t="s">
        <v>220</v>
      </c>
      <c r="V41" s="61">
        <v>311400033</v>
      </c>
      <c r="W41" s="61" t="s">
        <v>221</v>
      </c>
      <c r="X41" s="61" t="s">
        <v>222</v>
      </c>
      <c r="Y41" s="61"/>
      <c r="Z41" s="61" t="s">
        <v>109</v>
      </c>
      <c r="AA41" s="61" t="s">
        <v>38</v>
      </c>
      <c r="AB41" s="68">
        <v>27.5</v>
      </c>
      <c r="AC41" s="68">
        <v>25</v>
      </c>
      <c r="AD41" s="68">
        <v>21.3</v>
      </c>
      <c r="AE41" s="26" t="s">
        <v>37</v>
      </c>
      <c r="AF41" s="26" t="s">
        <v>38</v>
      </c>
      <c r="AG41" s="73" t="s">
        <v>38</v>
      </c>
    </row>
    <row r="42" s="14" customFormat="1" customHeight="1" spans="1:33">
      <c r="A42" s="26"/>
      <c r="B42" s="27"/>
      <c r="C42" s="27"/>
      <c r="D42" s="28"/>
      <c r="E42" s="28"/>
      <c r="F42" s="27"/>
      <c r="G42" s="28"/>
      <c r="H42" s="40"/>
      <c r="I42" s="40"/>
      <c r="J42" s="45"/>
      <c r="K42" s="45"/>
      <c r="L42" s="45"/>
      <c r="M42" s="51"/>
      <c r="N42" s="51"/>
      <c r="O42" s="51"/>
      <c r="P42" s="27"/>
      <c r="Q42" s="27"/>
      <c r="R42" s="57"/>
      <c r="S42" s="58"/>
      <c r="T42" s="28"/>
      <c r="U42" s="61" t="s">
        <v>223</v>
      </c>
      <c r="V42" s="61">
        <v>311400037</v>
      </c>
      <c r="W42" s="61" t="s">
        <v>224</v>
      </c>
      <c r="X42" s="61" t="s">
        <v>225</v>
      </c>
      <c r="Y42" s="61"/>
      <c r="Z42" s="61" t="s">
        <v>109</v>
      </c>
      <c r="AA42" s="61" t="s">
        <v>38</v>
      </c>
      <c r="AB42" s="68">
        <v>33</v>
      </c>
      <c r="AC42" s="68">
        <v>30</v>
      </c>
      <c r="AD42" s="68">
        <v>25.5</v>
      </c>
      <c r="AE42" s="26" t="s">
        <v>37</v>
      </c>
      <c r="AF42" s="26" t="s">
        <v>38</v>
      </c>
      <c r="AG42" s="73" t="s">
        <v>38</v>
      </c>
    </row>
    <row r="43" s="14" customFormat="1" customHeight="1" spans="1:33">
      <c r="A43" s="26"/>
      <c r="B43" s="27"/>
      <c r="C43" s="27"/>
      <c r="D43" s="28"/>
      <c r="E43" s="28"/>
      <c r="F43" s="27"/>
      <c r="G43" s="28"/>
      <c r="H43" s="40"/>
      <c r="I43" s="40"/>
      <c r="J43" s="45"/>
      <c r="K43" s="45"/>
      <c r="L43" s="45"/>
      <c r="M43" s="51"/>
      <c r="N43" s="51"/>
      <c r="O43" s="51"/>
      <c r="P43" s="27"/>
      <c r="Q43" s="27"/>
      <c r="R43" s="57"/>
      <c r="S43" s="58"/>
      <c r="T43" s="28"/>
      <c r="U43" s="61" t="s">
        <v>226</v>
      </c>
      <c r="V43" s="61">
        <v>311400038</v>
      </c>
      <c r="W43" s="62" t="s">
        <v>227</v>
      </c>
      <c r="X43" s="61"/>
      <c r="Y43" s="61"/>
      <c r="Z43" s="61" t="s">
        <v>228</v>
      </c>
      <c r="AA43" s="61" t="s">
        <v>229</v>
      </c>
      <c r="AB43" s="69" t="s">
        <v>38</v>
      </c>
      <c r="AC43" s="69" t="s">
        <v>38</v>
      </c>
      <c r="AD43" s="69" t="s">
        <v>38</v>
      </c>
      <c r="AE43" s="26" t="s">
        <v>38</v>
      </c>
      <c r="AF43" s="26" t="s">
        <v>38</v>
      </c>
      <c r="AG43" s="73" t="s">
        <v>38</v>
      </c>
    </row>
    <row r="44" s="14" customFormat="1" customHeight="1" spans="1:33">
      <c r="A44" s="26"/>
      <c r="B44" s="27"/>
      <c r="C44" s="27"/>
      <c r="D44" s="28"/>
      <c r="E44" s="28"/>
      <c r="F44" s="27"/>
      <c r="G44" s="28"/>
      <c r="H44" s="40"/>
      <c r="I44" s="40"/>
      <c r="J44" s="45"/>
      <c r="K44" s="45"/>
      <c r="L44" s="45"/>
      <c r="M44" s="51"/>
      <c r="N44" s="51"/>
      <c r="O44" s="51"/>
      <c r="P44" s="27"/>
      <c r="Q44" s="27"/>
      <c r="R44" s="57"/>
      <c r="S44" s="58"/>
      <c r="T44" s="28"/>
      <c r="U44" s="61" t="s">
        <v>230</v>
      </c>
      <c r="V44" s="61">
        <v>311400036</v>
      </c>
      <c r="W44" s="61" t="s">
        <v>231</v>
      </c>
      <c r="X44" s="61" t="s">
        <v>232</v>
      </c>
      <c r="Y44" s="61"/>
      <c r="Z44" s="61" t="s">
        <v>145</v>
      </c>
      <c r="AA44" s="61" t="s">
        <v>38</v>
      </c>
      <c r="AB44" s="68">
        <v>44</v>
      </c>
      <c r="AC44" s="68">
        <v>40</v>
      </c>
      <c r="AD44" s="68">
        <v>34</v>
      </c>
      <c r="AE44" s="26" t="s">
        <v>37</v>
      </c>
      <c r="AF44" s="26" t="s">
        <v>38</v>
      </c>
      <c r="AG44" s="73" t="s">
        <v>38</v>
      </c>
    </row>
    <row r="45" s="14" customFormat="1" customHeight="1" spans="1:33">
      <c r="A45" s="26">
        <v>14</v>
      </c>
      <c r="B45" s="27" t="s">
        <v>233</v>
      </c>
      <c r="C45" s="27" t="s">
        <v>234</v>
      </c>
      <c r="D45" s="28" t="s">
        <v>235</v>
      </c>
      <c r="E45" s="28" t="s">
        <v>236</v>
      </c>
      <c r="F45" s="27" t="s">
        <v>35</v>
      </c>
      <c r="G45" s="28" t="s">
        <v>237</v>
      </c>
      <c r="H45" s="39">
        <v>10</v>
      </c>
      <c r="I45" s="39">
        <v>10</v>
      </c>
      <c r="J45" s="45">
        <v>11.5991544965411</v>
      </c>
      <c r="K45" s="45">
        <v>10.6955129236811</v>
      </c>
      <c r="L45" s="45">
        <v>10.111786001609</v>
      </c>
      <c r="M45" s="51">
        <v>9.5</v>
      </c>
      <c r="N45" s="51">
        <v>9</v>
      </c>
      <c r="O45" s="51">
        <v>8</v>
      </c>
      <c r="P45" s="27" t="s">
        <v>37</v>
      </c>
      <c r="Q45" s="27" t="s">
        <v>38</v>
      </c>
      <c r="R45" s="57">
        <v>0.2</v>
      </c>
      <c r="S45" s="58" t="s">
        <v>138</v>
      </c>
      <c r="T45" s="28" t="s">
        <v>238</v>
      </c>
      <c r="U45" s="61" t="s">
        <v>239</v>
      </c>
      <c r="V45" s="61">
        <v>340100019</v>
      </c>
      <c r="W45" s="61" t="s">
        <v>240</v>
      </c>
      <c r="X45" s="61" t="s">
        <v>241</v>
      </c>
      <c r="Y45" s="61"/>
      <c r="Z45" s="61" t="s">
        <v>242</v>
      </c>
      <c r="AA45" s="61" t="s">
        <v>243</v>
      </c>
      <c r="AB45" s="68">
        <v>10</v>
      </c>
      <c r="AC45" s="68">
        <v>10</v>
      </c>
      <c r="AD45" s="68">
        <v>8.5</v>
      </c>
      <c r="AE45" s="26" t="s">
        <v>38</v>
      </c>
      <c r="AF45" s="26" t="s">
        <v>38</v>
      </c>
      <c r="AG45" s="73" t="s">
        <v>38</v>
      </c>
    </row>
    <row r="46" s="14" customFormat="1" customHeight="1" spans="1:33">
      <c r="A46" s="26"/>
      <c r="B46" s="27"/>
      <c r="C46" s="27"/>
      <c r="D46" s="28"/>
      <c r="E46" s="28"/>
      <c r="F46" s="27"/>
      <c r="G46" s="28"/>
      <c r="H46" s="40"/>
      <c r="I46" s="40"/>
      <c r="J46" s="45"/>
      <c r="K46" s="45"/>
      <c r="L46" s="45"/>
      <c r="M46" s="51"/>
      <c r="N46" s="51"/>
      <c r="O46" s="51"/>
      <c r="P46" s="27"/>
      <c r="Q46" s="27"/>
      <c r="R46" s="57"/>
      <c r="S46" s="58"/>
      <c r="T46" s="28"/>
      <c r="U46" s="61" t="s">
        <v>244</v>
      </c>
      <c r="V46" s="61">
        <v>34010001901</v>
      </c>
      <c r="W46" s="62" t="s">
        <v>245</v>
      </c>
      <c r="X46" s="61"/>
      <c r="Y46" s="61"/>
      <c r="Z46" s="61" t="s">
        <v>246</v>
      </c>
      <c r="AA46" s="61" t="s">
        <v>245</v>
      </c>
      <c r="AB46" s="68">
        <v>15</v>
      </c>
      <c r="AC46" s="68">
        <v>15</v>
      </c>
      <c r="AD46" s="68">
        <v>12.8</v>
      </c>
      <c r="AE46" s="26" t="s">
        <v>38</v>
      </c>
      <c r="AF46" s="26" t="s">
        <v>38</v>
      </c>
      <c r="AG46" s="73" t="s">
        <v>38</v>
      </c>
    </row>
    <row r="47" s="14" customFormat="1" customHeight="1" spans="1:33">
      <c r="A47" s="26"/>
      <c r="B47" s="27"/>
      <c r="C47" s="27"/>
      <c r="D47" s="28"/>
      <c r="E47" s="28"/>
      <c r="F47" s="27"/>
      <c r="G47" s="28"/>
      <c r="H47" s="40"/>
      <c r="I47" s="40"/>
      <c r="J47" s="45"/>
      <c r="K47" s="45"/>
      <c r="L47" s="45"/>
      <c r="M47" s="51"/>
      <c r="N47" s="51"/>
      <c r="O47" s="51"/>
      <c r="P47" s="27"/>
      <c r="Q47" s="27"/>
      <c r="R47" s="57"/>
      <c r="S47" s="58"/>
      <c r="T47" s="28"/>
      <c r="U47" s="61" t="s">
        <v>247</v>
      </c>
      <c r="V47" s="61">
        <v>430000020</v>
      </c>
      <c r="W47" s="62" t="s">
        <v>248</v>
      </c>
      <c r="X47" s="61"/>
      <c r="Y47" s="61"/>
      <c r="Z47" s="61" t="s">
        <v>249</v>
      </c>
      <c r="AA47" s="61" t="s">
        <v>38</v>
      </c>
      <c r="AB47" s="68">
        <v>13</v>
      </c>
      <c r="AC47" s="68">
        <v>12.5</v>
      </c>
      <c r="AD47" s="68">
        <v>10.6</v>
      </c>
      <c r="AE47" s="26" t="s">
        <v>37</v>
      </c>
      <c r="AF47" s="26" t="s">
        <v>38</v>
      </c>
      <c r="AG47" s="73" t="s">
        <v>38</v>
      </c>
    </row>
    <row r="48" s="14" customFormat="1" customHeight="1" spans="1:33">
      <c r="A48" s="26"/>
      <c r="B48" s="27"/>
      <c r="C48" s="27"/>
      <c r="D48" s="28"/>
      <c r="E48" s="28"/>
      <c r="F48" s="27"/>
      <c r="G48" s="28"/>
      <c r="H48" s="40"/>
      <c r="I48" s="40"/>
      <c r="J48" s="45"/>
      <c r="K48" s="45"/>
      <c r="L48" s="45"/>
      <c r="M48" s="51"/>
      <c r="N48" s="51"/>
      <c r="O48" s="51"/>
      <c r="P48" s="27"/>
      <c r="Q48" s="27"/>
      <c r="R48" s="57"/>
      <c r="S48" s="58"/>
      <c r="T48" s="28"/>
      <c r="U48" s="61" t="s">
        <v>250</v>
      </c>
      <c r="V48" s="61">
        <v>340100027</v>
      </c>
      <c r="W48" s="62" t="s">
        <v>251</v>
      </c>
      <c r="X48" s="61"/>
      <c r="Y48" s="61"/>
      <c r="Z48" s="61" t="s">
        <v>45</v>
      </c>
      <c r="AA48" s="61" t="s">
        <v>38</v>
      </c>
      <c r="AB48" s="68">
        <v>10</v>
      </c>
      <c r="AC48" s="68">
        <v>10</v>
      </c>
      <c r="AD48" s="68">
        <v>8.5</v>
      </c>
      <c r="AE48" s="26" t="s">
        <v>37</v>
      </c>
      <c r="AF48" s="26" t="s">
        <v>38</v>
      </c>
      <c r="AG48" s="73">
        <v>0.2</v>
      </c>
    </row>
    <row r="49" s="14" customFormat="1" customHeight="1" spans="1:33">
      <c r="A49" s="26">
        <v>15</v>
      </c>
      <c r="B49" s="27" t="s">
        <v>252</v>
      </c>
      <c r="C49" s="27" t="s">
        <v>253</v>
      </c>
      <c r="D49" s="28" t="s">
        <v>254</v>
      </c>
      <c r="E49" s="28" t="s">
        <v>255</v>
      </c>
      <c r="F49" s="27" t="s">
        <v>35</v>
      </c>
      <c r="G49" s="28" t="s">
        <v>80</v>
      </c>
      <c r="H49" s="39">
        <v>10</v>
      </c>
      <c r="I49" s="39">
        <v>10</v>
      </c>
      <c r="J49" s="46">
        <v>10</v>
      </c>
      <c r="K49" s="46">
        <v>10</v>
      </c>
      <c r="L49" s="46">
        <v>8.5</v>
      </c>
      <c r="M49" s="51">
        <v>9.5</v>
      </c>
      <c r="N49" s="51">
        <v>9</v>
      </c>
      <c r="O49" s="51">
        <v>8</v>
      </c>
      <c r="P49" s="27" t="s">
        <v>81</v>
      </c>
      <c r="Q49" s="27" t="s">
        <v>38</v>
      </c>
      <c r="R49" s="57" t="s">
        <v>38</v>
      </c>
      <c r="S49" s="58" t="s">
        <v>138</v>
      </c>
      <c r="T49" s="28" t="s">
        <v>238</v>
      </c>
      <c r="U49" s="61" t="s">
        <v>256</v>
      </c>
      <c r="V49" s="61">
        <v>340100021</v>
      </c>
      <c r="W49" s="61" t="s">
        <v>257</v>
      </c>
      <c r="X49" s="61" t="s">
        <v>258</v>
      </c>
      <c r="Y49" s="61"/>
      <c r="Z49" s="61" t="s">
        <v>45</v>
      </c>
      <c r="AA49" s="61" t="s">
        <v>38</v>
      </c>
      <c r="AB49" s="68">
        <v>10</v>
      </c>
      <c r="AC49" s="68">
        <v>10</v>
      </c>
      <c r="AD49" s="68">
        <v>8.5</v>
      </c>
      <c r="AE49" s="26" t="s">
        <v>38</v>
      </c>
      <c r="AF49" s="26" t="s">
        <v>38</v>
      </c>
      <c r="AG49" s="73" t="s">
        <v>38</v>
      </c>
    </row>
    <row r="50" s="14" customFormat="1" customHeight="1" spans="1:33">
      <c r="A50" s="26"/>
      <c r="B50" s="27"/>
      <c r="C50" s="27"/>
      <c r="D50" s="28"/>
      <c r="E50" s="28"/>
      <c r="F50" s="27"/>
      <c r="G50" s="28"/>
      <c r="H50" s="40"/>
      <c r="I50" s="40"/>
      <c r="J50" s="46"/>
      <c r="K50" s="46"/>
      <c r="L50" s="46"/>
      <c r="M50" s="51"/>
      <c r="N50" s="51"/>
      <c r="O50" s="51"/>
      <c r="P50" s="27"/>
      <c r="Q50" s="27"/>
      <c r="R50" s="57"/>
      <c r="S50" s="58"/>
      <c r="T50" s="28"/>
      <c r="U50" s="61" t="s">
        <v>259</v>
      </c>
      <c r="V50" s="61">
        <v>340100022</v>
      </c>
      <c r="W50" s="61" t="s">
        <v>260</v>
      </c>
      <c r="X50" s="61" t="s">
        <v>261</v>
      </c>
      <c r="Y50" s="61"/>
      <c r="Z50" s="61" t="s">
        <v>45</v>
      </c>
      <c r="AA50" s="61" t="s">
        <v>262</v>
      </c>
      <c r="AB50" s="69" t="s">
        <v>38</v>
      </c>
      <c r="AC50" s="69" t="s">
        <v>38</v>
      </c>
      <c r="AD50" s="69" t="s">
        <v>38</v>
      </c>
      <c r="AE50" s="26" t="s">
        <v>38</v>
      </c>
      <c r="AF50" s="26" t="s">
        <v>38</v>
      </c>
      <c r="AG50" s="73" t="s">
        <v>38</v>
      </c>
    </row>
    <row r="51" s="14" customFormat="1" customHeight="1" spans="1:33">
      <c r="A51" s="26"/>
      <c r="B51" s="27"/>
      <c r="C51" s="27"/>
      <c r="D51" s="28"/>
      <c r="E51" s="28"/>
      <c r="F51" s="27"/>
      <c r="G51" s="28"/>
      <c r="H51" s="40"/>
      <c r="I51" s="40"/>
      <c r="J51" s="46"/>
      <c r="K51" s="46"/>
      <c r="L51" s="46"/>
      <c r="M51" s="51"/>
      <c r="N51" s="51"/>
      <c r="O51" s="51"/>
      <c r="P51" s="27"/>
      <c r="Q51" s="27"/>
      <c r="R51" s="57"/>
      <c r="S51" s="58"/>
      <c r="T51" s="28"/>
      <c r="U51" s="61" t="s">
        <v>263</v>
      </c>
      <c r="V51" s="61">
        <v>340100026</v>
      </c>
      <c r="W51" s="62" t="s">
        <v>264</v>
      </c>
      <c r="X51" s="61" t="s">
        <v>265</v>
      </c>
      <c r="Y51" s="61"/>
      <c r="Z51" s="61" t="s">
        <v>35</v>
      </c>
      <c r="AA51" s="61" t="s">
        <v>38</v>
      </c>
      <c r="AB51" s="68">
        <v>10</v>
      </c>
      <c r="AC51" s="68">
        <v>10</v>
      </c>
      <c r="AD51" s="68">
        <v>8.5</v>
      </c>
      <c r="AE51" s="26" t="s">
        <v>38</v>
      </c>
      <c r="AF51" s="26" t="s">
        <v>38</v>
      </c>
      <c r="AG51" s="73" t="s">
        <v>38</v>
      </c>
    </row>
    <row r="52" s="14" customFormat="1" ht="60" customHeight="1" spans="1:33">
      <c r="A52" s="26">
        <v>16</v>
      </c>
      <c r="B52" s="27" t="s">
        <v>266</v>
      </c>
      <c r="C52" s="27" t="s">
        <v>267</v>
      </c>
      <c r="D52" s="28" t="s">
        <v>268</v>
      </c>
      <c r="E52" s="28" t="s">
        <v>269</v>
      </c>
      <c r="F52" s="27" t="s">
        <v>35</v>
      </c>
      <c r="G52" s="28" t="s">
        <v>80</v>
      </c>
      <c r="H52" s="39">
        <v>10</v>
      </c>
      <c r="I52" s="39">
        <v>10</v>
      </c>
      <c r="J52" s="46">
        <v>20</v>
      </c>
      <c r="K52" s="46">
        <v>20</v>
      </c>
      <c r="L52" s="46">
        <v>17</v>
      </c>
      <c r="M52" s="51">
        <v>9.5</v>
      </c>
      <c r="N52" s="51">
        <v>9</v>
      </c>
      <c r="O52" s="51">
        <v>8</v>
      </c>
      <c r="P52" s="27" t="s">
        <v>81</v>
      </c>
      <c r="Q52" s="27" t="s">
        <v>38</v>
      </c>
      <c r="R52" s="57" t="s">
        <v>38</v>
      </c>
      <c r="S52" s="58" t="s">
        <v>138</v>
      </c>
      <c r="T52" s="28" t="s">
        <v>270</v>
      </c>
      <c r="U52" s="61" t="s">
        <v>271</v>
      </c>
      <c r="V52" s="61">
        <v>340100025</v>
      </c>
      <c r="W52" s="61" t="s">
        <v>272</v>
      </c>
      <c r="X52" s="61"/>
      <c r="Y52" s="61"/>
      <c r="Z52" s="61" t="s">
        <v>45</v>
      </c>
      <c r="AA52" s="61" t="s">
        <v>38</v>
      </c>
      <c r="AB52" s="68">
        <v>20</v>
      </c>
      <c r="AC52" s="68">
        <v>20</v>
      </c>
      <c r="AD52" s="68">
        <v>17</v>
      </c>
      <c r="AE52" s="26" t="s">
        <v>38</v>
      </c>
      <c r="AF52" s="26" t="s">
        <v>38</v>
      </c>
      <c r="AG52" s="73" t="s">
        <v>38</v>
      </c>
    </row>
    <row r="53" s="14" customFormat="1" ht="105" customHeight="1" spans="1:33">
      <c r="A53" s="26">
        <v>17</v>
      </c>
      <c r="B53" s="27" t="s">
        <v>273</v>
      </c>
      <c r="C53" s="27" t="s">
        <v>274</v>
      </c>
      <c r="D53" s="28" t="s">
        <v>275</v>
      </c>
      <c r="E53" s="28" t="s">
        <v>269</v>
      </c>
      <c r="F53" s="27" t="s">
        <v>124</v>
      </c>
      <c r="G53" s="28" t="s">
        <v>38</v>
      </c>
      <c r="H53" s="39">
        <v>120</v>
      </c>
      <c r="I53" s="39">
        <v>120</v>
      </c>
      <c r="J53" s="46">
        <v>150</v>
      </c>
      <c r="K53" s="46">
        <v>135</v>
      </c>
      <c r="L53" s="46">
        <v>115</v>
      </c>
      <c r="M53" s="51">
        <v>115</v>
      </c>
      <c r="N53" s="51">
        <v>108</v>
      </c>
      <c r="O53" s="51">
        <v>95</v>
      </c>
      <c r="P53" s="27" t="s">
        <v>81</v>
      </c>
      <c r="Q53" s="27" t="s">
        <v>38</v>
      </c>
      <c r="R53" s="57" t="s">
        <v>38</v>
      </c>
      <c r="S53" s="58" t="s">
        <v>138</v>
      </c>
      <c r="T53" s="28" t="s">
        <v>276</v>
      </c>
      <c r="U53" s="61" t="s">
        <v>277</v>
      </c>
      <c r="V53" s="61">
        <v>340100028</v>
      </c>
      <c r="W53" s="66" t="s">
        <v>278</v>
      </c>
      <c r="X53" s="66" t="s">
        <v>279</v>
      </c>
      <c r="Y53" s="61"/>
      <c r="Z53" s="61" t="s">
        <v>35</v>
      </c>
      <c r="AA53" s="61" t="s">
        <v>38</v>
      </c>
      <c r="AB53" s="68">
        <v>150</v>
      </c>
      <c r="AC53" s="68">
        <v>135</v>
      </c>
      <c r="AD53" s="68">
        <v>115</v>
      </c>
      <c r="AE53" s="26" t="s">
        <v>38</v>
      </c>
      <c r="AF53" s="26" t="s">
        <v>38</v>
      </c>
      <c r="AG53" s="73" t="s">
        <v>38</v>
      </c>
    </row>
    <row r="54" s="14" customFormat="1" customHeight="1" spans="1:33">
      <c r="A54" s="26">
        <v>18</v>
      </c>
      <c r="B54" s="27" t="s">
        <v>280</v>
      </c>
      <c r="C54" s="27" t="s">
        <v>281</v>
      </c>
      <c r="D54" s="28" t="s">
        <v>282</v>
      </c>
      <c r="E54" s="28" t="s">
        <v>283</v>
      </c>
      <c r="F54" s="27" t="s">
        <v>35</v>
      </c>
      <c r="G54" s="28" t="s">
        <v>284</v>
      </c>
      <c r="H54" s="39">
        <v>30</v>
      </c>
      <c r="I54" s="39">
        <v>30</v>
      </c>
      <c r="J54" s="46">
        <v>30</v>
      </c>
      <c r="K54" s="46">
        <v>30</v>
      </c>
      <c r="L54" s="46">
        <v>25.5</v>
      </c>
      <c r="M54" s="51">
        <v>28.5</v>
      </c>
      <c r="N54" s="51">
        <v>27</v>
      </c>
      <c r="O54" s="51">
        <v>24</v>
      </c>
      <c r="P54" s="27" t="s">
        <v>81</v>
      </c>
      <c r="Q54" s="27" t="s">
        <v>38</v>
      </c>
      <c r="R54" s="57" t="s">
        <v>38</v>
      </c>
      <c r="S54" s="58" t="s">
        <v>138</v>
      </c>
      <c r="T54" s="28" t="s">
        <v>285</v>
      </c>
      <c r="U54" s="61" t="s">
        <v>286</v>
      </c>
      <c r="V54" s="61">
        <v>340100020</v>
      </c>
      <c r="W54" s="62" t="s">
        <v>287</v>
      </c>
      <c r="X54" s="61" t="s">
        <v>288</v>
      </c>
      <c r="Y54" s="61" t="s">
        <v>44</v>
      </c>
      <c r="Z54" s="61" t="s">
        <v>242</v>
      </c>
      <c r="AA54" s="61" t="s">
        <v>38</v>
      </c>
      <c r="AB54" s="68">
        <v>30</v>
      </c>
      <c r="AC54" s="68">
        <v>30</v>
      </c>
      <c r="AD54" s="68">
        <v>25.5</v>
      </c>
      <c r="AE54" s="26" t="s">
        <v>38</v>
      </c>
      <c r="AF54" s="26" t="s">
        <v>38</v>
      </c>
      <c r="AG54" s="73" t="s">
        <v>38</v>
      </c>
    </row>
    <row r="55" s="14" customFormat="1" customHeight="1" spans="1:33">
      <c r="A55" s="26"/>
      <c r="B55" s="27"/>
      <c r="C55" s="27"/>
      <c r="D55" s="28"/>
      <c r="E55" s="28"/>
      <c r="F55" s="27"/>
      <c r="G55" s="28"/>
      <c r="H55" s="40"/>
      <c r="I55" s="40"/>
      <c r="J55" s="46"/>
      <c r="K55" s="46"/>
      <c r="L55" s="46"/>
      <c r="M55" s="51"/>
      <c r="N55" s="51"/>
      <c r="O55" s="51"/>
      <c r="P55" s="27"/>
      <c r="Q55" s="27"/>
      <c r="R55" s="57"/>
      <c r="S55" s="58"/>
      <c r="T55" s="28"/>
      <c r="U55" s="61" t="s">
        <v>289</v>
      </c>
      <c r="V55" s="61">
        <v>34010002004</v>
      </c>
      <c r="W55" s="61" t="s">
        <v>290</v>
      </c>
      <c r="X55" s="61"/>
      <c r="Y55" s="61"/>
      <c r="Z55" s="61" t="s">
        <v>242</v>
      </c>
      <c r="AA55" s="61" t="s">
        <v>291</v>
      </c>
      <c r="AB55" s="68">
        <v>30</v>
      </c>
      <c r="AC55" s="68">
        <v>30</v>
      </c>
      <c r="AD55" s="68">
        <v>25.5</v>
      </c>
      <c r="AE55" s="26" t="s">
        <v>38</v>
      </c>
      <c r="AF55" s="26" t="s">
        <v>38</v>
      </c>
      <c r="AG55" s="73" t="s">
        <v>38</v>
      </c>
    </row>
    <row r="56" s="14" customFormat="1" customHeight="1" spans="1:33">
      <c r="A56" s="26"/>
      <c r="B56" s="27"/>
      <c r="C56" s="27"/>
      <c r="D56" s="28"/>
      <c r="E56" s="28"/>
      <c r="F56" s="27"/>
      <c r="G56" s="28"/>
      <c r="H56" s="40"/>
      <c r="I56" s="40"/>
      <c r="J56" s="46"/>
      <c r="K56" s="46"/>
      <c r="L56" s="46"/>
      <c r="M56" s="51"/>
      <c r="N56" s="51"/>
      <c r="O56" s="51"/>
      <c r="P56" s="27"/>
      <c r="Q56" s="27"/>
      <c r="R56" s="57"/>
      <c r="S56" s="58"/>
      <c r="T56" s="28"/>
      <c r="U56" s="61" t="s">
        <v>292</v>
      </c>
      <c r="V56" s="61">
        <v>34010002002</v>
      </c>
      <c r="W56" s="62" t="s">
        <v>293</v>
      </c>
      <c r="X56" s="61"/>
      <c r="Y56" s="61"/>
      <c r="Z56" s="61" t="s">
        <v>242</v>
      </c>
      <c r="AA56" s="61" t="s">
        <v>294</v>
      </c>
      <c r="AB56" s="68">
        <v>30</v>
      </c>
      <c r="AC56" s="68">
        <v>30</v>
      </c>
      <c r="AD56" s="68">
        <v>25.5</v>
      </c>
      <c r="AE56" s="26" t="s">
        <v>38</v>
      </c>
      <c r="AF56" s="26" t="s">
        <v>38</v>
      </c>
      <c r="AG56" s="73" t="s">
        <v>38</v>
      </c>
    </row>
    <row r="57" s="14" customFormat="1" customHeight="1" spans="1:33">
      <c r="A57" s="26"/>
      <c r="B57" s="27"/>
      <c r="C57" s="27"/>
      <c r="D57" s="28"/>
      <c r="E57" s="28"/>
      <c r="F57" s="27"/>
      <c r="G57" s="28"/>
      <c r="H57" s="40"/>
      <c r="I57" s="40"/>
      <c r="J57" s="46"/>
      <c r="K57" s="46"/>
      <c r="L57" s="46"/>
      <c r="M57" s="51"/>
      <c r="N57" s="51"/>
      <c r="O57" s="51"/>
      <c r="P57" s="27"/>
      <c r="Q57" s="27"/>
      <c r="R57" s="57"/>
      <c r="S57" s="58"/>
      <c r="T57" s="28"/>
      <c r="U57" s="61" t="s">
        <v>295</v>
      </c>
      <c r="V57" s="61">
        <v>34010002001</v>
      </c>
      <c r="W57" s="62" t="s">
        <v>296</v>
      </c>
      <c r="X57" s="61"/>
      <c r="Y57" s="61"/>
      <c r="Z57" s="61" t="s">
        <v>242</v>
      </c>
      <c r="AA57" s="61" t="s">
        <v>297</v>
      </c>
      <c r="AB57" s="68">
        <v>30</v>
      </c>
      <c r="AC57" s="68">
        <v>30</v>
      </c>
      <c r="AD57" s="68">
        <v>25.5</v>
      </c>
      <c r="AE57" s="26" t="s">
        <v>38</v>
      </c>
      <c r="AF57" s="26" t="s">
        <v>38</v>
      </c>
      <c r="AG57" s="73" t="s">
        <v>38</v>
      </c>
    </row>
    <row r="58" s="14" customFormat="1" customHeight="1" spans="1:33">
      <c r="A58" s="26"/>
      <c r="B58" s="27"/>
      <c r="C58" s="27"/>
      <c r="D58" s="28"/>
      <c r="E58" s="28"/>
      <c r="F58" s="27"/>
      <c r="G58" s="28"/>
      <c r="H58" s="40"/>
      <c r="I58" s="40"/>
      <c r="J58" s="46"/>
      <c r="K58" s="46"/>
      <c r="L58" s="46"/>
      <c r="M58" s="51"/>
      <c r="N58" s="51"/>
      <c r="O58" s="51"/>
      <c r="P58" s="27"/>
      <c r="Q58" s="27"/>
      <c r="R58" s="57"/>
      <c r="S58" s="58"/>
      <c r="T58" s="28"/>
      <c r="U58" s="61" t="s">
        <v>298</v>
      </c>
      <c r="V58" s="61">
        <v>34010002003</v>
      </c>
      <c r="W58" s="62" t="s">
        <v>299</v>
      </c>
      <c r="X58" s="61"/>
      <c r="Y58" s="61"/>
      <c r="Z58" s="61" t="s">
        <v>242</v>
      </c>
      <c r="AA58" s="61" t="s">
        <v>300</v>
      </c>
      <c r="AB58" s="68">
        <v>30</v>
      </c>
      <c r="AC58" s="68">
        <v>30</v>
      </c>
      <c r="AD58" s="68">
        <v>25.5</v>
      </c>
      <c r="AE58" s="26" t="s">
        <v>38</v>
      </c>
      <c r="AF58" s="26" t="s">
        <v>38</v>
      </c>
      <c r="AG58" s="73" t="s">
        <v>38</v>
      </c>
    </row>
    <row r="59" s="14" customFormat="1" ht="76" customHeight="1" spans="1:33">
      <c r="A59" s="26">
        <v>19</v>
      </c>
      <c r="B59" s="27" t="s">
        <v>301</v>
      </c>
      <c r="C59" s="27" t="s">
        <v>302</v>
      </c>
      <c r="D59" s="28" t="s">
        <v>303</v>
      </c>
      <c r="E59" s="28" t="s">
        <v>304</v>
      </c>
      <c r="F59" s="27" t="s">
        <v>305</v>
      </c>
      <c r="G59" s="28"/>
      <c r="H59" s="39">
        <v>20</v>
      </c>
      <c r="I59" s="39">
        <v>20</v>
      </c>
      <c r="J59" s="46">
        <v>20</v>
      </c>
      <c r="K59" s="46">
        <v>20</v>
      </c>
      <c r="L59" s="46">
        <v>17</v>
      </c>
      <c r="M59" s="51">
        <v>19</v>
      </c>
      <c r="N59" s="51">
        <v>18</v>
      </c>
      <c r="O59" s="51">
        <v>16</v>
      </c>
      <c r="P59" s="27" t="s">
        <v>81</v>
      </c>
      <c r="Q59" s="27" t="s">
        <v>38</v>
      </c>
      <c r="R59" s="57" t="s">
        <v>38</v>
      </c>
      <c r="S59" s="58" t="s">
        <v>138</v>
      </c>
      <c r="T59" s="28" t="s">
        <v>285</v>
      </c>
      <c r="U59" s="61" t="s">
        <v>306</v>
      </c>
      <c r="V59" s="61">
        <v>340100024</v>
      </c>
      <c r="W59" s="61" t="s">
        <v>307</v>
      </c>
      <c r="X59" s="61" t="s">
        <v>308</v>
      </c>
      <c r="Y59" s="61"/>
      <c r="Z59" s="61" t="s">
        <v>45</v>
      </c>
      <c r="AA59" s="61" t="s">
        <v>38</v>
      </c>
      <c r="AB59" s="68">
        <v>20</v>
      </c>
      <c r="AC59" s="68">
        <v>20</v>
      </c>
      <c r="AD59" s="68">
        <v>17</v>
      </c>
      <c r="AE59" s="26" t="s">
        <v>38</v>
      </c>
      <c r="AF59" s="26" t="s">
        <v>38</v>
      </c>
      <c r="AG59" s="73" t="s">
        <v>38</v>
      </c>
    </row>
    <row r="60" s="14" customFormat="1" ht="26" customHeight="1" spans="1:33">
      <c r="A60" s="26">
        <v>20</v>
      </c>
      <c r="B60" s="27" t="s">
        <v>309</v>
      </c>
      <c r="C60" s="27" t="s">
        <v>310</v>
      </c>
      <c r="D60" s="28" t="s">
        <v>311</v>
      </c>
      <c r="E60" s="28" t="s">
        <v>312</v>
      </c>
      <c r="F60" s="27" t="s">
        <v>35</v>
      </c>
      <c r="G60" s="28"/>
      <c r="H60" s="39">
        <v>26</v>
      </c>
      <c r="I60" s="39">
        <v>26</v>
      </c>
      <c r="J60" s="45">
        <v>24.6070427683685</v>
      </c>
      <c r="K60" s="45">
        <v>22.1157925805678</v>
      </c>
      <c r="L60" s="45">
        <v>20.0494774321919</v>
      </c>
      <c r="M60" s="51">
        <v>25</v>
      </c>
      <c r="N60" s="51">
        <v>23</v>
      </c>
      <c r="O60" s="51">
        <v>21</v>
      </c>
      <c r="P60" s="27" t="s">
        <v>37</v>
      </c>
      <c r="Q60" s="27" t="s">
        <v>38</v>
      </c>
      <c r="R60" s="57" t="s">
        <v>38</v>
      </c>
      <c r="S60" s="58" t="s">
        <v>313</v>
      </c>
      <c r="T60" s="28" t="s">
        <v>314</v>
      </c>
      <c r="U60" s="61" t="s">
        <v>315</v>
      </c>
      <c r="V60" s="61">
        <v>340100023</v>
      </c>
      <c r="W60" s="61" t="s">
        <v>316</v>
      </c>
      <c r="X60" s="67" t="s">
        <v>317</v>
      </c>
      <c r="Y60" s="61"/>
      <c r="Z60" s="61" t="s">
        <v>35</v>
      </c>
      <c r="AA60" s="67" t="s">
        <v>318</v>
      </c>
      <c r="AB60" s="68">
        <v>15</v>
      </c>
      <c r="AC60" s="68">
        <v>15</v>
      </c>
      <c r="AD60" s="68">
        <v>12.8</v>
      </c>
      <c r="AE60" s="26" t="s">
        <v>37</v>
      </c>
      <c r="AF60" s="26" t="s">
        <v>38</v>
      </c>
      <c r="AG60" s="73" t="s">
        <v>38</v>
      </c>
    </row>
    <row r="61" s="14" customFormat="1" ht="26" customHeight="1" spans="1:33">
      <c r="A61" s="26"/>
      <c r="B61" s="27"/>
      <c r="C61" s="27"/>
      <c r="D61" s="28"/>
      <c r="E61" s="28"/>
      <c r="F61" s="27"/>
      <c r="G61" s="28"/>
      <c r="H61" s="40"/>
      <c r="I61" s="40"/>
      <c r="J61" s="45"/>
      <c r="K61" s="45"/>
      <c r="L61" s="45"/>
      <c r="M61" s="51"/>
      <c r="N61" s="51"/>
      <c r="O61" s="51"/>
      <c r="P61" s="27"/>
      <c r="Q61" s="27"/>
      <c r="R61" s="57"/>
      <c r="S61" s="58"/>
      <c r="T61" s="28"/>
      <c r="U61" s="61" t="s">
        <v>319</v>
      </c>
      <c r="V61" s="61">
        <v>34010002301</v>
      </c>
      <c r="W61" s="61" t="s">
        <v>320</v>
      </c>
      <c r="X61" s="61"/>
      <c r="Y61" s="61"/>
      <c r="Z61" s="61" t="s">
        <v>35</v>
      </c>
      <c r="AA61" s="61" t="s">
        <v>320</v>
      </c>
      <c r="AB61" s="68">
        <v>25</v>
      </c>
      <c r="AC61" s="68">
        <v>25</v>
      </c>
      <c r="AD61" s="68">
        <v>21.3</v>
      </c>
      <c r="AE61" s="26" t="s">
        <v>37</v>
      </c>
      <c r="AF61" s="26" t="s">
        <v>38</v>
      </c>
      <c r="AG61" s="73" t="s">
        <v>38</v>
      </c>
    </row>
    <row r="62" s="14" customFormat="1" ht="26" customHeight="1" spans="1:33">
      <c r="A62" s="26"/>
      <c r="B62" s="27"/>
      <c r="C62" s="27"/>
      <c r="D62" s="28"/>
      <c r="E62" s="28"/>
      <c r="F62" s="27"/>
      <c r="G62" s="28"/>
      <c r="H62" s="40"/>
      <c r="I62" s="40"/>
      <c r="J62" s="45"/>
      <c r="K62" s="45"/>
      <c r="L62" s="45"/>
      <c r="M62" s="51"/>
      <c r="N62" s="51"/>
      <c r="O62" s="51"/>
      <c r="P62" s="27"/>
      <c r="Q62" s="27"/>
      <c r="R62" s="57"/>
      <c r="S62" s="58"/>
      <c r="T62" s="28"/>
      <c r="U62" s="61" t="s">
        <v>321</v>
      </c>
      <c r="V62" s="61">
        <v>34010002303</v>
      </c>
      <c r="W62" s="62" t="s">
        <v>322</v>
      </c>
      <c r="X62" s="61"/>
      <c r="Y62" s="61"/>
      <c r="Z62" s="61" t="s">
        <v>35</v>
      </c>
      <c r="AA62" s="61" t="s">
        <v>323</v>
      </c>
      <c r="AB62" s="68">
        <v>15</v>
      </c>
      <c r="AC62" s="68">
        <v>15</v>
      </c>
      <c r="AD62" s="68">
        <v>12.8</v>
      </c>
      <c r="AE62" s="26" t="s">
        <v>37</v>
      </c>
      <c r="AF62" s="26" t="s">
        <v>38</v>
      </c>
      <c r="AG62" s="73" t="s">
        <v>38</v>
      </c>
    </row>
    <row r="63" s="14" customFormat="1" ht="26" customHeight="1" spans="1:33">
      <c r="A63" s="26"/>
      <c r="B63" s="27"/>
      <c r="C63" s="27"/>
      <c r="D63" s="28"/>
      <c r="E63" s="28"/>
      <c r="F63" s="27"/>
      <c r="G63" s="28"/>
      <c r="H63" s="40"/>
      <c r="I63" s="40"/>
      <c r="J63" s="45"/>
      <c r="K63" s="45"/>
      <c r="L63" s="45"/>
      <c r="M63" s="51"/>
      <c r="N63" s="51"/>
      <c r="O63" s="51"/>
      <c r="P63" s="27"/>
      <c r="Q63" s="27"/>
      <c r="R63" s="57"/>
      <c r="S63" s="58"/>
      <c r="T63" s="28"/>
      <c r="U63" s="61" t="s">
        <v>324</v>
      </c>
      <c r="V63" s="61">
        <v>34010002304</v>
      </c>
      <c r="W63" s="62" t="s">
        <v>325</v>
      </c>
      <c r="X63" s="61"/>
      <c r="Y63" s="61"/>
      <c r="Z63" s="61" t="s">
        <v>35</v>
      </c>
      <c r="AA63" s="61" t="s">
        <v>326</v>
      </c>
      <c r="AB63" s="68">
        <v>15</v>
      </c>
      <c r="AC63" s="68">
        <v>15</v>
      </c>
      <c r="AD63" s="68">
        <v>12.8</v>
      </c>
      <c r="AE63" s="26" t="s">
        <v>37</v>
      </c>
      <c r="AF63" s="26" t="s">
        <v>38</v>
      </c>
      <c r="AG63" s="73" t="s">
        <v>38</v>
      </c>
    </row>
    <row r="64" s="14" customFormat="1" ht="26" customHeight="1" spans="1:33">
      <c r="A64" s="26"/>
      <c r="B64" s="27"/>
      <c r="C64" s="27"/>
      <c r="D64" s="28"/>
      <c r="E64" s="28"/>
      <c r="F64" s="27"/>
      <c r="G64" s="28"/>
      <c r="H64" s="40"/>
      <c r="I64" s="40"/>
      <c r="J64" s="45"/>
      <c r="K64" s="45"/>
      <c r="L64" s="45"/>
      <c r="M64" s="51"/>
      <c r="N64" s="51"/>
      <c r="O64" s="51"/>
      <c r="P64" s="27"/>
      <c r="Q64" s="27"/>
      <c r="R64" s="57"/>
      <c r="S64" s="58"/>
      <c r="T64" s="28"/>
      <c r="U64" s="61" t="s">
        <v>327</v>
      </c>
      <c r="V64" s="61">
        <v>34010002302</v>
      </c>
      <c r="W64" s="61" t="s">
        <v>328</v>
      </c>
      <c r="X64" s="61"/>
      <c r="Y64" s="61"/>
      <c r="Z64" s="61" t="s">
        <v>35</v>
      </c>
      <c r="AA64" s="61" t="s">
        <v>328</v>
      </c>
      <c r="AB64" s="68">
        <v>50</v>
      </c>
      <c r="AC64" s="68">
        <v>50</v>
      </c>
      <c r="AD64" s="68">
        <v>42.5</v>
      </c>
      <c r="AE64" s="26" t="s">
        <v>37</v>
      </c>
      <c r="AF64" s="26" t="s">
        <v>38</v>
      </c>
      <c r="AG64" s="73" t="s">
        <v>38</v>
      </c>
    </row>
    <row r="65" s="14" customFormat="1" ht="30" customHeight="1" spans="1:33">
      <c r="A65" s="26">
        <v>21</v>
      </c>
      <c r="B65" s="27" t="s">
        <v>329</v>
      </c>
      <c r="C65" s="27" t="s">
        <v>330</v>
      </c>
      <c r="D65" s="28" t="s">
        <v>331</v>
      </c>
      <c r="E65" s="28" t="s">
        <v>34</v>
      </c>
      <c r="F65" s="27" t="s">
        <v>35</v>
      </c>
      <c r="G65" s="28" t="s">
        <v>38</v>
      </c>
      <c r="H65" s="39">
        <v>26</v>
      </c>
      <c r="I65" s="39">
        <v>26</v>
      </c>
      <c r="J65" s="45">
        <v>24.9901709401709</v>
      </c>
      <c r="K65" s="45">
        <v>25</v>
      </c>
      <c r="L65" s="45">
        <v>20.6145161290323</v>
      </c>
      <c r="M65" s="51">
        <v>25</v>
      </c>
      <c r="N65" s="51">
        <v>23</v>
      </c>
      <c r="O65" s="51">
        <v>21</v>
      </c>
      <c r="P65" s="27" t="s">
        <v>37</v>
      </c>
      <c r="Q65" s="27" t="s">
        <v>38</v>
      </c>
      <c r="R65" s="57">
        <v>0.2</v>
      </c>
      <c r="S65" s="58" t="s">
        <v>313</v>
      </c>
      <c r="T65" s="28" t="s">
        <v>332</v>
      </c>
      <c r="U65" s="61" t="s">
        <v>177</v>
      </c>
      <c r="V65" s="61">
        <v>31051400301</v>
      </c>
      <c r="W65" s="74" t="s">
        <v>178</v>
      </c>
      <c r="X65" s="61"/>
      <c r="Y65" s="61"/>
      <c r="Z65" s="61" t="s">
        <v>45</v>
      </c>
      <c r="AA65" s="61" t="s">
        <v>179</v>
      </c>
      <c r="AB65" s="68">
        <v>15.8</v>
      </c>
      <c r="AC65" s="68">
        <v>15</v>
      </c>
      <c r="AD65" s="68">
        <v>12.8</v>
      </c>
      <c r="AE65" s="26" t="s">
        <v>37</v>
      </c>
      <c r="AF65" s="26" t="s">
        <v>38</v>
      </c>
      <c r="AG65" s="73" t="s">
        <v>38</v>
      </c>
    </row>
    <row r="66" s="14" customFormat="1" ht="30" customHeight="1" spans="1:33">
      <c r="A66" s="26"/>
      <c r="B66" s="27"/>
      <c r="C66" s="27"/>
      <c r="D66" s="28"/>
      <c r="E66" s="28"/>
      <c r="F66" s="27"/>
      <c r="G66" s="28"/>
      <c r="H66" s="40"/>
      <c r="I66" s="40"/>
      <c r="J66" s="45"/>
      <c r="K66" s="45"/>
      <c r="L66" s="45"/>
      <c r="M66" s="51"/>
      <c r="N66" s="51"/>
      <c r="O66" s="51"/>
      <c r="P66" s="27"/>
      <c r="Q66" s="27"/>
      <c r="R66" s="57"/>
      <c r="S66" s="58"/>
      <c r="T66" s="28"/>
      <c r="U66" s="61" t="s">
        <v>333</v>
      </c>
      <c r="V66" s="61">
        <v>31090300601</v>
      </c>
      <c r="W66" s="62" t="s">
        <v>334</v>
      </c>
      <c r="X66" s="61"/>
      <c r="Y66" s="61"/>
      <c r="Z66" s="61" t="s">
        <v>35</v>
      </c>
      <c r="AA66" s="61" t="s">
        <v>335</v>
      </c>
      <c r="AB66" s="68">
        <v>34.5</v>
      </c>
      <c r="AC66" s="68">
        <v>30</v>
      </c>
      <c r="AD66" s="68">
        <v>25.5</v>
      </c>
      <c r="AE66" s="26" t="s">
        <v>37</v>
      </c>
      <c r="AF66" s="26" t="s">
        <v>38</v>
      </c>
      <c r="AG66" s="73" t="s">
        <v>38</v>
      </c>
    </row>
    <row r="67" s="14" customFormat="1" ht="30" customHeight="1" spans="1:33">
      <c r="A67" s="26"/>
      <c r="B67" s="27"/>
      <c r="C67" s="27"/>
      <c r="D67" s="28"/>
      <c r="E67" s="28"/>
      <c r="F67" s="27"/>
      <c r="G67" s="28"/>
      <c r="H67" s="40"/>
      <c r="I67" s="40"/>
      <c r="J67" s="45"/>
      <c r="K67" s="45"/>
      <c r="L67" s="45"/>
      <c r="M67" s="51"/>
      <c r="N67" s="51"/>
      <c r="O67" s="51"/>
      <c r="P67" s="27"/>
      <c r="Q67" s="27"/>
      <c r="R67" s="57"/>
      <c r="S67" s="58"/>
      <c r="T67" s="28"/>
      <c r="U67" s="61" t="s">
        <v>336</v>
      </c>
      <c r="V67" s="61">
        <v>340100014</v>
      </c>
      <c r="W67" s="61" t="s">
        <v>337</v>
      </c>
      <c r="X67" s="61" t="s">
        <v>338</v>
      </c>
      <c r="Y67" s="61"/>
      <c r="Z67" s="61" t="s">
        <v>35</v>
      </c>
      <c r="AA67" s="61"/>
      <c r="AB67" s="68">
        <v>25</v>
      </c>
      <c r="AC67" s="68">
        <v>25</v>
      </c>
      <c r="AD67" s="68">
        <v>21.3</v>
      </c>
      <c r="AE67" s="26" t="s">
        <v>37</v>
      </c>
      <c r="AF67" s="26" t="s">
        <v>38</v>
      </c>
      <c r="AG67" s="73">
        <v>0.2</v>
      </c>
    </row>
    <row r="68" s="14" customFormat="1" ht="49" customHeight="1" spans="1:33">
      <c r="A68" s="26">
        <v>22</v>
      </c>
      <c r="B68" s="27" t="s">
        <v>339</v>
      </c>
      <c r="C68" s="27" t="s">
        <v>340</v>
      </c>
      <c r="D68" s="28" t="s">
        <v>341</v>
      </c>
      <c r="E68" s="28" t="s">
        <v>34</v>
      </c>
      <c r="F68" s="27" t="s">
        <v>35</v>
      </c>
      <c r="G68" s="28" t="s">
        <v>38</v>
      </c>
      <c r="H68" s="39">
        <v>15</v>
      </c>
      <c r="I68" s="39">
        <v>15</v>
      </c>
      <c r="J68" s="46">
        <v>12</v>
      </c>
      <c r="K68" s="46">
        <v>12</v>
      </c>
      <c r="L68" s="46">
        <v>10.2</v>
      </c>
      <c r="M68" s="51">
        <v>14</v>
      </c>
      <c r="N68" s="51">
        <v>13</v>
      </c>
      <c r="O68" s="51">
        <v>12</v>
      </c>
      <c r="P68" s="27" t="s">
        <v>37</v>
      </c>
      <c r="Q68" s="27" t="s">
        <v>38</v>
      </c>
      <c r="R68" s="57">
        <v>0.2</v>
      </c>
      <c r="S68" s="58" t="s">
        <v>342</v>
      </c>
      <c r="T68" s="28" t="s">
        <v>343</v>
      </c>
      <c r="U68" s="61" t="s">
        <v>344</v>
      </c>
      <c r="V68" s="61">
        <v>340100012</v>
      </c>
      <c r="W68" s="61" t="s">
        <v>345</v>
      </c>
      <c r="X68" s="61" t="s">
        <v>346</v>
      </c>
      <c r="Y68" s="61"/>
      <c r="Z68" s="61" t="s">
        <v>45</v>
      </c>
      <c r="AA68" s="61" t="s">
        <v>38</v>
      </c>
      <c r="AB68" s="68">
        <v>12</v>
      </c>
      <c r="AC68" s="68">
        <v>12</v>
      </c>
      <c r="AD68" s="68">
        <v>10.2</v>
      </c>
      <c r="AE68" s="26" t="s">
        <v>37</v>
      </c>
      <c r="AF68" s="26" t="s">
        <v>38</v>
      </c>
      <c r="AG68" s="73">
        <v>0.2</v>
      </c>
    </row>
    <row r="69" s="14" customFormat="1" ht="54" customHeight="1" spans="1:33">
      <c r="A69" s="26">
        <v>23</v>
      </c>
      <c r="B69" s="27" t="s">
        <v>347</v>
      </c>
      <c r="C69" s="27" t="s">
        <v>348</v>
      </c>
      <c r="D69" s="28" t="s">
        <v>349</v>
      </c>
      <c r="E69" s="28" t="s">
        <v>34</v>
      </c>
      <c r="F69" s="27" t="s">
        <v>35</v>
      </c>
      <c r="G69" s="28" t="s">
        <v>38</v>
      </c>
      <c r="H69" s="39">
        <v>15</v>
      </c>
      <c r="I69" s="39">
        <v>15</v>
      </c>
      <c r="J69" s="46">
        <v>20</v>
      </c>
      <c r="K69" s="46">
        <v>20</v>
      </c>
      <c r="L69" s="46">
        <v>17</v>
      </c>
      <c r="M69" s="51">
        <v>14</v>
      </c>
      <c r="N69" s="51">
        <v>13</v>
      </c>
      <c r="O69" s="51">
        <v>12</v>
      </c>
      <c r="P69" s="27" t="s">
        <v>37</v>
      </c>
      <c r="Q69" s="27" t="s">
        <v>38</v>
      </c>
      <c r="R69" s="57">
        <v>0.2</v>
      </c>
      <c r="S69" s="58" t="s">
        <v>138</v>
      </c>
      <c r="T69" s="28" t="s">
        <v>343</v>
      </c>
      <c r="U69" s="61" t="s">
        <v>350</v>
      </c>
      <c r="V69" s="61">
        <v>340100013</v>
      </c>
      <c r="W69" s="61" t="s">
        <v>351</v>
      </c>
      <c r="X69" s="61" t="s">
        <v>352</v>
      </c>
      <c r="Y69" s="61"/>
      <c r="Z69" s="61" t="s">
        <v>45</v>
      </c>
      <c r="AA69" s="61" t="s">
        <v>38</v>
      </c>
      <c r="AB69" s="68">
        <v>20</v>
      </c>
      <c r="AC69" s="68">
        <v>20</v>
      </c>
      <c r="AD69" s="68">
        <v>17</v>
      </c>
      <c r="AE69" s="26" t="s">
        <v>37</v>
      </c>
      <c r="AF69" s="26" t="s">
        <v>38</v>
      </c>
      <c r="AG69" s="73">
        <v>0.2</v>
      </c>
    </row>
    <row r="70" s="14" customFormat="1" ht="38" customHeight="1" spans="1:33">
      <c r="A70" s="26">
        <v>24</v>
      </c>
      <c r="B70" s="27" t="s">
        <v>353</v>
      </c>
      <c r="C70" s="27" t="s">
        <v>354</v>
      </c>
      <c r="D70" s="28" t="s">
        <v>355</v>
      </c>
      <c r="E70" s="28" t="s">
        <v>34</v>
      </c>
      <c r="F70" s="27" t="s">
        <v>35</v>
      </c>
      <c r="G70" s="28" t="s">
        <v>356</v>
      </c>
      <c r="H70" s="39">
        <v>15</v>
      </c>
      <c r="I70" s="39">
        <v>15</v>
      </c>
      <c r="J70" s="45">
        <v>16.9455469903231</v>
      </c>
      <c r="K70" s="45">
        <v>16.10130483247</v>
      </c>
      <c r="L70" s="45">
        <v>14.4670842420246</v>
      </c>
      <c r="M70" s="51">
        <v>14</v>
      </c>
      <c r="N70" s="51">
        <v>13</v>
      </c>
      <c r="O70" s="51">
        <v>12</v>
      </c>
      <c r="P70" s="27" t="s">
        <v>37</v>
      </c>
      <c r="Q70" s="27" t="s">
        <v>38</v>
      </c>
      <c r="R70" s="57">
        <v>0.2</v>
      </c>
      <c r="S70" s="58" t="s">
        <v>138</v>
      </c>
      <c r="T70" s="28" t="s">
        <v>357</v>
      </c>
      <c r="U70" s="61" t="s">
        <v>358</v>
      </c>
      <c r="V70" s="61">
        <v>340100017</v>
      </c>
      <c r="W70" s="61" t="s">
        <v>359</v>
      </c>
      <c r="X70" s="61" t="s">
        <v>360</v>
      </c>
      <c r="Y70" s="61" t="s">
        <v>44</v>
      </c>
      <c r="Z70" s="61" t="s">
        <v>98</v>
      </c>
      <c r="AA70" s="61" t="s">
        <v>361</v>
      </c>
      <c r="AB70" s="68">
        <v>5</v>
      </c>
      <c r="AC70" s="68">
        <v>5</v>
      </c>
      <c r="AD70" s="68">
        <v>4.3</v>
      </c>
      <c r="AE70" s="26" t="s">
        <v>37</v>
      </c>
      <c r="AF70" s="26" t="s">
        <v>38</v>
      </c>
      <c r="AG70" s="73">
        <v>0.2</v>
      </c>
    </row>
    <row r="71" s="14" customFormat="1" ht="38" customHeight="1" spans="1:33">
      <c r="A71" s="26"/>
      <c r="B71" s="27"/>
      <c r="C71" s="27"/>
      <c r="D71" s="28"/>
      <c r="E71" s="28"/>
      <c r="F71" s="27"/>
      <c r="G71" s="28"/>
      <c r="H71" s="40"/>
      <c r="I71" s="40"/>
      <c r="J71" s="45"/>
      <c r="K71" s="45"/>
      <c r="L71" s="45"/>
      <c r="M71" s="51"/>
      <c r="N71" s="51"/>
      <c r="O71" s="51"/>
      <c r="P71" s="27"/>
      <c r="Q71" s="27"/>
      <c r="R71" s="57"/>
      <c r="S71" s="58"/>
      <c r="T71" s="28"/>
      <c r="U71" s="61" t="s">
        <v>362</v>
      </c>
      <c r="V71" s="61">
        <v>34010001701</v>
      </c>
      <c r="W71" s="62" t="s">
        <v>363</v>
      </c>
      <c r="X71" s="75"/>
      <c r="Y71" s="75"/>
      <c r="Z71" s="75" t="s">
        <v>98</v>
      </c>
      <c r="AA71" s="61" t="s">
        <v>364</v>
      </c>
      <c r="AB71" s="68">
        <v>8</v>
      </c>
      <c r="AC71" s="68">
        <v>8</v>
      </c>
      <c r="AD71" s="68">
        <v>6.8</v>
      </c>
      <c r="AE71" s="26" t="s">
        <v>37</v>
      </c>
      <c r="AF71" s="26" t="s">
        <v>38</v>
      </c>
      <c r="AG71" s="73">
        <v>0.2</v>
      </c>
    </row>
    <row r="72" s="14" customFormat="1" ht="101" customHeight="1" spans="1:33">
      <c r="A72" s="26" t="s">
        <v>146</v>
      </c>
      <c r="B72" s="27" t="s">
        <v>365</v>
      </c>
      <c r="C72" s="27" t="s">
        <v>366</v>
      </c>
      <c r="D72" s="28" t="s">
        <v>38</v>
      </c>
      <c r="E72" s="28" t="s">
        <v>38</v>
      </c>
      <c r="F72" s="27" t="s">
        <v>35</v>
      </c>
      <c r="G72" s="28" t="s">
        <v>38</v>
      </c>
      <c r="H72" s="39">
        <v>25</v>
      </c>
      <c r="I72" s="39">
        <v>25</v>
      </c>
      <c r="J72" s="46"/>
      <c r="K72" s="46"/>
      <c r="L72" s="46"/>
      <c r="M72" s="51">
        <v>24</v>
      </c>
      <c r="N72" s="51">
        <v>22</v>
      </c>
      <c r="O72" s="51">
        <v>20</v>
      </c>
      <c r="P72" s="27" t="s">
        <v>37</v>
      </c>
      <c r="Q72" s="27" t="s">
        <v>38</v>
      </c>
      <c r="R72" s="57">
        <v>0.2</v>
      </c>
      <c r="S72" s="58" t="s">
        <v>126</v>
      </c>
      <c r="T72" s="28" t="s">
        <v>367</v>
      </c>
      <c r="U72" s="27"/>
      <c r="V72" s="27"/>
      <c r="W72" s="27"/>
      <c r="X72" s="27"/>
      <c r="Y72" s="27"/>
      <c r="Z72" s="27"/>
      <c r="AA72" s="61"/>
      <c r="AB72" s="69"/>
      <c r="AC72" s="69"/>
      <c r="AD72" s="69"/>
      <c r="AE72" s="26"/>
      <c r="AF72" s="26"/>
      <c r="AG72" s="73"/>
    </row>
    <row r="73" s="14" customFormat="1" ht="41" customHeight="1" spans="1:33">
      <c r="A73" s="26">
        <v>25</v>
      </c>
      <c r="B73" s="27" t="s">
        <v>368</v>
      </c>
      <c r="C73" s="27" t="s">
        <v>369</v>
      </c>
      <c r="D73" s="28" t="s">
        <v>370</v>
      </c>
      <c r="E73" s="28" t="s">
        <v>34</v>
      </c>
      <c r="F73" s="27" t="s">
        <v>35</v>
      </c>
      <c r="G73" s="28" t="s">
        <v>356</v>
      </c>
      <c r="H73" s="39">
        <v>23</v>
      </c>
      <c r="I73" s="39">
        <v>23</v>
      </c>
      <c r="J73" s="46"/>
      <c r="K73" s="46"/>
      <c r="L73" s="46"/>
      <c r="M73" s="51">
        <v>21</v>
      </c>
      <c r="N73" s="51">
        <v>19.5</v>
      </c>
      <c r="O73" s="51">
        <v>18</v>
      </c>
      <c r="P73" s="27" t="s">
        <v>37</v>
      </c>
      <c r="Q73" s="27" t="s">
        <v>38</v>
      </c>
      <c r="R73" s="57">
        <v>0.2</v>
      </c>
      <c r="S73" s="58" t="s">
        <v>126</v>
      </c>
      <c r="T73" s="28" t="s">
        <v>371</v>
      </c>
      <c r="U73" s="63"/>
      <c r="V73" s="63"/>
      <c r="W73" s="76"/>
      <c r="X73" s="77"/>
      <c r="Y73" s="77"/>
      <c r="Z73" s="77"/>
      <c r="AA73" s="61"/>
      <c r="AB73" s="68"/>
      <c r="AC73" s="68"/>
      <c r="AD73" s="68"/>
      <c r="AE73" s="26"/>
      <c r="AF73" s="26"/>
      <c r="AG73" s="73"/>
    </row>
    <row r="74" s="14" customFormat="1" ht="41" customHeight="1" spans="1:33">
      <c r="A74" s="26"/>
      <c r="B74" s="27"/>
      <c r="C74" s="27"/>
      <c r="D74" s="28"/>
      <c r="E74" s="28"/>
      <c r="F74" s="27"/>
      <c r="G74" s="28"/>
      <c r="H74" s="40"/>
      <c r="I74" s="40"/>
      <c r="J74" s="46"/>
      <c r="K74" s="46"/>
      <c r="L74" s="46"/>
      <c r="M74" s="51"/>
      <c r="N74" s="51"/>
      <c r="O74" s="51"/>
      <c r="P74" s="27"/>
      <c r="Q74" s="27"/>
      <c r="R74" s="57"/>
      <c r="S74" s="58"/>
      <c r="T74" s="28"/>
      <c r="U74" s="63"/>
      <c r="V74" s="63"/>
      <c r="W74" s="76"/>
      <c r="X74" s="77"/>
      <c r="Y74" s="77"/>
      <c r="Z74" s="77"/>
      <c r="AA74" s="61"/>
      <c r="AB74" s="68"/>
      <c r="AC74" s="68"/>
      <c r="AD74" s="68"/>
      <c r="AE74" s="26"/>
      <c r="AF74" s="26"/>
      <c r="AG74" s="73"/>
    </row>
    <row r="75" s="14" customFormat="1" ht="65" customHeight="1" spans="1:33">
      <c r="A75" s="26" t="s">
        <v>146</v>
      </c>
      <c r="B75" s="27" t="s">
        <v>372</v>
      </c>
      <c r="C75" s="27" t="s">
        <v>373</v>
      </c>
      <c r="D75" s="28" t="s">
        <v>38</v>
      </c>
      <c r="E75" s="28" t="s">
        <v>38</v>
      </c>
      <c r="F75" s="27" t="s">
        <v>35</v>
      </c>
      <c r="G75" s="28" t="s">
        <v>38</v>
      </c>
      <c r="H75" s="39">
        <v>67</v>
      </c>
      <c r="I75" s="39">
        <v>67</v>
      </c>
      <c r="J75" s="46"/>
      <c r="K75" s="46"/>
      <c r="L75" s="46"/>
      <c r="M75" s="51">
        <v>62</v>
      </c>
      <c r="N75" s="51">
        <v>57</v>
      </c>
      <c r="O75" s="51">
        <v>53</v>
      </c>
      <c r="P75" s="27" t="s">
        <v>37</v>
      </c>
      <c r="Q75" s="27" t="s">
        <v>38</v>
      </c>
      <c r="R75" s="57">
        <v>0.2</v>
      </c>
      <c r="S75" s="58"/>
      <c r="T75" s="28" t="s">
        <v>374</v>
      </c>
      <c r="U75" s="27"/>
      <c r="V75" s="27"/>
      <c r="W75" s="27"/>
      <c r="X75" s="27"/>
      <c r="Y75" s="27"/>
      <c r="Z75" s="27"/>
      <c r="AA75" s="61"/>
      <c r="AB75" s="69"/>
      <c r="AC75" s="69"/>
      <c r="AD75" s="69"/>
      <c r="AE75" s="26"/>
      <c r="AF75" s="26"/>
      <c r="AG75" s="73"/>
    </row>
    <row r="76" s="14" customFormat="1" customHeight="1" spans="1:33">
      <c r="A76" s="26">
        <v>26</v>
      </c>
      <c r="B76" s="27" t="s">
        <v>375</v>
      </c>
      <c r="C76" s="27" t="s">
        <v>376</v>
      </c>
      <c r="D76" s="28" t="s">
        <v>377</v>
      </c>
      <c r="E76" s="28" t="s">
        <v>378</v>
      </c>
      <c r="F76" s="27" t="s">
        <v>35</v>
      </c>
      <c r="G76" s="28" t="s">
        <v>38</v>
      </c>
      <c r="H76" s="39">
        <v>30</v>
      </c>
      <c r="I76" s="39">
        <v>30</v>
      </c>
      <c r="J76" s="45">
        <v>29.943909971955</v>
      </c>
      <c r="K76" s="45">
        <v>27.2596439664674</v>
      </c>
      <c r="L76" s="45">
        <v>25.4995625997015</v>
      </c>
      <c r="M76" s="51">
        <v>28.5</v>
      </c>
      <c r="N76" s="51">
        <v>27</v>
      </c>
      <c r="O76" s="51">
        <v>24</v>
      </c>
      <c r="P76" s="27" t="s">
        <v>81</v>
      </c>
      <c r="Q76" s="27" t="s">
        <v>38</v>
      </c>
      <c r="R76" s="57" t="s">
        <v>38</v>
      </c>
      <c r="S76" s="58" t="s">
        <v>138</v>
      </c>
      <c r="T76" s="28" t="s">
        <v>379</v>
      </c>
      <c r="U76" s="61" t="s">
        <v>380</v>
      </c>
      <c r="V76" s="61">
        <v>340100018</v>
      </c>
      <c r="W76" s="62" t="s">
        <v>381</v>
      </c>
      <c r="X76" s="61" t="s">
        <v>382</v>
      </c>
      <c r="Y76" s="61"/>
      <c r="Z76" s="61" t="s">
        <v>35</v>
      </c>
      <c r="AA76" s="61" t="s">
        <v>38</v>
      </c>
      <c r="AB76" s="68">
        <v>30</v>
      </c>
      <c r="AC76" s="68">
        <v>30</v>
      </c>
      <c r="AD76" s="68">
        <v>25.5</v>
      </c>
      <c r="AE76" s="26" t="s">
        <v>38</v>
      </c>
      <c r="AF76" s="26" t="s">
        <v>38</v>
      </c>
      <c r="AG76" s="73" t="s">
        <v>38</v>
      </c>
    </row>
    <row r="77" s="14" customFormat="1" customHeight="1" spans="1:33">
      <c r="A77" s="26"/>
      <c r="B77" s="27"/>
      <c r="C77" s="27"/>
      <c r="D77" s="28"/>
      <c r="E77" s="28"/>
      <c r="F77" s="27"/>
      <c r="G77" s="28"/>
      <c r="H77" s="40"/>
      <c r="I77" s="40"/>
      <c r="J77" s="45"/>
      <c r="K77" s="45"/>
      <c r="L77" s="45"/>
      <c r="M77" s="51"/>
      <c r="N77" s="51"/>
      <c r="O77" s="51"/>
      <c r="P77" s="27"/>
      <c r="Q77" s="27"/>
      <c r="R77" s="57"/>
      <c r="S77" s="58"/>
      <c r="T77" s="28"/>
      <c r="U77" s="78" t="s">
        <v>383</v>
      </c>
      <c r="V77" s="78">
        <v>34010001801</v>
      </c>
      <c r="W77" s="78" t="s">
        <v>384</v>
      </c>
      <c r="X77" s="78"/>
      <c r="Y77" s="78"/>
      <c r="Z77" s="78" t="s">
        <v>35</v>
      </c>
      <c r="AA77" s="61" t="s">
        <v>385</v>
      </c>
      <c r="AB77" s="68">
        <v>30</v>
      </c>
      <c r="AC77" s="68">
        <v>30</v>
      </c>
      <c r="AD77" s="68">
        <v>25.5</v>
      </c>
      <c r="AE77" s="26" t="s">
        <v>38</v>
      </c>
      <c r="AF77" s="26" t="s">
        <v>38</v>
      </c>
      <c r="AG77" s="73" t="s">
        <v>38</v>
      </c>
    </row>
    <row r="78" s="14" customFormat="1" customHeight="1" spans="1:33">
      <c r="A78" s="26"/>
      <c r="B78" s="27"/>
      <c r="C78" s="27"/>
      <c r="D78" s="28"/>
      <c r="E78" s="28"/>
      <c r="F78" s="27"/>
      <c r="G78" s="28"/>
      <c r="H78" s="40"/>
      <c r="I78" s="40"/>
      <c r="J78" s="45"/>
      <c r="K78" s="45"/>
      <c r="L78" s="45"/>
      <c r="M78" s="51"/>
      <c r="N78" s="51"/>
      <c r="O78" s="51"/>
      <c r="P78" s="27"/>
      <c r="Q78" s="27"/>
      <c r="R78" s="57"/>
      <c r="S78" s="58"/>
      <c r="T78" s="28"/>
      <c r="U78" s="61" t="s">
        <v>386</v>
      </c>
      <c r="V78" s="61">
        <v>34010001802</v>
      </c>
      <c r="W78" s="62" t="s">
        <v>387</v>
      </c>
      <c r="X78" s="61"/>
      <c r="Y78" s="61"/>
      <c r="Z78" s="61" t="s">
        <v>35</v>
      </c>
      <c r="AA78" s="61" t="s">
        <v>388</v>
      </c>
      <c r="AB78" s="68">
        <v>30</v>
      </c>
      <c r="AC78" s="68">
        <v>30</v>
      </c>
      <c r="AD78" s="68">
        <v>25.5</v>
      </c>
      <c r="AE78" s="26" t="s">
        <v>38</v>
      </c>
      <c r="AF78" s="26" t="s">
        <v>38</v>
      </c>
      <c r="AG78" s="73" t="s">
        <v>38</v>
      </c>
    </row>
    <row r="79" s="14" customFormat="1" customHeight="1" spans="1:33">
      <c r="A79" s="26"/>
      <c r="B79" s="27"/>
      <c r="C79" s="27"/>
      <c r="D79" s="28"/>
      <c r="E79" s="28"/>
      <c r="F79" s="27"/>
      <c r="G79" s="28"/>
      <c r="H79" s="40"/>
      <c r="I79" s="40"/>
      <c r="J79" s="45"/>
      <c r="K79" s="45"/>
      <c r="L79" s="45"/>
      <c r="M79" s="51"/>
      <c r="N79" s="51"/>
      <c r="O79" s="51"/>
      <c r="P79" s="27"/>
      <c r="Q79" s="27"/>
      <c r="R79" s="57"/>
      <c r="S79" s="58"/>
      <c r="T79" s="28"/>
      <c r="U79" s="61" t="s">
        <v>389</v>
      </c>
      <c r="V79" s="61">
        <v>34010001803</v>
      </c>
      <c r="W79" s="62" t="s">
        <v>390</v>
      </c>
      <c r="X79" s="61"/>
      <c r="Y79" s="61"/>
      <c r="Z79" s="61" t="s">
        <v>35</v>
      </c>
      <c r="AA79" s="61" t="s">
        <v>391</v>
      </c>
      <c r="AB79" s="68">
        <v>30</v>
      </c>
      <c r="AC79" s="68">
        <v>30</v>
      </c>
      <c r="AD79" s="68">
        <v>25.5</v>
      </c>
      <c r="AE79" s="26" t="s">
        <v>38</v>
      </c>
      <c r="AF79" s="26" t="s">
        <v>38</v>
      </c>
      <c r="AG79" s="73" t="s">
        <v>38</v>
      </c>
    </row>
    <row r="80" s="14" customFormat="1" customHeight="1" spans="1:33">
      <c r="A80" s="26"/>
      <c r="B80" s="27"/>
      <c r="C80" s="27"/>
      <c r="D80" s="28"/>
      <c r="E80" s="28"/>
      <c r="F80" s="27"/>
      <c r="G80" s="28"/>
      <c r="H80" s="40"/>
      <c r="I80" s="40"/>
      <c r="J80" s="45"/>
      <c r="K80" s="45"/>
      <c r="L80" s="45"/>
      <c r="M80" s="51"/>
      <c r="N80" s="51"/>
      <c r="O80" s="51"/>
      <c r="P80" s="27"/>
      <c r="Q80" s="27"/>
      <c r="R80" s="57"/>
      <c r="S80" s="58"/>
      <c r="T80" s="28"/>
      <c r="U80" s="61" t="s">
        <v>392</v>
      </c>
      <c r="V80" s="61">
        <v>34010001805</v>
      </c>
      <c r="W80" s="62" t="s">
        <v>393</v>
      </c>
      <c r="X80" s="61"/>
      <c r="Y80" s="61"/>
      <c r="Z80" s="61" t="s">
        <v>35</v>
      </c>
      <c r="AA80" s="61" t="s">
        <v>394</v>
      </c>
      <c r="AB80" s="68">
        <v>30</v>
      </c>
      <c r="AC80" s="68">
        <v>30</v>
      </c>
      <c r="AD80" s="68">
        <v>25.5</v>
      </c>
      <c r="AE80" s="26" t="s">
        <v>38</v>
      </c>
      <c r="AF80" s="26" t="s">
        <v>38</v>
      </c>
      <c r="AG80" s="73" t="s">
        <v>38</v>
      </c>
    </row>
    <row r="81" s="14" customFormat="1" customHeight="1" spans="1:33">
      <c r="A81" s="26"/>
      <c r="B81" s="27"/>
      <c r="C81" s="27"/>
      <c r="D81" s="28"/>
      <c r="E81" s="28"/>
      <c r="F81" s="27"/>
      <c r="G81" s="28"/>
      <c r="H81" s="40"/>
      <c r="I81" s="40"/>
      <c r="J81" s="45"/>
      <c r="K81" s="45"/>
      <c r="L81" s="45"/>
      <c r="M81" s="51"/>
      <c r="N81" s="51"/>
      <c r="O81" s="51"/>
      <c r="P81" s="27"/>
      <c r="Q81" s="27"/>
      <c r="R81" s="57"/>
      <c r="S81" s="58"/>
      <c r="T81" s="28"/>
      <c r="U81" s="61" t="s">
        <v>395</v>
      </c>
      <c r="V81" s="61">
        <v>34010001804</v>
      </c>
      <c r="W81" s="62" t="s">
        <v>396</v>
      </c>
      <c r="X81" s="61"/>
      <c r="Y81" s="61"/>
      <c r="Z81" s="61" t="s">
        <v>35</v>
      </c>
      <c r="AA81" s="61" t="s">
        <v>397</v>
      </c>
      <c r="AB81" s="68">
        <v>30</v>
      </c>
      <c r="AC81" s="68">
        <v>30</v>
      </c>
      <c r="AD81" s="68">
        <v>25.5</v>
      </c>
      <c r="AE81" s="26" t="s">
        <v>38</v>
      </c>
      <c r="AF81" s="26" t="s">
        <v>38</v>
      </c>
      <c r="AG81" s="73" t="s">
        <v>38</v>
      </c>
    </row>
    <row r="82" s="14" customFormat="1" customHeight="1" spans="1:33">
      <c r="A82" s="26"/>
      <c r="B82" s="27"/>
      <c r="C82" s="27"/>
      <c r="D82" s="28"/>
      <c r="E82" s="28"/>
      <c r="F82" s="27"/>
      <c r="G82" s="28"/>
      <c r="H82" s="40"/>
      <c r="I82" s="40"/>
      <c r="J82" s="45"/>
      <c r="K82" s="45"/>
      <c r="L82" s="45"/>
      <c r="M82" s="51"/>
      <c r="N82" s="51"/>
      <c r="O82" s="51"/>
      <c r="P82" s="27"/>
      <c r="Q82" s="27"/>
      <c r="R82" s="57"/>
      <c r="S82" s="58"/>
      <c r="T82" s="28"/>
      <c r="U82" s="61" t="s">
        <v>398</v>
      </c>
      <c r="V82" s="61">
        <v>311503010</v>
      </c>
      <c r="W82" s="62" t="s">
        <v>399</v>
      </c>
      <c r="X82" s="61"/>
      <c r="Y82" s="61"/>
      <c r="Z82" s="61" t="s">
        <v>35</v>
      </c>
      <c r="AA82" s="61" t="s">
        <v>38</v>
      </c>
      <c r="AB82" s="68">
        <v>29</v>
      </c>
      <c r="AC82" s="68">
        <v>26</v>
      </c>
      <c r="AD82" s="68">
        <v>22.1</v>
      </c>
      <c r="AE82" s="26" t="s">
        <v>37</v>
      </c>
      <c r="AF82" s="26" t="s">
        <v>38</v>
      </c>
      <c r="AG82" s="73" t="s">
        <v>38</v>
      </c>
    </row>
    <row r="83" s="14" customFormat="1" customHeight="1" spans="1:33">
      <c r="A83" s="26"/>
      <c r="B83" s="27"/>
      <c r="C83" s="27"/>
      <c r="D83" s="28"/>
      <c r="E83" s="28"/>
      <c r="F83" s="27"/>
      <c r="G83" s="28"/>
      <c r="H83" s="40"/>
      <c r="I83" s="40"/>
      <c r="J83" s="45"/>
      <c r="K83" s="45"/>
      <c r="L83" s="45"/>
      <c r="M83" s="51"/>
      <c r="N83" s="51"/>
      <c r="O83" s="51"/>
      <c r="P83" s="27"/>
      <c r="Q83" s="27"/>
      <c r="R83" s="57"/>
      <c r="S83" s="58"/>
      <c r="T83" s="28"/>
      <c r="U83" s="61" t="s">
        <v>400</v>
      </c>
      <c r="V83" s="61">
        <v>310904008</v>
      </c>
      <c r="W83" s="62" t="s">
        <v>401</v>
      </c>
      <c r="X83" s="61"/>
      <c r="Y83" s="61"/>
      <c r="Z83" s="61" t="s">
        <v>35</v>
      </c>
      <c r="AA83" s="61" t="s">
        <v>38</v>
      </c>
      <c r="AB83" s="68">
        <v>27</v>
      </c>
      <c r="AC83" s="68">
        <v>24</v>
      </c>
      <c r="AD83" s="68">
        <v>20</v>
      </c>
      <c r="AE83" s="26" t="s">
        <v>38</v>
      </c>
      <c r="AF83" s="26" t="s">
        <v>38</v>
      </c>
      <c r="AG83" s="73" t="s">
        <v>38</v>
      </c>
    </row>
    <row r="84" s="14" customFormat="1" ht="26" customHeight="1" spans="1:33">
      <c r="A84" s="26">
        <v>27</v>
      </c>
      <c r="B84" s="27" t="s">
        <v>402</v>
      </c>
      <c r="C84" s="27" t="s">
        <v>403</v>
      </c>
      <c r="D84" s="28" t="s">
        <v>404</v>
      </c>
      <c r="E84" s="28" t="s">
        <v>405</v>
      </c>
      <c r="F84" s="27" t="s">
        <v>35</v>
      </c>
      <c r="G84" s="28" t="s">
        <v>406</v>
      </c>
      <c r="H84" s="39">
        <v>6000</v>
      </c>
      <c r="I84" s="39">
        <v>5400</v>
      </c>
      <c r="J84" s="46">
        <v>2400</v>
      </c>
      <c r="K84" s="46">
        <v>2112</v>
      </c>
      <c r="L84" s="46"/>
      <c r="M84" s="51">
        <v>5400</v>
      </c>
      <c r="N84" s="51">
        <v>4850</v>
      </c>
      <c r="O84" s="51">
        <v>4150</v>
      </c>
      <c r="P84" s="27" t="s">
        <v>37</v>
      </c>
      <c r="Q84" s="27" t="s">
        <v>38</v>
      </c>
      <c r="R84" s="57">
        <v>0.3</v>
      </c>
      <c r="S84" s="58" t="s">
        <v>39</v>
      </c>
      <c r="T84" s="28" t="s">
        <v>407</v>
      </c>
      <c r="U84" s="61" t="s">
        <v>408</v>
      </c>
      <c r="V84" s="61">
        <v>240700005</v>
      </c>
      <c r="W84" s="62" t="s">
        <v>409</v>
      </c>
      <c r="X84" s="61" t="s">
        <v>410</v>
      </c>
      <c r="Y84" s="61"/>
      <c r="Z84" s="80" t="s">
        <v>411</v>
      </c>
      <c r="AA84" s="61" t="s">
        <v>412</v>
      </c>
      <c r="AB84" s="69" t="s">
        <v>38</v>
      </c>
      <c r="AC84" s="69" t="s">
        <v>38</v>
      </c>
      <c r="AD84" s="69" t="s">
        <v>38</v>
      </c>
      <c r="AE84" s="26" t="s">
        <v>37</v>
      </c>
      <c r="AF84" s="26" t="s">
        <v>38</v>
      </c>
      <c r="AG84" s="73">
        <v>0.3</v>
      </c>
    </row>
    <row r="85" s="14" customFormat="1" ht="26" customHeight="1" spans="1:33">
      <c r="A85" s="26"/>
      <c r="B85" s="27"/>
      <c r="C85" s="27"/>
      <c r="D85" s="28"/>
      <c r="E85" s="28"/>
      <c r="F85" s="27"/>
      <c r="G85" s="28"/>
      <c r="H85" s="40"/>
      <c r="I85" s="40"/>
      <c r="J85" s="46"/>
      <c r="K85" s="46"/>
      <c r="L85" s="46"/>
      <c r="M85" s="51"/>
      <c r="N85" s="51"/>
      <c r="O85" s="51"/>
      <c r="P85" s="27"/>
      <c r="Q85" s="27"/>
      <c r="R85" s="57"/>
      <c r="S85" s="58"/>
      <c r="T85" s="28"/>
      <c r="U85" s="61" t="s">
        <v>413</v>
      </c>
      <c r="V85" s="61">
        <v>24070000501</v>
      </c>
      <c r="W85" s="62" t="s">
        <v>414</v>
      </c>
      <c r="X85" s="61"/>
      <c r="Y85" s="61"/>
      <c r="Z85" s="61" t="s">
        <v>411</v>
      </c>
      <c r="AA85" s="61" t="s">
        <v>415</v>
      </c>
      <c r="AB85" s="68">
        <v>6000</v>
      </c>
      <c r="AC85" s="68">
        <v>6000</v>
      </c>
      <c r="AD85" s="68">
        <v>5100</v>
      </c>
      <c r="AE85" s="26" t="s">
        <v>37</v>
      </c>
      <c r="AF85" s="26" t="s">
        <v>38</v>
      </c>
      <c r="AG85" s="73">
        <v>0.3</v>
      </c>
    </row>
    <row r="86" s="14" customFormat="1" ht="26" customHeight="1" spans="1:33">
      <c r="A86" s="26"/>
      <c r="B86" s="27"/>
      <c r="C86" s="27"/>
      <c r="D86" s="28"/>
      <c r="E86" s="28"/>
      <c r="F86" s="27"/>
      <c r="G86" s="28"/>
      <c r="H86" s="40"/>
      <c r="I86" s="40"/>
      <c r="J86" s="46"/>
      <c r="K86" s="46"/>
      <c r="L86" s="46"/>
      <c r="M86" s="51"/>
      <c r="N86" s="51"/>
      <c r="O86" s="51"/>
      <c r="P86" s="27"/>
      <c r="Q86" s="27"/>
      <c r="R86" s="57"/>
      <c r="S86" s="58"/>
      <c r="T86" s="28"/>
      <c r="U86" s="61" t="s">
        <v>416</v>
      </c>
      <c r="V86" s="61">
        <v>24070000502</v>
      </c>
      <c r="W86" s="62" t="s">
        <v>417</v>
      </c>
      <c r="X86" s="61"/>
      <c r="Y86" s="61"/>
      <c r="Z86" s="61" t="s">
        <v>411</v>
      </c>
      <c r="AA86" s="61" t="s">
        <v>418</v>
      </c>
      <c r="AB86" s="68">
        <v>7000</v>
      </c>
      <c r="AC86" s="68">
        <v>7000</v>
      </c>
      <c r="AD86" s="68">
        <v>5950</v>
      </c>
      <c r="AE86" s="26" t="s">
        <v>37</v>
      </c>
      <c r="AF86" s="26" t="s">
        <v>38</v>
      </c>
      <c r="AG86" s="73">
        <v>0.3</v>
      </c>
    </row>
    <row r="87" s="14" customFormat="1" ht="26" customHeight="1" spans="1:33">
      <c r="A87" s="26"/>
      <c r="B87" s="27"/>
      <c r="C87" s="27"/>
      <c r="D87" s="28"/>
      <c r="E87" s="28"/>
      <c r="F87" s="27"/>
      <c r="G87" s="28"/>
      <c r="H87" s="40"/>
      <c r="I87" s="40"/>
      <c r="J87" s="46"/>
      <c r="K87" s="46"/>
      <c r="L87" s="46"/>
      <c r="M87" s="51"/>
      <c r="N87" s="51"/>
      <c r="O87" s="51"/>
      <c r="P87" s="27"/>
      <c r="Q87" s="27"/>
      <c r="R87" s="57"/>
      <c r="S87" s="58"/>
      <c r="T87" s="28"/>
      <c r="U87" s="61" t="s">
        <v>419</v>
      </c>
      <c r="V87" s="61">
        <v>24070000503</v>
      </c>
      <c r="W87" s="62" t="s">
        <v>420</v>
      </c>
      <c r="X87" s="61"/>
      <c r="Y87" s="61"/>
      <c r="Z87" s="61" t="s">
        <v>411</v>
      </c>
      <c r="AA87" s="61" t="s">
        <v>421</v>
      </c>
      <c r="AB87" s="68">
        <v>3000</v>
      </c>
      <c r="AC87" s="68">
        <v>3000</v>
      </c>
      <c r="AD87" s="68">
        <v>2550</v>
      </c>
      <c r="AE87" s="26" t="s">
        <v>37</v>
      </c>
      <c r="AF87" s="26" t="s">
        <v>38</v>
      </c>
      <c r="AG87" s="73">
        <v>0.3</v>
      </c>
    </row>
    <row r="88" s="14" customFormat="1" ht="26" customHeight="1" spans="1:33">
      <c r="A88" s="26"/>
      <c r="B88" s="27"/>
      <c r="C88" s="27"/>
      <c r="D88" s="28"/>
      <c r="E88" s="28"/>
      <c r="F88" s="27"/>
      <c r="G88" s="28"/>
      <c r="H88" s="40"/>
      <c r="I88" s="40"/>
      <c r="J88" s="46"/>
      <c r="K88" s="46"/>
      <c r="L88" s="46"/>
      <c r="M88" s="51"/>
      <c r="N88" s="51"/>
      <c r="O88" s="51"/>
      <c r="P88" s="27"/>
      <c r="Q88" s="27"/>
      <c r="R88" s="57"/>
      <c r="S88" s="58"/>
      <c r="T88" s="28"/>
      <c r="U88" s="61" t="s">
        <v>422</v>
      </c>
      <c r="V88" s="79">
        <v>240700002</v>
      </c>
      <c r="W88" s="61" t="s">
        <v>423</v>
      </c>
      <c r="X88" s="61" t="s">
        <v>424</v>
      </c>
      <c r="Y88" s="61"/>
      <c r="Z88" s="61" t="s">
        <v>35</v>
      </c>
      <c r="AA88" s="61"/>
      <c r="AB88" s="69">
        <v>800</v>
      </c>
      <c r="AC88" s="69">
        <v>704</v>
      </c>
      <c r="AD88" s="69">
        <v>598.4</v>
      </c>
      <c r="AE88" s="26"/>
      <c r="AF88" s="26"/>
      <c r="AG88" s="73"/>
    </row>
    <row r="89" s="14" customFormat="1" ht="26" customHeight="1" spans="1:33">
      <c r="A89" s="26"/>
      <c r="B89" s="27"/>
      <c r="C89" s="27"/>
      <c r="D89" s="28"/>
      <c r="E89" s="28"/>
      <c r="F89" s="27"/>
      <c r="G89" s="28"/>
      <c r="H89" s="40"/>
      <c r="I89" s="40"/>
      <c r="J89" s="46"/>
      <c r="K89" s="46"/>
      <c r="L89" s="46"/>
      <c r="M89" s="51"/>
      <c r="N89" s="51"/>
      <c r="O89" s="51"/>
      <c r="P89" s="27"/>
      <c r="Q89" s="27"/>
      <c r="R89" s="57"/>
      <c r="S89" s="58"/>
      <c r="T89" s="28"/>
      <c r="U89" s="61" t="s">
        <v>425</v>
      </c>
      <c r="V89" s="61">
        <v>24070000201</v>
      </c>
      <c r="W89" s="61" t="s">
        <v>426</v>
      </c>
      <c r="X89" s="61"/>
      <c r="Y89" s="61"/>
      <c r="Z89" s="61" t="s">
        <v>35</v>
      </c>
      <c r="AA89" s="61" t="s">
        <v>427</v>
      </c>
      <c r="AB89" s="68">
        <v>400</v>
      </c>
      <c r="AC89" s="68">
        <v>352</v>
      </c>
      <c r="AD89" s="68">
        <v>299.2</v>
      </c>
      <c r="AE89" s="26" t="s">
        <v>37</v>
      </c>
      <c r="AF89" s="26" t="s">
        <v>38</v>
      </c>
      <c r="AG89" s="73">
        <v>0.2</v>
      </c>
    </row>
    <row r="90" s="14" customFormat="1" ht="62" customHeight="1" spans="1:33">
      <c r="A90" s="26" t="s">
        <v>146</v>
      </c>
      <c r="B90" s="27" t="s">
        <v>428</v>
      </c>
      <c r="C90" s="27" t="s">
        <v>429</v>
      </c>
      <c r="D90" s="28" t="s">
        <v>38</v>
      </c>
      <c r="E90" s="28" t="s">
        <v>38</v>
      </c>
      <c r="F90" s="27" t="s">
        <v>35</v>
      </c>
      <c r="G90" s="28" t="s">
        <v>38</v>
      </c>
      <c r="H90" s="39">
        <v>600</v>
      </c>
      <c r="I90" s="39">
        <v>540</v>
      </c>
      <c r="J90" s="46"/>
      <c r="K90" s="46"/>
      <c r="L90" s="46"/>
      <c r="M90" s="51">
        <v>540</v>
      </c>
      <c r="N90" s="51">
        <v>485</v>
      </c>
      <c r="O90" s="51">
        <v>415</v>
      </c>
      <c r="P90" s="27" t="s">
        <v>37</v>
      </c>
      <c r="Q90" s="27" t="s">
        <v>38</v>
      </c>
      <c r="R90" s="57">
        <v>0.3</v>
      </c>
      <c r="S90" s="58"/>
      <c r="T90" s="28" t="s">
        <v>430</v>
      </c>
      <c r="U90" s="27"/>
      <c r="V90" s="27"/>
      <c r="W90" s="27"/>
      <c r="X90" s="27"/>
      <c r="Y90" s="27"/>
      <c r="Z90" s="27"/>
      <c r="AA90" s="61"/>
      <c r="AB90" s="69"/>
      <c r="AC90" s="69"/>
      <c r="AD90" s="69"/>
      <c r="AE90" s="26"/>
      <c r="AF90" s="26"/>
      <c r="AG90" s="73"/>
    </row>
    <row r="91" s="14" customFormat="1" customHeight="1" spans="1:33">
      <c r="A91" s="26"/>
      <c r="B91" s="27" t="s">
        <v>431</v>
      </c>
      <c r="C91" s="27" t="s">
        <v>432</v>
      </c>
      <c r="D91" s="28" t="s">
        <v>38</v>
      </c>
      <c r="E91" s="28" t="s">
        <v>38</v>
      </c>
      <c r="F91" s="27" t="s">
        <v>38</v>
      </c>
      <c r="G91" s="28" t="s">
        <v>38</v>
      </c>
      <c r="H91" s="40" t="s">
        <v>38</v>
      </c>
      <c r="I91" s="40" t="s">
        <v>38</v>
      </c>
      <c r="J91" s="46"/>
      <c r="K91" s="46"/>
      <c r="L91" s="46"/>
      <c r="M91" s="51"/>
      <c r="N91" s="51"/>
      <c r="O91" s="51"/>
      <c r="P91" s="27" t="s">
        <v>38</v>
      </c>
      <c r="Q91" s="27" t="s">
        <v>38</v>
      </c>
      <c r="R91" s="57" t="s">
        <v>38</v>
      </c>
      <c r="S91" s="58"/>
      <c r="T91" s="28"/>
      <c r="U91" s="61"/>
      <c r="V91" s="61"/>
      <c r="W91" s="61"/>
      <c r="X91" s="61"/>
      <c r="Y91" s="61"/>
      <c r="Z91" s="61"/>
      <c r="AA91" s="61"/>
      <c r="AB91" s="69"/>
      <c r="AC91" s="69"/>
      <c r="AD91" s="69"/>
      <c r="AE91" s="26"/>
      <c r="AF91" s="26"/>
      <c r="AG91" s="73"/>
    </row>
    <row r="92" s="14" customFormat="1" ht="23" customHeight="1" spans="1:33">
      <c r="A92" s="26">
        <v>28</v>
      </c>
      <c r="B92" s="27" t="s">
        <v>433</v>
      </c>
      <c r="C92" s="27" t="s">
        <v>434</v>
      </c>
      <c r="D92" s="28" t="s">
        <v>435</v>
      </c>
      <c r="E92" s="28" t="s">
        <v>436</v>
      </c>
      <c r="F92" s="27" t="s">
        <v>35</v>
      </c>
      <c r="G92" s="28" t="s">
        <v>437</v>
      </c>
      <c r="H92" s="39">
        <v>1200</v>
      </c>
      <c r="I92" s="39">
        <v>1080</v>
      </c>
      <c r="J92" s="46">
        <v>800</v>
      </c>
      <c r="K92" s="46">
        <v>704</v>
      </c>
      <c r="L92" s="46">
        <v>598.4</v>
      </c>
      <c r="M92" s="51">
        <v>1080</v>
      </c>
      <c r="N92" s="51">
        <v>970</v>
      </c>
      <c r="O92" s="51">
        <v>825</v>
      </c>
      <c r="P92" s="27" t="s">
        <v>37</v>
      </c>
      <c r="Q92" s="27" t="s">
        <v>38</v>
      </c>
      <c r="R92" s="57" t="s">
        <v>38</v>
      </c>
      <c r="S92" s="58" t="s">
        <v>104</v>
      </c>
      <c r="T92" s="28" t="s">
        <v>438</v>
      </c>
      <c r="U92" s="61" t="s">
        <v>439</v>
      </c>
      <c r="V92" s="61">
        <v>240700001</v>
      </c>
      <c r="W92" s="61" t="s">
        <v>440</v>
      </c>
      <c r="X92" s="61" t="s">
        <v>441</v>
      </c>
      <c r="Y92" s="61"/>
      <c r="Z92" s="61" t="s">
        <v>35</v>
      </c>
      <c r="AA92" s="61" t="s">
        <v>38</v>
      </c>
      <c r="AB92" s="68">
        <v>800</v>
      </c>
      <c r="AC92" s="68">
        <v>704</v>
      </c>
      <c r="AD92" s="68">
        <v>598.4</v>
      </c>
      <c r="AE92" s="26" t="s">
        <v>37</v>
      </c>
      <c r="AF92" s="26" t="s">
        <v>38</v>
      </c>
      <c r="AG92" s="73" t="s">
        <v>38</v>
      </c>
    </row>
    <row r="93" s="14" customFormat="1" ht="23" customHeight="1" spans="1:33">
      <c r="A93" s="26"/>
      <c r="B93" s="27"/>
      <c r="C93" s="27"/>
      <c r="D93" s="28"/>
      <c r="E93" s="28"/>
      <c r="F93" s="27"/>
      <c r="G93" s="28"/>
      <c r="H93" s="40"/>
      <c r="I93" s="40"/>
      <c r="J93" s="46"/>
      <c r="K93" s="46"/>
      <c r="L93" s="46"/>
      <c r="M93" s="51"/>
      <c r="N93" s="51"/>
      <c r="O93" s="51"/>
      <c r="P93" s="27"/>
      <c r="Q93" s="27"/>
      <c r="R93" s="57"/>
      <c r="S93" s="58"/>
      <c r="T93" s="28"/>
      <c r="U93" s="61" t="s">
        <v>442</v>
      </c>
      <c r="V93" s="61">
        <v>240700006</v>
      </c>
      <c r="W93" s="62" t="s">
        <v>443</v>
      </c>
      <c r="X93" s="61" t="s">
        <v>444</v>
      </c>
      <c r="Y93" s="61"/>
      <c r="Z93" s="61" t="s">
        <v>35</v>
      </c>
      <c r="AA93" s="61" t="s">
        <v>38</v>
      </c>
      <c r="AB93" s="68">
        <v>2800</v>
      </c>
      <c r="AC93" s="68">
        <v>2800</v>
      </c>
      <c r="AD93" s="68">
        <v>2380</v>
      </c>
      <c r="AE93" s="26" t="s">
        <v>38</v>
      </c>
      <c r="AF93" s="26" t="s">
        <v>38</v>
      </c>
      <c r="AG93" s="73" t="s">
        <v>38</v>
      </c>
    </row>
    <row r="94" s="14" customFormat="1" ht="23" customHeight="1" spans="1:33">
      <c r="A94" s="26"/>
      <c r="B94" s="27"/>
      <c r="C94" s="27"/>
      <c r="D94" s="28"/>
      <c r="E94" s="28"/>
      <c r="F94" s="27"/>
      <c r="G94" s="28"/>
      <c r="H94" s="40"/>
      <c r="I94" s="40"/>
      <c r="J94" s="46"/>
      <c r="K94" s="46"/>
      <c r="L94" s="46"/>
      <c r="M94" s="51"/>
      <c r="N94" s="51"/>
      <c r="O94" s="51"/>
      <c r="P94" s="27"/>
      <c r="Q94" s="27"/>
      <c r="R94" s="57"/>
      <c r="S94" s="58"/>
      <c r="T94" s="28"/>
      <c r="U94" s="61" t="s">
        <v>445</v>
      </c>
      <c r="V94" s="61">
        <v>340100029</v>
      </c>
      <c r="W94" s="62" t="s">
        <v>446</v>
      </c>
      <c r="X94" s="61" t="s">
        <v>447</v>
      </c>
      <c r="Y94" s="61"/>
      <c r="Z94" s="61" t="s">
        <v>35</v>
      </c>
      <c r="AA94" s="61" t="s">
        <v>38</v>
      </c>
      <c r="AB94" s="68">
        <v>1000</v>
      </c>
      <c r="AC94" s="68">
        <v>900</v>
      </c>
      <c r="AD94" s="68">
        <v>765</v>
      </c>
      <c r="AE94" s="26" t="s">
        <v>38</v>
      </c>
      <c r="AF94" s="26" t="s">
        <v>38</v>
      </c>
      <c r="AG94" s="73" t="s">
        <v>38</v>
      </c>
    </row>
    <row r="95" s="14" customFormat="1" ht="87" customHeight="1" spans="1:33">
      <c r="A95" s="26">
        <v>29</v>
      </c>
      <c r="B95" s="27" t="s">
        <v>448</v>
      </c>
      <c r="C95" s="27" t="s">
        <v>449</v>
      </c>
      <c r="D95" s="28" t="s">
        <v>450</v>
      </c>
      <c r="E95" s="28" t="s">
        <v>451</v>
      </c>
      <c r="F95" s="27" t="s">
        <v>35</v>
      </c>
      <c r="G95" s="28" t="s">
        <v>38</v>
      </c>
      <c r="H95" s="39">
        <v>110</v>
      </c>
      <c r="I95" s="39">
        <v>99</v>
      </c>
      <c r="J95" s="46">
        <v>109</v>
      </c>
      <c r="K95" s="46">
        <v>98</v>
      </c>
      <c r="L95" s="46">
        <v>84</v>
      </c>
      <c r="M95" s="51">
        <v>109</v>
      </c>
      <c r="N95" s="51">
        <v>98</v>
      </c>
      <c r="O95" s="51">
        <v>84</v>
      </c>
      <c r="P95" s="27" t="s">
        <v>37</v>
      </c>
      <c r="Q95" s="27" t="s">
        <v>38</v>
      </c>
      <c r="R95" s="57" t="s">
        <v>38</v>
      </c>
      <c r="S95" s="58" t="s">
        <v>452</v>
      </c>
      <c r="T95" s="28" t="s">
        <v>453</v>
      </c>
      <c r="U95" s="61" t="s">
        <v>454</v>
      </c>
      <c r="V95" s="61">
        <v>31060600201</v>
      </c>
      <c r="W95" s="62" t="s">
        <v>455</v>
      </c>
      <c r="X95" s="61" t="s">
        <v>456</v>
      </c>
      <c r="Y95" s="61"/>
      <c r="Z95" s="61" t="s">
        <v>35</v>
      </c>
      <c r="AA95" s="61" t="s">
        <v>38</v>
      </c>
      <c r="AB95" s="68">
        <v>109</v>
      </c>
      <c r="AC95" s="68">
        <v>98</v>
      </c>
      <c r="AD95" s="68">
        <v>84</v>
      </c>
      <c r="AE95" s="26" t="s">
        <v>37</v>
      </c>
      <c r="AF95" s="26" t="s">
        <v>38</v>
      </c>
      <c r="AG95" s="73" t="s">
        <v>38</v>
      </c>
    </row>
    <row r="96" s="14" customFormat="1" ht="69" customHeight="1" spans="1:33">
      <c r="A96" s="26" t="s">
        <v>146</v>
      </c>
      <c r="B96" s="27" t="s">
        <v>457</v>
      </c>
      <c r="C96" s="27" t="s">
        <v>458</v>
      </c>
      <c r="D96" s="28" t="s">
        <v>38</v>
      </c>
      <c r="E96" s="28" t="s">
        <v>38</v>
      </c>
      <c r="F96" s="27" t="s">
        <v>35</v>
      </c>
      <c r="G96" s="28" t="s">
        <v>38</v>
      </c>
      <c r="H96" s="39">
        <v>440</v>
      </c>
      <c r="I96" s="39">
        <v>396</v>
      </c>
      <c r="J96" s="46"/>
      <c r="K96" s="46"/>
      <c r="L96" s="46"/>
      <c r="M96" s="51">
        <v>436</v>
      </c>
      <c r="N96" s="51">
        <v>392</v>
      </c>
      <c r="O96" s="51">
        <v>336</v>
      </c>
      <c r="P96" s="27" t="s">
        <v>37</v>
      </c>
      <c r="Q96" s="27" t="s">
        <v>38</v>
      </c>
      <c r="R96" s="57" t="s">
        <v>38</v>
      </c>
      <c r="S96" s="58" t="s">
        <v>459</v>
      </c>
      <c r="T96" s="28" t="s">
        <v>460</v>
      </c>
      <c r="U96" s="61" t="s">
        <v>461</v>
      </c>
      <c r="V96" s="61">
        <v>310606002</v>
      </c>
      <c r="W96" s="62" t="s">
        <v>462</v>
      </c>
      <c r="X96" s="61" t="s">
        <v>463</v>
      </c>
      <c r="Y96" s="61"/>
      <c r="Z96" s="61" t="s">
        <v>35</v>
      </c>
      <c r="AA96" s="61" t="s">
        <v>464</v>
      </c>
      <c r="AB96" s="68">
        <v>545</v>
      </c>
      <c r="AC96" s="68">
        <v>490</v>
      </c>
      <c r="AD96" s="68">
        <v>417</v>
      </c>
      <c r="AE96" s="26" t="s">
        <v>37</v>
      </c>
      <c r="AF96" s="26" t="s">
        <v>38</v>
      </c>
      <c r="AG96" s="73" t="s">
        <v>38</v>
      </c>
    </row>
    <row r="97" s="14" customFormat="1" ht="27" customHeight="1" spans="1:33">
      <c r="A97" s="26">
        <v>30</v>
      </c>
      <c r="B97" s="27" t="s">
        <v>465</v>
      </c>
      <c r="C97" s="27" t="s">
        <v>466</v>
      </c>
      <c r="D97" s="28" t="s">
        <v>467</v>
      </c>
      <c r="E97" s="28" t="s">
        <v>468</v>
      </c>
      <c r="F97" s="27" t="s">
        <v>35</v>
      </c>
      <c r="G97" s="28" t="s">
        <v>38</v>
      </c>
      <c r="H97" s="39">
        <v>3000</v>
      </c>
      <c r="I97" s="39">
        <v>2700</v>
      </c>
      <c r="J97" s="45">
        <v>2015.39444850256</v>
      </c>
      <c r="K97" s="45">
        <v>2072.72727272727</v>
      </c>
      <c r="L97" s="46"/>
      <c r="M97" s="51">
        <v>2700</v>
      </c>
      <c r="N97" s="51">
        <v>2430</v>
      </c>
      <c r="O97" s="51">
        <v>2070</v>
      </c>
      <c r="P97" s="27" t="s">
        <v>37</v>
      </c>
      <c r="Q97" s="27" t="s">
        <v>38</v>
      </c>
      <c r="R97" s="57">
        <v>0.2</v>
      </c>
      <c r="S97" s="58" t="s">
        <v>104</v>
      </c>
      <c r="T97" s="28" t="s">
        <v>469</v>
      </c>
      <c r="U97" s="61" t="s">
        <v>470</v>
      </c>
      <c r="V97" s="61">
        <v>32020000401</v>
      </c>
      <c r="W97" s="62" t="s">
        <v>471</v>
      </c>
      <c r="X97" s="61"/>
      <c r="Y97" s="61"/>
      <c r="Z97" s="61" t="s">
        <v>35</v>
      </c>
      <c r="AA97" s="61" t="s">
        <v>472</v>
      </c>
      <c r="AB97" s="68">
        <v>2500</v>
      </c>
      <c r="AC97" s="68">
        <v>2400</v>
      </c>
      <c r="AD97" s="68">
        <v>2040</v>
      </c>
      <c r="AE97" s="26" t="s">
        <v>37</v>
      </c>
      <c r="AF97" s="26" t="s">
        <v>38</v>
      </c>
      <c r="AG97" s="73">
        <v>0.2</v>
      </c>
    </row>
    <row r="98" s="14" customFormat="1" ht="27" customHeight="1" spans="1:33">
      <c r="A98" s="26"/>
      <c r="B98" s="27"/>
      <c r="C98" s="27"/>
      <c r="D98" s="28"/>
      <c r="E98" s="28"/>
      <c r="F98" s="27"/>
      <c r="G98" s="28"/>
      <c r="H98" s="40"/>
      <c r="I98" s="40"/>
      <c r="J98" s="45"/>
      <c r="K98" s="45"/>
      <c r="L98" s="46"/>
      <c r="M98" s="51"/>
      <c r="N98" s="51"/>
      <c r="O98" s="51"/>
      <c r="P98" s="27"/>
      <c r="Q98" s="27"/>
      <c r="R98" s="57"/>
      <c r="S98" s="58"/>
      <c r="T98" s="28"/>
      <c r="U98" s="61" t="s">
        <v>473</v>
      </c>
      <c r="V98" s="61">
        <v>32020000403</v>
      </c>
      <c r="W98" s="62" t="s">
        <v>474</v>
      </c>
      <c r="X98" s="61"/>
      <c r="Y98" s="61"/>
      <c r="Z98" s="61" t="s">
        <v>35</v>
      </c>
      <c r="AA98" s="61" t="s">
        <v>475</v>
      </c>
      <c r="AB98" s="68">
        <v>2500</v>
      </c>
      <c r="AC98" s="68">
        <v>2400</v>
      </c>
      <c r="AD98" s="68">
        <v>2040</v>
      </c>
      <c r="AE98" s="26" t="s">
        <v>37</v>
      </c>
      <c r="AF98" s="26" t="s">
        <v>38</v>
      </c>
      <c r="AG98" s="73">
        <v>0.2</v>
      </c>
    </row>
    <row r="99" s="14" customFormat="1" ht="27" customHeight="1" spans="1:33">
      <c r="A99" s="26"/>
      <c r="B99" s="27"/>
      <c r="C99" s="27"/>
      <c r="D99" s="28"/>
      <c r="E99" s="28"/>
      <c r="F99" s="27"/>
      <c r="G99" s="28"/>
      <c r="H99" s="40"/>
      <c r="I99" s="40"/>
      <c r="J99" s="45"/>
      <c r="K99" s="45"/>
      <c r="L99" s="46"/>
      <c r="M99" s="51"/>
      <c r="N99" s="51"/>
      <c r="O99" s="51"/>
      <c r="P99" s="27"/>
      <c r="Q99" s="27"/>
      <c r="R99" s="57"/>
      <c r="S99" s="58"/>
      <c r="T99" s="28"/>
      <c r="U99" s="61" t="s">
        <v>476</v>
      </c>
      <c r="V99" s="61">
        <v>320200013</v>
      </c>
      <c r="W99" s="62" t="s">
        <v>477</v>
      </c>
      <c r="X99" s="61"/>
      <c r="Y99" s="61"/>
      <c r="Z99" s="61" t="s">
        <v>35</v>
      </c>
      <c r="AA99" s="61" t="s">
        <v>38</v>
      </c>
      <c r="AB99" s="68">
        <v>1875</v>
      </c>
      <c r="AC99" s="68">
        <v>1800</v>
      </c>
      <c r="AD99" s="68">
        <v>1530</v>
      </c>
      <c r="AE99" s="26" t="s">
        <v>37</v>
      </c>
      <c r="AF99" s="26" t="s">
        <v>38</v>
      </c>
      <c r="AG99" s="73">
        <v>0.2</v>
      </c>
    </row>
    <row r="100" s="14" customFormat="1" ht="27" customHeight="1" spans="1:33">
      <c r="A100" s="26"/>
      <c r="B100" s="27"/>
      <c r="C100" s="27"/>
      <c r="D100" s="28"/>
      <c r="E100" s="28"/>
      <c r="F100" s="27"/>
      <c r="G100" s="28"/>
      <c r="H100" s="40"/>
      <c r="I100" s="40"/>
      <c r="J100" s="45"/>
      <c r="K100" s="45"/>
      <c r="L100" s="46"/>
      <c r="M100" s="51"/>
      <c r="N100" s="51"/>
      <c r="O100" s="51"/>
      <c r="P100" s="27"/>
      <c r="Q100" s="27"/>
      <c r="R100" s="57"/>
      <c r="S100" s="58"/>
      <c r="T100" s="28"/>
      <c r="U100" s="61" t="s">
        <v>478</v>
      </c>
      <c r="V100" s="61">
        <v>32020001301</v>
      </c>
      <c r="W100" s="62" t="s">
        <v>479</v>
      </c>
      <c r="X100" s="61"/>
      <c r="Y100" s="61"/>
      <c r="Z100" s="61" t="s">
        <v>35</v>
      </c>
      <c r="AA100" s="61" t="s">
        <v>38</v>
      </c>
      <c r="AB100" s="68">
        <v>2440</v>
      </c>
      <c r="AC100" s="68">
        <v>2340</v>
      </c>
      <c r="AD100" s="68">
        <v>1990</v>
      </c>
      <c r="AE100" s="26" t="s">
        <v>37</v>
      </c>
      <c r="AF100" s="26" t="s">
        <v>38</v>
      </c>
      <c r="AG100" s="73">
        <v>0.2</v>
      </c>
    </row>
    <row r="101" s="14" customFormat="1" ht="27" customHeight="1" spans="1:33">
      <c r="A101" s="26"/>
      <c r="B101" s="27"/>
      <c r="C101" s="27"/>
      <c r="D101" s="28"/>
      <c r="E101" s="28"/>
      <c r="F101" s="27"/>
      <c r="G101" s="28"/>
      <c r="H101" s="40"/>
      <c r="I101" s="40"/>
      <c r="J101" s="45"/>
      <c r="K101" s="45"/>
      <c r="L101" s="46"/>
      <c r="M101" s="51"/>
      <c r="N101" s="51"/>
      <c r="O101" s="51"/>
      <c r="P101" s="27"/>
      <c r="Q101" s="27"/>
      <c r="R101" s="57"/>
      <c r="S101" s="58"/>
      <c r="T101" s="28"/>
      <c r="U101" s="61" t="s">
        <v>480</v>
      </c>
      <c r="V101" s="61">
        <v>320300002</v>
      </c>
      <c r="W101" s="62" t="s">
        <v>481</v>
      </c>
      <c r="X101" s="61"/>
      <c r="Y101" s="61"/>
      <c r="Z101" s="61" t="s">
        <v>35</v>
      </c>
      <c r="AA101" s="61" t="s">
        <v>38</v>
      </c>
      <c r="AB101" s="68">
        <v>1875</v>
      </c>
      <c r="AC101" s="68">
        <v>1800</v>
      </c>
      <c r="AD101" s="68">
        <v>1530</v>
      </c>
      <c r="AE101" s="26" t="s">
        <v>37</v>
      </c>
      <c r="AF101" s="26" t="s">
        <v>38</v>
      </c>
      <c r="AG101" s="73">
        <v>0.2</v>
      </c>
    </row>
    <row r="102" s="14" customFormat="1" ht="27" customHeight="1" spans="1:33">
      <c r="A102" s="26"/>
      <c r="B102" s="27"/>
      <c r="C102" s="27"/>
      <c r="D102" s="28"/>
      <c r="E102" s="28"/>
      <c r="F102" s="27"/>
      <c r="G102" s="28"/>
      <c r="H102" s="40"/>
      <c r="I102" s="40"/>
      <c r="J102" s="45"/>
      <c r="K102" s="45"/>
      <c r="L102" s="46"/>
      <c r="M102" s="51"/>
      <c r="N102" s="51"/>
      <c r="O102" s="51"/>
      <c r="P102" s="27"/>
      <c r="Q102" s="27"/>
      <c r="R102" s="57"/>
      <c r="S102" s="58"/>
      <c r="T102" s="28"/>
      <c r="U102" s="61" t="s">
        <v>482</v>
      </c>
      <c r="V102" s="61">
        <v>32030000201</v>
      </c>
      <c r="W102" s="62" t="s">
        <v>483</v>
      </c>
      <c r="X102" s="61"/>
      <c r="Y102" s="61"/>
      <c r="Z102" s="61" t="s">
        <v>35</v>
      </c>
      <c r="AA102" s="61" t="s">
        <v>38</v>
      </c>
      <c r="AB102" s="68">
        <v>2440</v>
      </c>
      <c r="AC102" s="68">
        <v>2340</v>
      </c>
      <c r="AD102" s="68">
        <v>1990</v>
      </c>
      <c r="AE102" s="26" t="s">
        <v>37</v>
      </c>
      <c r="AF102" s="26" t="s">
        <v>38</v>
      </c>
      <c r="AG102" s="73">
        <v>0.2</v>
      </c>
    </row>
    <row r="103" s="14" customFormat="1" ht="27" customHeight="1" spans="1:33">
      <c r="A103" s="26"/>
      <c r="B103" s="27"/>
      <c r="C103" s="27"/>
      <c r="D103" s="28"/>
      <c r="E103" s="28"/>
      <c r="F103" s="27"/>
      <c r="G103" s="28"/>
      <c r="H103" s="40"/>
      <c r="I103" s="40"/>
      <c r="J103" s="45"/>
      <c r="K103" s="45"/>
      <c r="L103" s="46"/>
      <c r="M103" s="51"/>
      <c r="N103" s="51"/>
      <c r="O103" s="51"/>
      <c r="P103" s="27"/>
      <c r="Q103" s="27"/>
      <c r="R103" s="57"/>
      <c r="S103" s="58"/>
      <c r="T103" s="28"/>
      <c r="U103" s="61" t="s">
        <v>484</v>
      </c>
      <c r="V103" s="61">
        <v>330503009</v>
      </c>
      <c r="W103" s="62" t="s">
        <v>485</v>
      </c>
      <c r="X103" s="61" t="s">
        <v>486</v>
      </c>
      <c r="Y103" s="61" t="s">
        <v>487</v>
      </c>
      <c r="Z103" s="61" t="s">
        <v>35</v>
      </c>
      <c r="AA103" s="61" t="s">
        <v>38</v>
      </c>
      <c r="AB103" s="68">
        <v>845</v>
      </c>
      <c r="AC103" s="68">
        <v>760</v>
      </c>
      <c r="AD103" s="68">
        <v>645</v>
      </c>
      <c r="AE103" s="26" t="s">
        <v>37</v>
      </c>
      <c r="AF103" s="26" t="s">
        <v>38</v>
      </c>
      <c r="AG103" s="73" t="s">
        <v>38</v>
      </c>
    </row>
    <row r="104" s="14" customFormat="1" ht="27" customHeight="1" spans="1:33">
      <c r="A104" s="26"/>
      <c r="B104" s="27"/>
      <c r="C104" s="27"/>
      <c r="D104" s="28"/>
      <c r="E104" s="28"/>
      <c r="F104" s="27"/>
      <c r="G104" s="28"/>
      <c r="H104" s="40"/>
      <c r="I104" s="40"/>
      <c r="J104" s="45"/>
      <c r="K104" s="45"/>
      <c r="L104" s="46"/>
      <c r="M104" s="51"/>
      <c r="N104" s="51"/>
      <c r="O104" s="51"/>
      <c r="P104" s="27"/>
      <c r="Q104" s="27"/>
      <c r="R104" s="57"/>
      <c r="S104" s="58"/>
      <c r="T104" s="28"/>
      <c r="U104" s="61" t="s">
        <v>488</v>
      </c>
      <c r="V104" s="61">
        <v>33050300901</v>
      </c>
      <c r="W104" s="62" t="s">
        <v>489</v>
      </c>
      <c r="X104" s="61"/>
      <c r="Y104" s="61"/>
      <c r="Z104" s="61" t="s">
        <v>35</v>
      </c>
      <c r="AA104" s="61" t="s">
        <v>38</v>
      </c>
      <c r="AB104" s="68">
        <v>1100</v>
      </c>
      <c r="AC104" s="68">
        <v>990</v>
      </c>
      <c r="AD104" s="68">
        <v>840</v>
      </c>
      <c r="AE104" s="26" t="s">
        <v>37</v>
      </c>
      <c r="AF104" s="26" t="s">
        <v>38</v>
      </c>
      <c r="AG104" s="73" t="s">
        <v>38</v>
      </c>
    </row>
    <row r="105" s="14" customFormat="1" ht="36" customHeight="1" spans="1:33">
      <c r="A105" s="26" t="s">
        <v>146</v>
      </c>
      <c r="B105" s="27" t="s">
        <v>490</v>
      </c>
      <c r="C105" s="27" t="s">
        <v>491</v>
      </c>
      <c r="D105" s="28" t="s">
        <v>38</v>
      </c>
      <c r="E105" s="28" t="s">
        <v>38</v>
      </c>
      <c r="F105" s="27" t="s">
        <v>35</v>
      </c>
      <c r="G105" s="28" t="s">
        <v>38</v>
      </c>
      <c r="H105" s="39">
        <v>300</v>
      </c>
      <c r="I105" s="39">
        <v>270</v>
      </c>
      <c r="J105" s="46"/>
      <c r="K105" s="46"/>
      <c r="L105" s="46"/>
      <c r="M105" s="51">
        <v>270</v>
      </c>
      <c r="N105" s="51">
        <v>243</v>
      </c>
      <c r="O105" s="51">
        <v>207</v>
      </c>
      <c r="P105" s="27" t="s">
        <v>37</v>
      </c>
      <c r="Q105" s="27" t="s">
        <v>38</v>
      </c>
      <c r="R105" s="57">
        <v>0.2</v>
      </c>
      <c r="S105" s="58"/>
      <c r="T105" s="28" t="s">
        <v>492</v>
      </c>
      <c r="U105" s="61"/>
      <c r="V105" s="61"/>
      <c r="W105" s="62"/>
      <c r="X105" s="61"/>
      <c r="Y105" s="61"/>
      <c r="Z105" s="61"/>
      <c r="AA105" s="61"/>
      <c r="AB105" s="68"/>
      <c r="AC105" s="68"/>
      <c r="AD105" s="68"/>
      <c r="AE105" s="26"/>
      <c r="AF105" s="26"/>
      <c r="AG105" s="73"/>
    </row>
    <row r="106" s="14" customFormat="1" customHeight="1" spans="1:33">
      <c r="A106" s="26"/>
      <c r="B106" s="27" t="s">
        <v>493</v>
      </c>
      <c r="C106" s="27" t="s">
        <v>494</v>
      </c>
      <c r="D106" s="28" t="s">
        <v>38</v>
      </c>
      <c r="E106" s="28" t="s">
        <v>38</v>
      </c>
      <c r="F106" s="27" t="s">
        <v>38</v>
      </c>
      <c r="G106" s="28" t="s">
        <v>38</v>
      </c>
      <c r="H106" s="40" t="s">
        <v>38</v>
      </c>
      <c r="I106" s="40" t="s">
        <v>38</v>
      </c>
      <c r="J106" s="46"/>
      <c r="K106" s="46"/>
      <c r="L106" s="46"/>
      <c r="M106" s="51"/>
      <c r="N106" s="51"/>
      <c r="O106" s="51"/>
      <c r="P106" s="27" t="s">
        <v>38</v>
      </c>
      <c r="Q106" s="27" t="s">
        <v>38</v>
      </c>
      <c r="R106" s="57" t="s">
        <v>38</v>
      </c>
      <c r="S106" s="58"/>
      <c r="T106" s="28"/>
      <c r="U106" s="61"/>
      <c r="V106" s="61"/>
      <c r="W106" s="62"/>
      <c r="X106" s="61"/>
      <c r="Y106" s="61"/>
      <c r="Z106" s="61"/>
      <c r="AA106" s="61"/>
      <c r="AB106" s="69"/>
      <c r="AC106" s="69"/>
      <c r="AD106" s="69"/>
      <c r="AE106" s="26"/>
      <c r="AF106" s="26"/>
      <c r="AG106" s="73"/>
    </row>
    <row r="107" s="14" customFormat="1" ht="26" customHeight="1" spans="1:33">
      <c r="A107" s="26">
        <v>31</v>
      </c>
      <c r="B107" s="27" t="s">
        <v>495</v>
      </c>
      <c r="C107" s="27" t="s">
        <v>496</v>
      </c>
      <c r="D107" s="28" t="s">
        <v>497</v>
      </c>
      <c r="E107" s="28" t="s">
        <v>498</v>
      </c>
      <c r="F107" s="27" t="s">
        <v>35</v>
      </c>
      <c r="G107" s="28" t="s">
        <v>499</v>
      </c>
      <c r="H107" s="39">
        <v>3400</v>
      </c>
      <c r="I107" s="39">
        <v>3060</v>
      </c>
      <c r="J107" s="45">
        <v>3822.83464566929</v>
      </c>
      <c r="K107" s="45">
        <v>3519.74522292994</v>
      </c>
      <c r="L107" s="45">
        <v>2932.5</v>
      </c>
      <c r="M107" s="51">
        <v>3250</v>
      </c>
      <c r="N107" s="51">
        <v>3050</v>
      </c>
      <c r="O107" s="51">
        <v>2650</v>
      </c>
      <c r="P107" s="27" t="s">
        <v>37</v>
      </c>
      <c r="Q107" s="27" t="s">
        <v>38</v>
      </c>
      <c r="R107" s="57">
        <v>0.2</v>
      </c>
      <c r="S107" s="58" t="s">
        <v>138</v>
      </c>
      <c r="T107" s="28" t="s">
        <v>500</v>
      </c>
      <c r="U107" s="61" t="s">
        <v>501</v>
      </c>
      <c r="V107" s="61">
        <v>330703002</v>
      </c>
      <c r="W107" s="62" t="s">
        <v>502</v>
      </c>
      <c r="X107" s="61"/>
      <c r="Y107" s="61"/>
      <c r="Z107" s="61" t="s">
        <v>35</v>
      </c>
      <c r="AA107" s="61" t="s">
        <v>503</v>
      </c>
      <c r="AB107" s="68">
        <v>1250</v>
      </c>
      <c r="AC107" s="68">
        <v>1200</v>
      </c>
      <c r="AD107" s="68">
        <v>1020</v>
      </c>
      <c r="AE107" s="26" t="s">
        <v>37</v>
      </c>
      <c r="AF107" s="26" t="s">
        <v>38</v>
      </c>
      <c r="AG107" s="73" t="s">
        <v>38</v>
      </c>
    </row>
    <row r="108" s="14" customFormat="1" ht="26" customHeight="1" spans="1:33">
      <c r="A108" s="26"/>
      <c r="B108" s="27"/>
      <c r="C108" s="27"/>
      <c r="D108" s="28"/>
      <c r="E108" s="28"/>
      <c r="F108" s="27"/>
      <c r="G108" s="28"/>
      <c r="H108" s="40"/>
      <c r="I108" s="40"/>
      <c r="J108" s="45"/>
      <c r="K108" s="45"/>
      <c r="L108" s="45"/>
      <c r="M108" s="51"/>
      <c r="N108" s="51"/>
      <c r="O108" s="51"/>
      <c r="P108" s="27"/>
      <c r="Q108" s="27"/>
      <c r="R108" s="57"/>
      <c r="S108" s="58"/>
      <c r="T108" s="28"/>
      <c r="U108" s="61" t="s">
        <v>504</v>
      </c>
      <c r="V108" s="61">
        <v>33070300201</v>
      </c>
      <c r="W108" s="62" t="s">
        <v>505</v>
      </c>
      <c r="X108" s="61"/>
      <c r="Y108" s="61"/>
      <c r="Z108" s="61" t="s">
        <v>35</v>
      </c>
      <c r="AA108" s="61" t="s">
        <v>506</v>
      </c>
      <c r="AB108" s="68">
        <v>1875</v>
      </c>
      <c r="AC108" s="68">
        <v>1800</v>
      </c>
      <c r="AD108" s="68">
        <v>1530</v>
      </c>
      <c r="AE108" s="26" t="s">
        <v>37</v>
      </c>
      <c r="AF108" s="26" t="s">
        <v>38</v>
      </c>
      <c r="AG108" s="73" t="s">
        <v>38</v>
      </c>
    </row>
    <row r="109" s="14" customFormat="1" ht="26" customHeight="1" spans="1:33">
      <c r="A109" s="26"/>
      <c r="B109" s="27"/>
      <c r="C109" s="27"/>
      <c r="D109" s="28"/>
      <c r="E109" s="28"/>
      <c r="F109" s="27"/>
      <c r="G109" s="28"/>
      <c r="H109" s="40"/>
      <c r="I109" s="40"/>
      <c r="J109" s="45"/>
      <c r="K109" s="45"/>
      <c r="L109" s="45"/>
      <c r="M109" s="51"/>
      <c r="N109" s="51"/>
      <c r="O109" s="51"/>
      <c r="P109" s="27"/>
      <c r="Q109" s="27"/>
      <c r="R109" s="57"/>
      <c r="S109" s="58"/>
      <c r="T109" s="28"/>
      <c r="U109" s="61" t="s">
        <v>507</v>
      </c>
      <c r="V109" s="61">
        <v>33070300202</v>
      </c>
      <c r="W109" s="62" t="s">
        <v>508</v>
      </c>
      <c r="X109" s="61"/>
      <c r="Y109" s="61"/>
      <c r="Z109" s="61" t="s">
        <v>35</v>
      </c>
      <c r="AA109" s="61" t="s">
        <v>38</v>
      </c>
      <c r="AB109" s="68">
        <v>1625</v>
      </c>
      <c r="AC109" s="68">
        <v>1560</v>
      </c>
      <c r="AD109" s="68">
        <v>1325</v>
      </c>
      <c r="AE109" s="26" t="s">
        <v>37</v>
      </c>
      <c r="AF109" s="26" t="s">
        <v>38</v>
      </c>
      <c r="AG109" s="73" t="s">
        <v>38</v>
      </c>
    </row>
    <row r="110" s="14" customFormat="1" ht="26" customHeight="1" spans="1:33">
      <c r="A110" s="26"/>
      <c r="B110" s="27"/>
      <c r="C110" s="27"/>
      <c r="D110" s="28"/>
      <c r="E110" s="28"/>
      <c r="F110" s="27"/>
      <c r="G110" s="28"/>
      <c r="H110" s="40"/>
      <c r="I110" s="40"/>
      <c r="J110" s="45"/>
      <c r="K110" s="45"/>
      <c r="L110" s="45"/>
      <c r="M110" s="51"/>
      <c r="N110" s="51"/>
      <c r="O110" s="51"/>
      <c r="P110" s="27"/>
      <c r="Q110" s="27"/>
      <c r="R110" s="57"/>
      <c r="S110" s="58"/>
      <c r="T110" s="28"/>
      <c r="U110" s="61" t="s">
        <v>509</v>
      </c>
      <c r="V110" s="61">
        <v>33070300203</v>
      </c>
      <c r="W110" s="62" t="s">
        <v>510</v>
      </c>
      <c r="X110" s="61"/>
      <c r="Y110" s="61"/>
      <c r="Z110" s="61" t="s">
        <v>35</v>
      </c>
      <c r="AA110" s="61" t="s">
        <v>506</v>
      </c>
      <c r="AB110" s="68">
        <v>2440</v>
      </c>
      <c r="AC110" s="68">
        <v>2340</v>
      </c>
      <c r="AD110" s="68">
        <v>1990</v>
      </c>
      <c r="AE110" s="26" t="s">
        <v>37</v>
      </c>
      <c r="AF110" s="26" t="s">
        <v>38</v>
      </c>
      <c r="AG110" s="73" t="s">
        <v>38</v>
      </c>
    </row>
    <row r="111" s="14" customFormat="1" ht="26" customHeight="1" spans="1:33">
      <c r="A111" s="26"/>
      <c r="B111" s="27"/>
      <c r="C111" s="27"/>
      <c r="D111" s="28"/>
      <c r="E111" s="28"/>
      <c r="F111" s="27"/>
      <c r="G111" s="28"/>
      <c r="H111" s="40"/>
      <c r="I111" s="40"/>
      <c r="J111" s="45"/>
      <c r="K111" s="45"/>
      <c r="L111" s="45"/>
      <c r="M111" s="51"/>
      <c r="N111" s="51"/>
      <c r="O111" s="51"/>
      <c r="P111" s="27"/>
      <c r="Q111" s="27"/>
      <c r="R111" s="57"/>
      <c r="S111" s="58"/>
      <c r="T111" s="28"/>
      <c r="U111" s="61" t="s">
        <v>511</v>
      </c>
      <c r="V111" s="61">
        <v>330703001</v>
      </c>
      <c r="W111" s="62" t="s">
        <v>512</v>
      </c>
      <c r="X111" s="61" t="s">
        <v>513</v>
      </c>
      <c r="Y111" s="61"/>
      <c r="Z111" s="61" t="s">
        <v>35</v>
      </c>
      <c r="AA111" s="61" t="s">
        <v>38</v>
      </c>
      <c r="AB111" s="68">
        <v>1500</v>
      </c>
      <c r="AC111" s="68">
        <v>1440</v>
      </c>
      <c r="AD111" s="68">
        <v>1224</v>
      </c>
      <c r="AE111" s="26" t="s">
        <v>37</v>
      </c>
      <c r="AF111" s="26" t="s">
        <v>38</v>
      </c>
      <c r="AG111" s="73" t="s">
        <v>38</v>
      </c>
    </row>
    <row r="112" s="14" customFormat="1" ht="26" customHeight="1" spans="1:33">
      <c r="A112" s="26"/>
      <c r="B112" s="27"/>
      <c r="C112" s="27"/>
      <c r="D112" s="28"/>
      <c r="E112" s="28"/>
      <c r="F112" s="27"/>
      <c r="G112" s="28"/>
      <c r="H112" s="40"/>
      <c r="I112" s="40"/>
      <c r="J112" s="45"/>
      <c r="K112" s="45"/>
      <c r="L112" s="45"/>
      <c r="M112" s="51"/>
      <c r="N112" s="51"/>
      <c r="O112" s="51"/>
      <c r="P112" s="27"/>
      <c r="Q112" s="27"/>
      <c r="R112" s="57"/>
      <c r="S112" s="58"/>
      <c r="T112" s="28"/>
      <c r="U112" s="61" t="s">
        <v>514</v>
      </c>
      <c r="V112" s="61">
        <v>33070300101</v>
      </c>
      <c r="W112" s="62" t="s">
        <v>515</v>
      </c>
      <c r="X112" s="61"/>
      <c r="Y112" s="61"/>
      <c r="Z112" s="61" t="s">
        <v>35</v>
      </c>
      <c r="AA112" s="61" t="s">
        <v>38</v>
      </c>
      <c r="AB112" s="68">
        <v>1950</v>
      </c>
      <c r="AC112" s="68">
        <v>1870</v>
      </c>
      <c r="AD112" s="68">
        <v>1590</v>
      </c>
      <c r="AE112" s="26" t="s">
        <v>37</v>
      </c>
      <c r="AF112" s="26" t="s">
        <v>38</v>
      </c>
      <c r="AG112" s="73" t="s">
        <v>38</v>
      </c>
    </row>
    <row r="113" s="14" customFormat="1" ht="26" customHeight="1" spans="1:33">
      <c r="A113" s="26"/>
      <c r="B113" s="27"/>
      <c r="C113" s="27"/>
      <c r="D113" s="28"/>
      <c r="E113" s="28"/>
      <c r="F113" s="27"/>
      <c r="G113" s="28"/>
      <c r="H113" s="40"/>
      <c r="I113" s="40"/>
      <c r="J113" s="45"/>
      <c r="K113" s="45"/>
      <c r="L113" s="45"/>
      <c r="M113" s="51"/>
      <c r="N113" s="51"/>
      <c r="O113" s="51"/>
      <c r="P113" s="27"/>
      <c r="Q113" s="27"/>
      <c r="R113" s="57"/>
      <c r="S113" s="58"/>
      <c r="T113" s="28"/>
      <c r="U113" s="61" t="s">
        <v>516</v>
      </c>
      <c r="V113" s="61">
        <v>240700004</v>
      </c>
      <c r="W113" s="62" t="s">
        <v>517</v>
      </c>
      <c r="X113" s="61" t="s">
        <v>518</v>
      </c>
      <c r="Y113" s="61" t="s">
        <v>519</v>
      </c>
      <c r="Z113" s="61" t="s">
        <v>35</v>
      </c>
      <c r="AA113" s="61" t="s">
        <v>520</v>
      </c>
      <c r="AB113" s="68">
        <v>4000</v>
      </c>
      <c r="AC113" s="68">
        <v>3600</v>
      </c>
      <c r="AD113" s="68">
        <v>3060</v>
      </c>
      <c r="AE113" s="26" t="s">
        <v>37</v>
      </c>
      <c r="AF113" s="26" t="s">
        <v>38</v>
      </c>
      <c r="AG113" s="73">
        <v>0.2</v>
      </c>
    </row>
    <row r="114" s="14" customFormat="1" ht="26" customHeight="1" spans="1:33">
      <c r="A114" s="26"/>
      <c r="B114" s="27"/>
      <c r="C114" s="27"/>
      <c r="D114" s="28"/>
      <c r="E114" s="28"/>
      <c r="F114" s="27"/>
      <c r="G114" s="28"/>
      <c r="H114" s="40"/>
      <c r="I114" s="40"/>
      <c r="J114" s="45"/>
      <c r="K114" s="45"/>
      <c r="L114" s="45"/>
      <c r="M114" s="51"/>
      <c r="N114" s="51"/>
      <c r="O114" s="51"/>
      <c r="P114" s="27"/>
      <c r="Q114" s="27"/>
      <c r="R114" s="57"/>
      <c r="S114" s="58"/>
      <c r="T114" s="28"/>
      <c r="U114" s="61" t="s">
        <v>521</v>
      </c>
      <c r="V114" s="61">
        <v>24070000401</v>
      </c>
      <c r="W114" s="62" t="s">
        <v>517</v>
      </c>
      <c r="X114" s="61"/>
      <c r="Y114" s="61"/>
      <c r="Z114" s="61" t="s">
        <v>35</v>
      </c>
      <c r="AA114" s="61" t="s">
        <v>522</v>
      </c>
      <c r="AB114" s="68">
        <v>2000</v>
      </c>
      <c r="AC114" s="68">
        <v>1800</v>
      </c>
      <c r="AD114" s="68">
        <v>1530</v>
      </c>
      <c r="AE114" s="26" t="s">
        <v>37</v>
      </c>
      <c r="AF114" s="26" t="s">
        <v>38</v>
      </c>
      <c r="AG114" s="73">
        <v>0.2</v>
      </c>
    </row>
    <row r="115" s="14" customFormat="1" ht="26" customHeight="1" spans="1:33">
      <c r="A115" s="26"/>
      <c r="B115" s="27"/>
      <c r="C115" s="27"/>
      <c r="D115" s="28"/>
      <c r="E115" s="28"/>
      <c r="F115" s="27"/>
      <c r="G115" s="28"/>
      <c r="H115" s="40"/>
      <c r="I115" s="40"/>
      <c r="J115" s="45"/>
      <c r="K115" s="45"/>
      <c r="L115" s="45"/>
      <c r="M115" s="51"/>
      <c r="N115" s="51"/>
      <c r="O115" s="51"/>
      <c r="P115" s="27"/>
      <c r="Q115" s="27"/>
      <c r="R115" s="57"/>
      <c r="S115" s="58"/>
      <c r="T115" s="28"/>
      <c r="U115" s="61" t="s">
        <v>523</v>
      </c>
      <c r="V115" s="61">
        <v>330604028</v>
      </c>
      <c r="W115" s="61" t="s">
        <v>524</v>
      </c>
      <c r="X115" s="61" t="s">
        <v>525</v>
      </c>
      <c r="Y115" s="61"/>
      <c r="Z115" s="61" t="s">
        <v>35</v>
      </c>
      <c r="AA115" s="61" t="s">
        <v>38</v>
      </c>
      <c r="AB115" s="69" t="s">
        <v>38</v>
      </c>
      <c r="AC115" s="69" t="s">
        <v>38</v>
      </c>
      <c r="AD115" s="69" t="s">
        <v>38</v>
      </c>
      <c r="AE115" s="26" t="s">
        <v>38</v>
      </c>
      <c r="AF115" s="26" t="s">
        <v>38</v>
      </c>
      <c r="AG115" s="73" t="s">
        <v>38</v>
      </c>
    </row>
    <row r="116" s="14" customFormat="1" ht="26" customHeight="1" spans="1:33">
      <c r="A116" s="26" t="s">
        <v>146</v>
      </c>
      <c r="B116" s="27" t="s">
        <v>526</v>
      </c>
      <c r="C116" s="27" t="s">
        <v>527</v>
      </c>
      <c r="D116" s="28" t="s">
        <v>38</v>
      </c>
      <c r="E116" s="28" t="s">
        <v>38</v>
      </c>
      <c r="F116" s="27" t="s">
        <v>35</v>
      </c>
      <c r="G116" s="28" t="s">
        <v>38</v>
      </c>
      <c r="H116" s="39">
        <v>340</v>
      </c>
      <c r="I116" s="39">
        <v>306</v>
      </c>
      <c r="J116" s="46"/>
      <c r="K116" s="46"/>
      <c r="L116" s="46"/>
      <c r="M116" s="51">
        <v>325</v>
      </c>
      <c r="N116" s="51">
        <v>305</v>
      </c>
      <c r="O116" s="51">
        <v>265</v>
      </c>
      <c r="P116" s="27" t="s">
        <v>37</v>
      </c>
      <c r="Q116" s="27" t="s">
        <v>38</v>
      </c>
      <c r="R116" s="57">
        <v>0.2</v>
      </c>
      <c r="S116" s="58"/>
      <c r="T116" s="28" t="s">
        <v>492</v>
      </c>
      <c r="U116" s="61" t="s">
        <v>528</v>
      </c>
      <c r="V116" s="61">
        <v>33100801301</v>
      </c>
      <c r="W116" s="62" t="s">
        <v>529</v>
      </c>
      <c r="X116" s="61"/>
      <c r="Y116" s="61"/>
      <c r="Z116" s="61" t="s">
        <v>35</v>
      </c>
      <c r="AA116" s="61" t="s">
        <v>530</v>
      </c>
      <c r="AB116" s="68">
        <v>1500</v>
      </c>
      <c r="AC116" s="68">
        <v>1440</v>
      </c>
      <c r="AD116" s="68">
        <v>1224</v>
      </c>
      <c r="AE116" s="26" t="s">
        <v>37</v>
      </c>
      <c r="AF116" s="26" t="s">
        <v>38</v>
      </c>
      <c r="AG116" s="73" t="s">
        <v>38</v>
      </c>
    </row>
    <row r="117" s="14" customFormat="1" ht="26" customHeight="1" spans="1:33">
      <c r="A117" s="26"/>
      <c r="B117" s="27"/>
      <c r="C117" s="27"/>
      <c r="D117" s="28"/>
      <c r="E117" s="28"/>
      <c r="F117" s="27"/>
      <c r="G117" s="28"/>
      <c r="H117" s="40"/>
      <c r="I117" s="40"/>
      <c r="J117" s="46"/>
      <c r="K117" s="46"/>
      <c r="L117" s="46"/>
      <c r="M117" s="51"/>
      <c r="N117" s="51"/>
      <c r="O117" s="51"/>
      <c r="P117" s="27"/>
      <c r="Q117" s="27"/>
      <c r="R117" s="57"/>
      <c r="S117" s="58"/>
      <c r="T117" s="28"/>
      <c r="U117" s="61" t="s">
        <v>531</v>
      </c>
      <c r="V117" s="61">
        <v>33100801303</v>
      </c>
      <c r="W117" s="62" t="s">
        <v>532</v>
      </c>
      <c r="X117" s="61"/>
      <c r="Y117" s="61"/>
      <c r="Z117" s="61" t="s">
        <v>35</v>
      </c>
      <c r="AA117" s="61" t="s">
        <v>530</v>
      </c>
      <c r="AB117" s="68">
        <v>1950</v>
      </c>
      <c r="AC117" s="68">
        <v>1870</v>
      </c>
      <c r="AD117" s="68">
        <v>1590</v>
      </c>
      <c r="AE117" s="26" t="s">
        <v>37</v>
      </c>
      <c r="AF117" s="26" t="s">
        <v>38</v>
      </c>
      <c r="AG117" s="73" t="s">
        <v>38</v>
      </c>
    </row>
    <row r="118" s="14" customFormat="1" ht="26" customHeight="1" spans="1:33">
      <c r="A118" s="26"/>
      <c r="B118" s="27"/>
      <c r="C118" s="27"/>
      <c r="D118" s="28"/>
      <c r="E118" s="28"/>
      <c r="F118" s="27"/>
      <c r="G118" s="28"/>
      <c r="H118" s="40"/>
      <c r="I118" s="40"/>
      <c r="J118" s="46"/>
      <c r="K118" s="46"/>
      <c r="L118" s="46"/>
      <c r="M118" s="51"/>
      <c r="N118" s="51"/>
      <c r="O118" s="51"/>
      <c r="P118" s="27"/>
      <c r="Q118" s="27"/>
      <c r="R118" s="57"/>
      <c r="S118" s="58"/>
      <c r="T118" s="28"/>
      <c r="U118" s="61" t="s">
        <v>533</v>
      </c>
      <c r="V118" s="61">
        <v>331005010</v>
      </c>
      <c r="W118" s="62" t="s">
        <v>534</v>
      </c>
      <c r="X118" s="61" t="s">
        <v>535</v>
      </c>
      <c r="Y118" s="61"/>
      <c r="Z118" s="61" t="s">
        <v>35</v>
      </c>
      <c r="AA118" s="61" t="s">
        <v>536</v>
      </c>
      <c r="AB118" s="68">
        <v>1250</v>
      </c>
      <c r="AC118" s="68">
        <v>1200</v>
      </c>
      <c r="AD118" s="68">
        <v>1020</v>
      </c>
      <c r="AE118" s="26" t="s">
        <v>37</v>
      </c>
      <c r="AF118" s="26" t="s">
        <v>38</v>
      </c>
      <c r="AG118" s="73" t="s">
        <v>38</v>
      </c>
    </row>
    <row r="119" s="14" customFormat="1" ht="26" customHeight="1" spans="1:33">
      <c r="A119" s="26"/>
      <c r="B119" s="27"/>
      <c r="C119" s="27"/>
      <c r="D119" s="28"/>
      <c r="E119" s="28"/>
      <c r="F119" s="27"/>
      <c r="G119" s="28"/>
      <c r="H119" s="40"/>
      <c r="I119" s="40"/>
      <c r="J119" s="46"/>
      <c r="K119" s="46"/>
      <c r="L119" s="46"/>
      <c r="M119" s="51"/>
      <c r="N119" s="51"/>
      <c r="O119" s="51"/>
      <c r="P119" s="27"/>
      <c r="Q119" s="27"/>
      <c r="R119" s="57"/>
      <c r="S119" s="58"/>
      <c r="T119" s="28"/>
      <c r="U119" s="61" t="s">
        <v>537</v>
      </c>
      <c r="V119" s="61">
        <v>33100501001</v>
      </c>
      <c r="W119" s="62" t="s">
        <v>538</v>
      </c>
      <c r="X119" s="61"/>
      <c r="Y119" s="61"/>
      <c r="Z119" s="61" t="s">
        <v>35</v>
      </c>
      <c r="AA119" s="61" t="s">
        <v>530</v>
      </c>
      <c r="AB119" s="68">
        <v>1500</v>
      </c>
      <c r="AC119" s="68">
        <v>1440</v>
      </c>
      <c r="AD119" s="68">
        <v>1224</v>
      </c>
      <c r="AE119" s="26" t="s">
        <v>37</v>
      </c>
      <c r="AF119" s="26" t="s">
        <v>38</v>
      </c>
      <c r="AG119" s="73" t="s">
        <v>38</v>
      </c>
    </row>
    <row r="120" s="14" customFormat="1" ht="26" customHeight="1" spans="1:33">
      <c r="A120" s="26"/>
      <c r="B120" s="27"/>
      <c r="C120" s="27"/>
      <c r="D120" s="28"/>
      <c r="E120" s="28"/>
      <c r="F120" s="27"/>
      <c r="G120" s="28"/>
      <c r="H120" s="40"/>
      <c r="I120" s="40"/>
      <c r="J120" s="46"/>
      <c r="K120" s="46"/>
      <c r="L120" s="46"/>
      <c r="M120" s="51"/>
      <c r="N120" s="51"/>
      <c r="O120" s="51"/>
      <c r="P120" s="27"/>
      <c r="Q120" s="27"/>
      <c r="R120" s="57"/>
      <c r="S120" s="58"/>
      <c r="T120" s="28"/>
      <c r="U120" s="61" t="s">
        <v>539</v>
      </c>
      <c r="V120" s="61">
        <v>33100501002</v>
      </c>
      <c r="W120" s="62" t="s">
        <v>540</v>
      </c>
      <c r="X120" s="61"/>
      <c r="Y120" s="61"/>
      <c r="Z120" s="61" t="s">
        <v>35</v>
      </c>
      <c r="AA120" s="61" t="s">
        <v>38</v>
      </c>
      <c r="AB120" s="68">
        <v>1625</v>
      </c>
      <c r="AC120" s="68">
        <v>1560</v>
      </c>
      <c r="AD120" s="68">
        <v>1325</v>
      </c>
      <c r="AE120" s="26" t="s">
        <v>37</v>
      </c>
      <c r="AF120" s="26" t="s">
        <v>38</v>
      </c>
      <c r="AG120" s="73" t="s">
        <v>38</v>
      </c>
    </row>
    <row r="121" s="14" customFormat="1" ht="26" customHeight="1" spans="1:33">
      <c r="A121" s="26"/>
      <c r="B121" s="27"/>
      <c r="C121" s="27"/>
      <c r="D121" s="28"/>
      <c r="E121" s="28"/>
      <c r="F121" s="27"/>
      <c r="G121" s="28"/>
      <c r="H121" s="40"/>
      <c r="I121" s="40"/>
      <c r="J121" s="46"/>
      <c r="K121" s="46"/>
      <c r="L121" s="46"/>
      <c r="M121" s="51"/>
      <c r="N121" s="51"/>
      <c r="O121" s="51"/>
      <c r="P121" s="27"/>
      <c r="Q121" s="27"/>
      <c r="R121" s="57"/>
      <c r="S121" s="58"/>
      <c r="T121" s="28"/>
      <c r="U121" s="61" t="s">
        <v>541</v>
      </c>
      <c r="V121" s="61">
        <v>33100501003</v>
      </c>
      <c r="W121" s="62" t="s">
        <v>542</v>
      </c>
      <c r="X121" s="61"/>
      <c r="Y121" s="61"/>
      <c r="Z121" s="61" t="s">
        <v>35</v>
      </c>
      <c r="AA121" s="61" t="s">
        <v>530</v>
      </c>
      <c r="AB121" s="68">
        <v>1950</v>
      </c>
      <c r="AC121" s="68">
        <v>1870</v>
      </c>
      <c r="AD121" s="68">
        <v>1590</v>
      </c>
      <c r="AE121" s="26" t="s">
        <v>37</v>
      </c>
      <c r="AF121" s="26" t="s">
        <v>38</v>
      </c>
      <c r="AG121" s="73" t="s">
        <v>38</v>
      </c>
    </row>
    <row r="122" s="14" customFormat="1" ht="86" customHeight="1" spans="1:33">
      <c r="A122" s="26">
        <v>32</v>
      </c>
      <c r="B122" s="27" t="s">
        <v>543</v>
      </c>
      <c r="C122" s="27" t="s">
        <v>544</v>
      </c>
      <c r="D122" s="28" t="s">
        <v>545</v>
      </c>
      <c r="E122" s="28" t="s">
        <v>546</v>
      </c>
      <c r="F122" s="27" t="s">
        <v>35</v>
      </c>
      <c r="G122" s="28" t="s">
        <v>547</v>
      </c>
      <c r="H122" s="39">
        <v>4200</v>
      </c>
      <c r="I122" s="39">
        <v>3780</v>
      </c>
      <c r="J122" s="46"/>
      <c r="K122" s="46"/>
      <c r="L122" s="46"/>
      <c r="M122" s="51">
        <v>3800</v>
      </c>
      <c r="N122" s="51">
        <v>3450</v>
      </c>
      <c r="O122" s="51">
        <v>2950</v>
      </c>
      <c r="P122" s="27" t="s">
        <v>37</v>
      </c>
      <c r="Q122" s="27" t="s">
        <v>38</v>
      </c>
      <c r="R122" s="57">
        <v>0.2</v>
      </c>
      <c r="S122" s="58" t="s">
        <v>126</v>
      </c>
      <c r="T122" s="28" t="s">
        <v>548</v>
      </c>
      <c r="U122" s="27"/>
      <c r="V122" s="27"/>
      <c r="W122" s="27"/>
      <c r="X122" s="27"/>
      <c r="Y122" s="27"/>
      <c r="Z122" s="27"/>
      <c r="AA122" s="61"/>
      <c r="AB122" s="69"/>
      <c r="AC122" s="69"/>
      <c r="AD122" s="69"/>
      <c r="AE122" s="26"/>
      <c r="AF122" s="26"/>
      <c r="AG122" s="73"/>
    </row>
    <row r="123" s="14" customFormat="1" ht="48" customHeight="1" spans="1:33">
      <c r="A123" s="26" t="s">
        <v>146</v>
      </c>
      <c r="B123" s="27" t="s">
        <v>549</v>
      </c>
      <c r="C123" s="27" t="s">
        <v>550</v>
      </c>
      <c r="D123" s="28" t="s">
        <v>38</v>
      </c>
      <c r="E123" s="28" t="s">
        <v>38</v>
      </c>
      <c r="F123" s="27" t="s">
        <v>35</v>
      </c>
      <c r="G123" s="28" t="s">
        <v>38</v>
      </c>
      <c r="H123" s="39">
        <v>420</v>
      </c>
      <c r="I123" s="39">
        <v>378</v>
      </c>
      <c r="J123" s="46"/>
      <c r="K123" s="46"/>
      <c r="L123" s="46"/>
      <c r="M123" s="51">
        <v>380</v>
      </c>
      <c r="N123" s="51">
        <v>345</v>
      </c>
      <c r="O123" s="51">
        <v>295</v>
      </c>
      <c r="P123" s="27" t="s">
        <v>37</v>
      </c>
      <c r="Q123" s="27" t="s">
        <v>38</v>
      </c>
      <c r="R123" s="57">
        <v>0.2</v>
      </c>
      <c r="S123" s="58"/>
      <c r="T123" s="28" t="s">
        <v>492</v>
      </c>
      <c r="U123" s="27"/>
      <c r="V123" s="27"/>
      <c r="W123" s="27"/>
      <c r="X123" s="27"/>
      <c r="Y123" s="27"/>
      <c r="Z123" s="27"/>
      <c r="AA123" s="61"/>
      <c r="AB123" s="69"/>
      <c r="AC123" s="69"/>
      <c r="AD123" s="69"/>
      <c r="AE123" s="26"/>
      <c r="AF123" s="26"/>
      <c r="AG123" s="73"/>
    </row>
  </sheetData>
  <autoFilter ref="A3:AG123">
    <extLst/>
  </autoFilter>
  <mergeCells count="403">
    <mergeCell ref="A1:AD1"/>
    <mergeCell ref="A2:T2"/>
    <mergeCell ref="U2:AD2"/>
    <mergeCell ref="A4:A14"/>
    <mergeCell ref="A22:A23"/>
    <mergeCell ref="A24:A25"/>
    <mergeCell ref="A26:A27"/>
    <mergeCell ref="A28:A31"/>
    <mergeCell ref="A32:A34"/>
    <mergeCell ref="A35:A44"/>
    <mergeCell ref="A45:A48"/>
    <mergeCell ref="A49:A51"/>
    <mergeCell ref="A54:A58"/>
    <mergeCell ref="A60:A64"/>
    <mergeCell ref="A65:A67"/>
    <mergeCell ref="A70:A71"/>
    <mergeCell ref="A73:A74"/>
    <mergeCell ref="A76:A83"/>
    <mergeCell ref="A84:A89"/>
    <mergeCell ref="A92:A94"/>
    <mergeCell ref="A97:A104"/>
    <mergeCell ref="A107:A115"/>
    <mergeCell ref="A116:A121"/>
    <mergeCell ref="B4:B14"/>
    <mergeCell ref="B22:B23"/>
    <mergeCell ref="B24:B25"/>
    <mergeCell ref="B26:B27"/>
    <mergeCell ref="B28:B31"/>
    <mergeCell ref="B32:B34"/>
    <mergeCell ref="B35:B44"/>
    <mergeCell ref="B45:B48"/>
    <mergeCell ref="B49:B51"/>
    <mergeCell ref="B54:B58"/>
    <mergeCell ref="B60:B64"/>
    <mergeCell ref="B65:B67"/>
    <mergeCell ref="B70:B71"/>
    <mergeCell ref="B73:B74"/>
    <mergeCell ref="B76:B83"/>
    <mergeCell ref="B84:B89"/>
    <mergeCell ref="B92:B94"/>
    <mergeCell ref="B97:B104"/>
    <mergeCell ref="B107:B115"/>
    <mergeCell ref="B116:B121"/>
    <mergeCell ref="C4:C14"/>
    <mergeCell ref="C22:C23"/>
    <mergeCell ref="C24:C25"/>
    <mergeCell ref="C26:C27"/>
    <mergeCell ref="C28:C31"/>
    <mergeCell ref="C32:C34"/>
    <mergeCell ref="C35:C44"/>
    <mergeCell ref="C45:C48"/>
    <mergeCell ref="C49:C51"/>
    <mergeCell ref="C54:C58"/>
    <mergeCell ref="C60:C64"/>
    <mergeCell ref="C65:C67"/>
    <mergeCell ref="C70:C71"/>
    <mergeCell ref="C73:C74"/>
    <mergeCell ref="C76:C83"/>
    <mergeCell ref="C84:C89"/>
    <mergeCell ref="C92:C94"/>
    <mergeCell ref="C97:C104"/>
    <mergeCell ref="C107:C115"/>
    <mergeCell ref="C116:C121"/>
    <mergeCell ref="D4:D14"/>
    <mergeCell ref="D22:D23"/>
    <mergeCell ref="D24:D25"/>
    <mergeCell ref="D26:D27"/>
    <mergeCell ref="D28:D31"/>
    <mergeCell ref="D32:D34"/>
    <mergeCell ref="D35:D44"/>
    <mergeCell ref="D45:D48"/>
    <mergeCell ref="D49:D51"/>
    <mergeCell ref="D54:D58"/>
    <mergeCell ref="D60:D64"/>
    <mergeCell ref="D65:D67"/>
    <mergeCell ref="D70:D71"/>
    <mergeCell ref="D73:D74"/>
    <mergeCell ref="D76:D83"/>
    <mergeCell ref="D84:D89"/>
    <mergeCell ref="D92:D94"/>
    <mergeCell ref="D97:D104"/>
    <mergeCell ref="D107:D115"/>
    <mergeCell ref="D116:D121"/>
    <mergeCell ref="E4:E14"/>
    <mergeCell ref="E22:E23"/>
    <mergeCell ref="E24:E25"/>
    <mergeCell ref="E26:E27"/>
    <mergeCell ref="E28:E31"/>
    <mergeCell ref="E32:E34"/>
    <mergeCell ref="E35:E44"/>
    <mergeCell ref="E45:E48"/>
    <mergeCell ref="E49:E51"/>
    <mergeCell ref="E54:E58"/>
    <mergeCell ref="E60:E64"/>
    <mergeCell ref="E65:E67"/>
    <mergeCell ref="E70:E71"/>
    <mergeCell ref="E73:E74"/>
    <mergeCell ref="E76:E83"/>
    <mergeCell ref="E84:E89"/>
    <mergeCell ref="E92:E94"/>
    <mergeCell ref="E97:E104"/>
    <mergeCell ref="E107:E115"/>
    <mergeCell ref="E116:E121"/>
    <mergeCell ref="F4:F14"/>
    <mergeCell ref="F22:F23"/>
    <mergeCell ref="F24:F25"/>
    <mergeCell ref="F26:F27"/>
    <mergeCell ref="F28:F31"/>
    <mergeCell ref="F32:F34"/>
    <mergeCell ref="F35:F44"/>
    <mergeCell ref="F45:F48"/>
    <mergeCell ref="F49:F51"/>
    <mergeCell ref="F54:F58"/>
    <mergeCell ref="F60:F64"/>
    <mergeCell ref="F65:F67"/>
    <mergeCell ref="F70:F71"/>
    <mergeCell ref="F73:F74"/>
    <mergeCell ref="F76:F83"/>
    <mergeCell ref="F84:F89"/>
    <mergeCell ref="F92:F94"/>
    <mergeCell ref="F97:F104"/>
    <mergeCell ref="F107:F115"/>
    <mergeCell ref="F116:F121"/>
    <mergeCell ref="G4:G14"/>
    <mergeCell ref="G22:G23"/>
    <mergeCell ref="G24:G25"/>
    <mergeCell ref="G26:G27"/>
    <mergeCell ref="G28:G31"/>
    <mergeCell ref="G32:G34"/>
    <mergeCell ref="G35:G44"/>
    <mergeCell ref="G45:G48"/>
    <mergeCell ref="G49:G51"/>
    <mergeCell ref="G54:G58"/>
    <mergeCell ref="G60:G64"/>
    <mergeCell ref="G65:G67"/>
    <mergeCell ref="G70:G71"/>
    <mergeCell ref="G73:G74"/>
    <mergeCell ref="G76:G83"/>
    <mergeCell ref="G84:G89"/>
    <mergeCell ref="G92:G94"/>
    <mergeCell ref="G97:G104"/>
    <mergeCell ref="G107:G115"/>
    <mergeCell ref="G116:G121"/>
    <mergeCell ref="H4:H14"/>
    <mergeCell ref="H22:H23"/>
    <mergeCell ref="H24:H25"/>
    <mergeCell ref="H26:H27"/>
    <mergeCell ref="H28:H31"/>
    <mergeCell ref="H32:H34"/>
    <mergeCell ref="H35:H44"/>
    <mergeCell ref="H45:H48"/>
    <mergeCell ref="H49:H51"/>
    <mergeCell ref="H54:H58"/>
    <mergeCell ref="H60:H64"/>
    <mergeCell ref="H65:H67"/>
    <mergeCell ref="H70:H71"/>
    <mergeCell ref="H73:H74"/>
    <mergeCell ref="H76:H83"/>
    <mergeCell ref="H84:H89"/>
    <mergeCell ref="H92:H94"/>
    <mergeCell ref="H97:H104"/>
    <mergeCell ref="H107:H115"/>
    <mergeCell ref="H116:H121"/>
    <mergeCell ref="I4:I14"/>
    <mergeCell ref="I22:I23"/>
    <mergeCell ref="I24:I25"/>
    <mergeCell ref="I26:I27"/>
    <mergeCell ref="I28:I31"/>
    <mergeCell ref="I32:I34"/>
    <mergeCell ref="I35:I44"/>
    <mergeCell ref="I45:I48"/>
    <mergeCell ref="I49:I51"/>
    <mergeCell ref="I54:I58"/>
    <mergeCell ref="I60:I64"/>
    <mergeCell ref="I65:I67"/>
    <mergeCell ref="I70:I71"/>
    <mergeCell ref="I73:I74"/>
    <mergeCell ref="I76:I83"/>
    <mergeCell ref="I84:I89"/>
    <mergeCell ref="I92:I94"/>
    <mergeCell ref="I97:I104"/>
    <mergeCell ref="I107:I115"/>
    <mergeCell ref="I116:I121"/>
    <mergeCell ref="J4:J14"/>
    <mergeCell ref="J22:J23"/>
    <mergeCell ref="J24:J25"/>
    <mergeCell ref="J26:J27"/>
    <mergeCell ref="J28:J31"/>
    <mergeCell ref="J32:J34"/>
    <mergeCell ref="J35:J44"/>
    <mergeCell ref="J45:J48"/>
    <mergeCell ref="J49:J51"/>
    <mergeCell ref="J54:J58"/>
    <mergeCell ref="J60:J64"/>
    <mergeCell ref="J65:J67"/>
    <mergeCell ref="J70:J71"/>
    <mergeCell ref="J73:J74"/>
    <mergeCell ref="J76:J83"/>
    <mergeCell ref="J84:J89"/>
    <mergeCell ref="J92:J94"/>
    <mergeCell ref="J97:J104"/>
    <mergeCell ref="J107:J115"/>
    <mergeCell ref="J116:J121"/>
    <mergeCell ref="K4:K14"/>
    <mergeCell ref="K22:K23"/>
    <mergeCell ref="K24:K25"/>
    <mergeCell ref="K26:K27"/>
    <mergeCell ref="K28:K31"/>
    <mergeCell ref="K32:K34"/>
    <mergeCell ref="K35:K44"/>
    <mergeCell ref="K45:K48"/>
    <mergeCell ref="K49:K51"/>
    <mergeCell ref="K54:K58"/>
    <mergeCell ref="K60:K64"/>
    <mergeCell ref="K65:K67"/>
    <mergeCell ref="K70:K71"/>
    <mergeCell ref="K73:K74"/>
    <mergeCell ref="K76:K83"/>
    <mergeCell ref="K84:K89"/>
    <mergeCell ref="K92:K94"/>
    <mergeCell ref="K97:K104"/>
    <mergeCell ref="K107:K115"/>
    <mergeCell ref="K116:K121"/>
    <mergeCell ref="L4:L14"/>
    <mergeCell ref="L22:L23"/>
    <mergeCell ref="L24:L25"/>
    <mergeCell ref="L26:L27"/>
    <mergeCell ref="L28:L31"/>
    <mergeCell ref="L32:L34"/>
    <mergeCell ref="L35:L44"/>
    <mergeCell ref="L45:L48"/>
    <mergeCell ref="L49:L51"/>
    <mergeCell ref="L54:L58"/>
    <mergeCell ref="L60:L64"/>
    <mergeCell ref="L65:L67"/>
    <mergeCell ref="L70:L71"/>
    <mergeCell ref="L73:L74"/>
    <mergeCell ref="L76:L83"/>
    <mergeCell ref="L84:L89"/>
    <mergeCell ref="L92:L94"/>
    <mergeCell ref="L97:L104"/>
    <mergeCell ref="L107:L115"/>
    <mergeCell ref="L116:L121"/>
    <mergeCell ref="M4:M14"/>
    <mergeCell ref="M22:M23"/>
    <mergeCell ref="M24:M25"/>
    <mergeCell ref="M26:M27"/>
    <mergeCell ref="M28:M31"/>
    <mergeCell ref="M32:M34"/>
    <mergeCell ref="M35:M44"/>
    <mergeCell ref="M45:M48"/>
    <mergeCell ref="M49:M51"/>
    <mergeCell ref="M54:M58"/>
    <mergeCell ref="M60:M64"/>
    <mergeCell ref="M65:M67"/>
    <mergeCell ref="M70:M71"/>
    <mergeCell ref="M73:M74"/>
    <mergeCell ref="M76:M83"/>
    <mergeCell ref="M84:M89"/>
    <mergeCell ref="M92:M94"/>
    <mergeCell ref="M97:M104"/>
    <mergeCell ref="M107:M115"/>
    <mergeCell ref="M116:M121"/>
    <mergeCell ref="N4:N14"/>
    <mergeCell ref="N22:N23"/>
    <mergeCell ref="N24:N25"/>
    <mergeCell ref="N26:N27"/>
    <mergeCell ref="N28:N31"/>
    <mergeCell ref="N32:N34"/>
    <mergeCell ref="N35:N44"/>
    <mergeCell ref="N45:N48"/>
    <mergeCell ref="N49:N51"/>
    <mergeCell ref="N54:N58"/>
    <mergeCell ref="N60:N64"/>
    <mergeCell ref="N65:N67"/>
    <mergeCell ref="N70:N71"/>
    <mergeCell ref="N73:N74"/>
    <mergeCell ref="N76:N83"/>
    <mergeCell ref="N84:N89"/>
    <mergeCell ref="N92:N94"/>
    <mergeCell ref="N97:N104"/>
    <mergeCell ref="N107:N115"/>
    <mergeCell ref="N116:N121"/>
    <mergeCell ref="O4:O14"/>
    <mergeCell ref="O22:O23"/>
    <mergeCell ref="O24:O25"/>
    <mergeCell ref="O26:O27"/>
    <mergeCell ref="O28:O31"/>
    <mergeCell ref="O32:O34"/>
    <mergeCell ref="O35:O44"/>
    <mergeCell ref="O45:O48"/>
    <mergeCell ref="O49:O51"/>
    <mergeCell ref="O54:O58"/>
    <mergeCell ref="O60:O64"/>
    <mergeCell ref="O65:O67"/>
    <mergeCell ref="O70:O71"/>
    <mergeCell ref="O73:O74"/>
    <mergeCell ref="O76:O83"/>
    <mergeCell ref="O84:O89"/>
    <mergeCell ref="O92:O94"/>
    <mergeCell ref="O97:O104"/>
    <mergeCell ref="O107:O115"/>
    <mergeCell ref="O116:O121"/>
    <mergeCell ref="P4:P14"/>
    <mergeCell ref="P22:P23"/>
    <mergeCell ref="P24:P25"/>
    <mergeCell ref="P26:P27"/>
    <mergeCell ref="P28:P31"/>
    <mergeCell ref="P32:P34"/>
    <mergeCell ref="P35:P44"/>
    <mergeCell ref="P45:P48"/>
    <mergeCell ref="P49:P51"/>
    <mergeCell ref="P54:P58"/>
    <mergeCell ref="P60:P64"/>
    <mergeCell ref="P65:P67"/>
    <mergeCell ref="P70:P71"/>
    <mergeCell ref="P73:P74"/>
    <mergeCell ref="P76:P83"/>
    <mergeCell ref="P84:P89"/>
    <mergeCell ref="P92:P94"/>
    <mergeCell ref="P97:P104"/>
    <mergeCell ref="P107:P115"/>
    <mergeCell ref="P116:P121"/>
    <mergeCell ref="Q4:Q14"/>
    <mergeCell ref="Q22:Q23"/>
    <mergeCell ref="Q24:Q25"/>
    <mergeCell ref="Q26:Q27"/>
    <mergeCell ref="Q28:Q31"/>
    <mergeCell ref="Q32:Q34"/>
    <mergeCell ref="Q35:Q44"/>
    <mergeCell ref="Q45:Q48"/>
    <mergeCell ref="Q49:Q51"/>
    <mergeCell ref="Q54:Q58"/>
    <mergeCell ref="Q60:Q64"/>
    <mergeCell ref="Q65:Q67"/>
    <mergeCell ref="Q70:Q71"/>
    <mergeCell ref="Q73:Q74"/>
    <mergeCell ref="Q76:Q83"/>
    <mergeCell ref="Q84:Q89"/>
    <mergeCell ref="Q92:Q94"/>
    <mergeCell ref="Q97:Q104"/>
    <mergeCell ref="Q107:Q115"/>
    <mergeCell ref="Q116:Q121"/>
    <mergeCell ref="R4:R14"/>
    <mergeCell ref="R22:R23"/>
    <mergeCell ref="R24:R25"/>
    <mergeCell ref="R26:R27"/>
    <mergeCell ref="R28:R31"/>
    <mergeCell ref="R32:R34"/>
    <mergeCell ref="R35:R44"/>
    <mergeCell ref="R45:R48"/>
    <mergeCell ref="R49:R51"/>
    <mergeCell ref="R54:R58"/>
    <mergeCell ref="R60:R64"/>
    <mergeCell ref="R65:R67"/>
    <mergeCell ref="R70:R71"/>
    <mergeCell ref="R73:R74"/>
    <mergeCell ref="R76:R83"/>
    <mergeCell ref="R84:R89"/>
    <mergeCell ref="R92:R94"/>
    <mergeCell ref="R97:R104"/>
    <mergeCell ref="R107:R115"/>
    <mergeCell ref="R116:R121"/>
    <mergeCell ref="S4:S14"/>
    <mergeCell ref="S22:S23"/>
    <mergeCell ref="S24:S25"/>
    <mergeCell ref="S26:S27"/>
    <mergeCell ref="S28:S31"/>
    <mergeCell ref="S32:S34"/>
    <mergeCell ref="S35:S44"/>
    <mergeCell ref="S45:S48"/>
    <mergeCell ref="S49:S51"/>
    <mergeCell ref="S54:S58"/>
    <mergeCell ref="S60:S64"/>
    <mergeCell ref="S65:S67"/>
    <mergeCell ref="S70:S71"/>
    <mergeCell ref="S73:S74"/>
    <mergeCell ref="S76:S83"/>
    <mergeCell ref="S84:S89"/>
    <mergeCell ref="S92:S94"/>
    <mergeCell ref="S97:S104"/>
    <mergeCell ref="S107:S115"/>
    <mergeCell ref="S116:S121"/>
    <mergeCell ref="T4:T14"/>
    <mergeCell ref="T22:T23"/>
    <mergeCell ref="T24:T25"/>
    <mergeCell ref="T26:T27"/>
    <mergeCell ref="T28:T31"/>
    <mergeCell ref="T32:T34"/>
    <mergeCell ref="T35:T44"/>
    <mergeCell ref="T45:T48"/>
    <mergeCell ref="T49:T51"/>
    <mergeCell ref="T54:T58"/>
    <mergeCell ref="T60:T64"/>
    <mergeCell ref="T65:T67"/>
    <mergeCell ref="T70:T71"/>
    <mergeCell ref="T73:T74"/>
    <mergeCell ref="T76:T83"/>
    <mergeCell ref="T84:T89"/>
    <mergeCell ref="T92:T94"/>
    <mergeCell ref="T97:T104"/>
    <mergeCell ref="T107:T115"/>
    <mergeCell ref="T116:T121"/>
  </mergeCells>
  <pageMargins left="0.751388888888889" right="0.751388888888889" top="1" bottom="1" header="0.5" footer="0.5"/>
  <pageSetup paperSize="8" orientation="landscape"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98"/>
  <sheetViews>
    <sheetView topLeftCell="F59" workbookViewId="0">
      <selection activeCell="O71" sqref="O71"/>
    </sheetView>
  </sheetViews>
  <sheetFormatPr defaultColWidth="9" defaultRowHeight="14.25"/>
  <cols>
    <col min="4" max="4" width="19.875" customWidth="1"/>
    <col min="5" max="5" width="30.375" customWidth="1"/>
    <col min="6" max="6" width="28.25" customWidth="1"/>
    <col min="7" max="7" width="34.625" customWidth="1"/>
    <col min="15" max="16" width="12.625"/>
    <col min="23" max="23" width="255.625" customWidth="1"/>
  </cols>
  <sheetData>
    <row r="1" ht="38.25" spans="1:23">
      <c r="A1" s="4" t="s">
        <v>551</v>
      </c>
      <c r="B1" s="4" t="s">
        <v>552</v>
      </c>
      <c r="C1" s="4" t="s">
        <v>553</v>
      </c>
      <c r="D1" s="5" t="s">
        <v>554</v>
      </c>
      <c r="E1" s="4" t="s">
        <v>555</v>
      </c>
      <c r="F1" s="5" t="s">
        <v>556</v>
      </c>
      <c r="G1" s="4" t="s">
        <v>557</v>
      </c>
      <c r="H1" s="4" t="s">
        <v>558</v>
      </c>
      <c r="I1" s="4" t="s">
        <v>559</v>
      </c>
      <c r="J1" s="4" t="s">
        <v>560</v>
      </c>
      <c r="K1" s="4" t="s">
        <v>561</v>
      </c>
      <c r="L1" s="4" t="s">
        <v>562</v>
      </c>
      <c r="M1" s="4" t="s">
        <v>563</v>
      </c>
      <c r="N1" s="4" t="s">
        <v>564</v>
      </c>
      <c r="O1" s="4" t="s">
        <v>565</v>
      </c>
      <c r="P1" s="4" t="s">
        <v>566</v>
      </c>
      <c r="Q1" s="4" t="s">
        <v>567</v>
      </c>
      <c r="R1" s="4" t="s">
        <v>568</v>
      </c>
      <c r="S1" s="4" t="s">
        <v>569</v>
      </c>
      <c r="T1" s="4" t="s">
        <v>570</v>
      </c>
      <c r="U1" s="4" t="s">
        <v>571</v>
      </c>
      <c r="V1" s="4" t="s">
        <v>572</v>
      </c>
      <c r="W1" s="6" t="str">
        <f>"insert into server_list_change_all_20250525 ("&amp;_xlfn.TEXTJOIN(",",TRUE,A1:V1)&amp;") values"</f>
        <v>insert into server_list_change_all_20250525 (id,code,sever_type,change_time,old_hilist_code,new_hilist_code,hilist_name,selfpay_prop,old_price,old_price_city,old_price_town,old_price_village,new_price,new_price_city,new_price_town,new_price_village,unit,batch,is_use_old,merge_type,cnt_change_model,cnt_change_value) values</v>
      </c>
    </row>
    <row r="2" ht="15.75" spans="1:23">
      <c r="A2">
        <v>1471</v>
      </c>
      <c r="B2" s="7" t="s">
        <v>573</v>
      </c>
      <c r="C2" s="7">
        <v>1</v>
      </c>
      <c r="D2" s="8" t="s">
        <v>574</v>
      </c>
      <c r="E2" t="s">
        <v>41</v>
      </c>
      <c r="F2" t="s">
        <v>41</v>
      </c>
      <c r="G2" t="s">
        <v>42</v>
      </c>
      <c r="H2" s="7" t="s">
        <v>573</v>
      </c>
      <c r="I2" s="7" t="s">
        <v>573</v>
      </c>
      <c r="J2">
        <v>8</v>
      </c>
      <c r="K2">
        <v>8</v>
      </c>
      <c r="L2">
        <v>6.8</v>
      </c>
      <c r="M2" s="7" t="s">
        <v>573</v>
      </c>
      <c r="N2">
        <v>20</v>
      </c>
      <c r="O2">
        <v>19</v>
      </c>
      <c r="P2">
        <v>18</v>
      </c>
      <c r="Q2" t="s">
        <v>45</v>
      </c>
      <c r="R2">
        <v>21</v>
      </c>
      <c r="S2">
        <v>1</v>
      </c>
      <c r="T2" t="s">
        <v>575</v>
      </c>
      <c r="U2" s="9" t="s">
        <v>576</v>
      </c>
      <c r="V2">
        <v>3</v>
      </c>
      <c r="W2" s="10" t="str">
        <f>"("&amp;A2&amp;","&amp;B2&amp;","&amp;C2&amp;",'"&amp;D2&amp;"','"&amp;E2&amp;"','"&amp;F2&amp;"','"&amp;G2&amp;"',"&amp;H2&amp;","&amp;I2&amp;","&amp;J2&amp;","&amp;K2&amp;","&amp;L2&amp;","&amp;M2&amp;","&amp;N2&amp;","&amp;O2&amp;","&amp;P2&amp;",'"&amp;Q2&amp;"',"&amp;R2&amp;","&amp;S2&amp;",'"&amp;T2&amp;"','"&amp;U2&amp;"',"&amp;V2&amp;"),"</f>
        <v>(1471,null,1,'2026-03-19 00:00:00','003401000080000-340100008','003401000080000-340100008','直流电治疗',null,null,8,8,6.8,null,20,19,18,'每部位',21,1,'merge','limit',3),</v>
      </c>
    </row>
    <row r="3" ht="15.75" spans="1:23">
      <c r="A3">
        <v>1472</v>
      </c>
      <c r="B3" s="7" t="s">
        <v>573</v>
      </c>
      <c r="C3" s="7">
        <v>1</v>
      </c>
      <c r="D3" s="8" t="s">
        <v>574</v>
      </c>
      <c r="E3" t="s">
        <v>84</v>
      </c>
      <c r="F3" t="s">
        <v>84</v>
      </c>
      <c r="G3" t="s">
        <v>85</v>
      </c>
      <c r="H3" s="7" t="s">
        <v>573</v>
      </c>
      <c r="I3" s="7" t="s">
        <v>573</v>
      </c>
      <c r="J3">
        <v>0</v>
      </c>
      <c r="K3">
        <v>0</v>
      </c>
      <c r="L3">
        <v>0</v>
      </c>
      <c r="M3" s="7" t="s">
        <v>573</v>
      </c>
      <c r="N3">
        <v>47</v>
      </c>
      <c r="O3">
        <v>45</v>
      </c>
      <c r="P3">
        <v>41</v>
      </c>
      <c r="Q3" t="s">
        <v>35</v>
      </c>
      <c r="R3">
        <v>21</v>
      </c>
      <c r="S3">
        <v>1</v>
      </c>
      <c r="T3" s="7" t="s">
        <v>577</v>
      </c>
      <c r="U3" s="7" t="s">
        <v>578</v>
      </c>
      <c r="V3" s="9">
        <v>0</v>
      </c>
      <c r="W3" s="10" t="str">
        <f t="shared" ref="W3:W34" si="0">"("&amp;A3&amp;","&amp;B3&amp;","&amp;C3&amp;",'"&amp;D3&amp;"','"&amp;E3&amp;"','"&amp;F3&amp;"','"&amp;G3&amp;"',"&amp;H3&amp;","&amp;I3&amp;","&amp;J3&amp;","&amp;K3&amp;","&amp;L3&amp;","&amp;M3&amp;","&amp;N3&amp;","&amp;O3&amp;","&amp;P3&amp;",'"&amp;Q3&amp;"',"&amp;R3&amp;","&amp;S3&amp;",'"&amp;T3&amp;"','"&amp;U3&amp;"',"&amp;V3&amp;"),"</f>
        <v>(1472,null,1,'2026-03-19 00:00:00','002407000030000-240700003','002407000030000-240700003','体表肿瘤电化学治疗',null,null,0,0,0,null,47,45,41,'次',21,1,'normal','main',0),</v>
      </c>
    </row>
    <row r="4" ht="15.75" spans="1:23">
      <c r="A4">
        <v>1473</v>
      </c>
      <c r="B4" s="7" t="s">
        <v>573</v>
      </c>
      <c r="C4" s="7">
        <v>1</v>
      </c>
      <c r="D4" s="8" t="s">
        <v>574</v>
      </c>
      <c r="E4" t="s">
        <v>89</v>
      </c>
      <c r="F4" t="s">
        <v>89</v>
      </c>
      <c r="G4" t="s">
        <v>90</v>
      </c>
      <c r="H4" s="7" t="s">
        <v>573</v>
      </c>
      <c r="I4" s="7" t="s">
        <v>573</v>
      </c>
      <c r="J4">
        <v>0</v>
      </c>
      <c r="K4">
        <v>0</v>
      </c>
      <c r="L4">
        <v>0</v>
      </c>
      <c r="M4" s="7" t="s">
        <v>573</v>
      </c>
      <c r="N4">
        <v>14</v>
      </c>
      <c r="O4">
        <v>13</v>
      </c>
      <c r="P4">
        <v>12</v>
      </c>
      <c r="Q4" t="s">
        <v>92</v>
      </c>
      <c r="R4">
        <v>21</v>
      </c>
      <c r="S4">
        <v>1</v>
      </c>
      <c r="T4" s="7" t="s">
        <v>577</v>
      </c>
      <c r="U4" s="7" t="s">
        <v>578</v>
      </c>
      <c r="V4" s="9">
        <v>0</v>
      </c>
      <c r="W4" s="10" t="str">
        <f t="shared" si="0"/>
        <v>(1473,null,1,'2026-03-19 00:00:00','003401000150000-340100015','003401000150000-340100015','静电治疗',null,null,0,0,0,null,14,13,12,'每20-30分钟',21,1,'normal','main',0),</v>
      </c>
    </row>
    <row r="5" ht="15.75" spans="1:23">
      <c r="A5">
        <v>1474</v>
      </c>
      <c r="B5" s="7" t="s">
        <v>573</v>
      </c>
      <c r="C5" s="7">
        <v>1</v>
      </c>
      <c r="D5" s="8" t="s">
        <v>574</v>
      </c>
      <c r="E5" t="s">
        <v>96</v>
      </c>
      <c r="F5" t="s">
        <v>96</v>
      </c>
      <c r="G5" t="s">
        <v>97</v>
      </c>
      <c r="H5" s="7" t="s">
        <v>573</v>
      </c>
      <c r="I5" s="7" t="s">
        <v>573</v>
      </c>
      <c r="J5">
        <v>0</v>
      </c>
      <c r="K5">
        <v>0</v>
      </c>
      <c r="L5">
        <v>0</v>
      </c>
      <c r="M5" s="7" t="s">
        <v>573</v>
      </c>
      <c r="N5">
        <v>9.5</v>
      </c>
      <c r="O5">
        <v>9</v>
      </c>
      <c r="P5">
        <v>8</v>
      </c>
      <c r="Q5" t="s">
        <v>98</v>
      </c>
      <c r="R5">
        <v>21</v>
      </c>
      <c r="S5">
        <v>1</v>
      </c>
      <c r="T5" s="7" t="s">
        <v>577</v>
      </c>
      <c r="U5" s="7" t="s">
        <v>578</v>
      </c>
      <c r="V5" s="9">
        <v>0</v>
      </c>
      <c r="W5" s="10" t="str">
        <f t="shared" si="0"/>
        <v>(1474,null,1,'2026-03-19 00:00:00','003401000110000-340100011','003401000110000-340100011','共鸣火花治疗',null,null,0,0,0,null,9.5,9,8,'每5分钟',21,1,'normal','main',0),</v>
      </c>
    </row>
    <row r="6" ht="15.75" spans="1:23">
      <c r="A6">
        <v>1475</v>
      </c>
      <c r="B6" s="7" t="s">
        <v>573</v>
      </c>
      <c r="C6" s="7">
        <v>1</v>
      </c>
      <c r="D6" s="8" t="s">
        <v>574</v>
      </c>
      <c r="E6" t="s">
        <v>106</v>
      </c>
      <c r="F6" t="s">
        <v>106</v>
      </c>
      <c r="G6" t="s">
        <v>107</v>
      </c>
      <c r="H6" s="7" t="s">
        <v>573</v>
      </c>
      <c r="I6" s="7" t="s">
        <v>573</v>
      </c>
      <c r="J6">
        <v>8.8</v>
      </c>
      <c r="K6">
        <v>8</v>
      </c>
      <c r="L6">
        <v>6.8</v>
      </c>
      <c r="M6" s="7" t="s">
        <v>573</v>
      </c>
      <c r="N6">
        <v>10.5</v>
      </c>
      <c r="O6">
        <v>10</v>
      </c>
      <c r="P6">
        <v>9</v>
      </c>
      <c r="Q6" t="s">
        <v>109</v>
      </c>
      <c r="R6">
        <v>21</v>
      </c>
      <c r="S6">
        <v>1</v>
      </c>
      <c r="T6" s="7" t="s">
        <v>577</v>
      </c>
      <c r="U6" s="7" t="s">
        <v>578</v>
      </c>
      <c r="V6" s="9">
        <v>0</v>
      </c>
      <c r="W6" s="10" t="str">
        <f t="shared" si="0"/>
        <v>(1475,null,1,'2026-03-19 00:00:00','003114000140000-311400014','003114000140000-311400014','皮肤赘生物电烧治疗',null,null,8.8,8,6.8,null,10.5,10,9,'每个皮损',21,1,'normal','main',0),</v>
      </c>
    </row>
    <row r="7" ht="15.75" spans="1:23">
      <c r="A7">
        <v>1476</v>
      </c>
      <c r="B7" s="7" t="s">
        <v>573</v>
      </c>
      <c r="C7" s="7">
        <v>1</v>
      </c>
      <c r="D7" s="8" t="s">
        <v>574</v>
      </c>
      <c r="E7" t="s">
        <v>116</v>
      </c>
      <c r="F7" t="s">
        <v>116</v>
      </c>
      <c r="G7" t="s">
        <v>117</v>
      </c>
      <c r="H7" s="7" t="s">
        <v>573</v>
      </c>
      <c r="I7" s="7" t="s">
        <v>573</v>
      </c>
      <c r="J7">
        <v>12</v>
      </c>
      <c r="K7">
        <v>12</v>
      </c>
      <c r="L7">
        <v>10.2</v>
      </c>
      <c r="M7" s="7" t="s">
        <v>573</v>
      </c>
      <c r="N7">
        <v>14</v>
      </c>
      <c r="O7">
        <v>13</v>
      </c>
      <c r="P7">
        <v>12</v>
      </c>
      <c r="Q7" t="s">
        <v>119</v>
      </c>
      <c r="R7">
        <v>21</v>
      </c>
      <c r="S7">
        <v>1</v>
      </c>
      <c r="T7" s="7" t="s">
        <v>577</v>
      </c>
      <c r="U7" s="7" t="s">
        <v>578</v>
      </c>
      <c r="V7" s="9">
        <v>0</v>
      </c>
      <c r="W7" s="10" t="str">
        <f t="shared" si="0"/>
        <v>(1476,null,1,'2026-03-19 00:00:00','003401000060000-340100006','003401000060000-340100006','光敏疗法',null,null,12,12,10.2,null,14,13,12,'每个照射区',21,1,'normal','main',0),</v>
      </c>
    </row>
    <row r="8" ht="15.75" spans="1:23">
      <c r="A8">
        <v>1477</v>
      </c>
      <c r="B8" s="7" t="s">
        <v>573</v>
      </c>
      <c r="C8" s="7">
        <v>1</v>
      </c>
      <c r="D8" s="8" t="s">
        <v>574</v>
      </c>
      <c r="E8" t="s">
        <v>140</v>
      </c>
      <c r="F8" t="s">
        <v>140</v>
      </c>
      <c r="G8" t="s">
        <v>141</v>
      </c>
      <c r="H8" s="7" t="s">
        <v>573</v>
      </c>
      <c r="I8" s="7" t="s">
        <v>573</v>
      </c>
      <c r="J8">
        <v>8</v>
      </c>
      <c r="K8">
        <v>8</v>
      </c>
      <c r="L8">
        <v>6.8</v>
      </c>
      <c r="M8" s="7" t="s">
        <v>573</v>
      </c>
      <c r="N8">
        <v>18</v>
      </c>
      <c r="O8">
        <v>17</v>
      </c>
      <c r="P8">
        <v>15</v>
      </c>
      <c r="Q8" t="s">
        <v>119</v>
      </c>
      <c r="R8">
        <v>21</v>
      </c>
      <c r="S8">
        <v>1</v>
      </c>
      <c r="T8" s="7" t="s">
        <v>577</v>
      </c>
      <c r="U8" s="7" t="s">
        <v>578</v>
      </c>
      <c r="V8" s="9">
        <v>0</v>
      </c>
      <c r="W8" s="10" t="str">
        <f t="shared" si="0"/>
        <v>(1477,null,1,'2026-03-19 00:00:00','003401000040000-340100004','003401000040000-340100004','紫外线治疗',null,null,8,8,6.8,null,18,17,15,'每个照射区',21,1,'normal','main',0),</v>
      </c>
    </row>
    <row r="9" ht="15.75" spans="1:23">
      <c r="A9">
        <v>1478</v>
      </c>
      <c r="B9" s="7" t="s">
        <v>573</v>
      </c>
      <c r="C9" s="7">
        <v>1</v>
      </c>
      <c r="D9" s="8" t="s">
        <v>574</v>
      </c>
      <c r="E9" t="s">
        <v>143</v>
      </c>
      <c r="F9" t="s">
        <v>143</v>
      </c>
      <c r="G9" t="s">
        <v>144</v>
      </c>
      <c r="H9" s="7" t="s">
        <v>573</v>
      </c>
      <c r="I9" s="7" t="s">
        <v>573</v>
      </c>
      <c r="J9">
        <v>33</v>
      </c>
      <c r="K9">
        <v>30</v>
      </c>
      <c r="L9">
        <v>25.5</v>
      </c>
      <c r="M9" s="7" t="s">
        <v>573</v>
      </c>
      <c r="N9">
        <v>18</v>
      </c>
      <c r="O9">
        <v>17</v>
      </c>
      <c r="P9">
        <v>15</v>
      </c>
      <c r="Q9" t="s">
        <v>145</v>
      </c>
      <c r="R9">
        <v>21</v>
      </c>
      <c r="S9">
        <v>1</v>
      </c>
      <c r="T9" s="7" t="s">
        <v>577</v>
      </c>
      <c r="U9" s="7" t="s">
        <v>578</v>
      </c>
      <c r="V9" s="9">
        <v>0</v>
      </c>
      <c r="W9" s="10" t="str">
        <f t="shared" si="0"/>
        <v>(1478,null,1,'2026-03-19 00:00:00','003114000150000-311400015','003114000150000-311400015','黑光治疗（PUVA治疗）',null,null,33,30,25.5,null,18,17,15,'每个部位',21,1,'normal','main',0),</v>
      </c>
    </row>
    <row r="10" ht="15.75" spans="1:23">
      <c r="A10">
        <v>1479</v>
      </c>
      <c r="B10" s="7" t="s">
        <v>573</v>
      </c>
      <c r="C10" s="7">
        <v>1</v>
      </c>
      <c r="D10" s="8" t="s">
        <v>574</v>
      </c>
      <c r="E10" t="s">
        <v>150</v>
      </c>
      <c r="F10" t="s">
        <v>150</v>
      </c>
      <c r="G10" t="s">
        <v>151</v>
      </c>
      <c r="H10" s="7" t="s">
        <v>573</v>
      </c>
      <c r="I10" s="7" t="s">
        <v>573</v>
      </c>
      <c r="J10">
        <v>22</v>
      </c>
      <c r="K10">
        <v>20</v>
      </c>
      <c r="L10">
        <v>17</v>
      </c>
      <c r="M10" s="7" t="s">
        <v>573</v>
      </c>
      <c r="N10">
        <v>18</v>
      </c>
      <c r="O10">
        <v>17</v>
      </c>
      <c r="P10">
        <v>15</v>
      </c>
      <c r="Q10" t="s">
        <v>35</v>
      </c>
      <c r="R10">
        <v>21</v>
      </c>
      <c r="S10">
        <v>1</v>
      </c>
      <c r="T10" s="7" t="s">
        <v>577</v>
      </c>
      <c r="U10" s="7" t="s">
        <v>578</v>
      </c>
      <c r="V10" s="9">
        <v>0</v>
      </c>
      <c r="W10" s="10" t="str">
        <f t="shared" si="0"/>
        <v>(1479,null,1,'2026-03-19 00:00:00','003114000580000-311400058','003114000580000-311400058','窄谱紫外线治疗',null,null,22,20,17,null,18,17,15,'次',21,1,'normal','main',0),</v>
      </c>
    </row>
    <row r="11" ht="15.75" spans="1:23">
      <c r="A11">
        <v>1480</v>
      </c>
      <c r="B11" s="7" t="s">
        <v>573</v>
      </c>
      <c r="C11" s="7">
        <v>1</v>
      </c>
      <c r="D11" s="8" t="s">
        <v>574</v>
      </c>
      <c r="E11" t="s">
        <v>154</v>
      </c>
      <c r="F11" t="s">
        <v>154</v>
      </c>
      <c r="G11" t="s">
        <v>155</v>
      </c>
      <c r="H11" s="7" t="s">
        <v>573</v>
      </c>
      <c r="I11" s="7" t="s">
        <v>573</v>
      </c>
      <c r="J11">
        <v>66</v>
      </c>
      <c r="K11">
        <v>60</v>
      </c>
      <c r="L11">
        <v>51</v>
      </c>
      <c r="M11" s="7" t="s">
        <v>573</v>
      </c>
      <c r="N11">
        <v>18</v>
      </c>
      <c r="O11">
        <v>17</v>
      </c>
      <c r="P11">
        <v>15</v>
      </c>
      <c r="Q11" t="s">
        <v>35</v>
      </c>
      <c r="R11">
        <v>21</v>
      </c>
      <c r="S11">
        <v>1</v>
      </c>
      <c r="T11" s="7" t="s">
        <v>577</v>
      </c>
      <c r="U11" s="7" t="s">
        <v>578</v>
      </c>
      <c r="V11" s="9">
        <v>0</v>
      </c>
      <c r="W11" s="10" t="str">
        <f t="shared" si="0"/>
        <v>(1480,null,1,'2026-03-19 00:00:00','003114000580000-31140005801','003114000580000-31140005801','窄谱紫外线治疗（全身照射）',null,null,66,60,51,null,18,17,15,'次',21,1,'normal','main',0),</v>
      </c>
    </row>
    <row r="12" ht="15.75" spans="1:23">
      <c r="A12">
        <v>1481</v>
      </c>
      <c r="B12" s="7" t="s">
        <v>573</v>
      </c>
      <c r="C12" s="7">
        <v>1</v>
      </c>
      <c r="D12" s="8" t="s">
        <v>574</v>
      </c>
      <c r="E12" t="s">
        <v>161</v>
      </c>
      <c r="F12" t="s">
        <v>161</v>
      </c>
      <c r="G12" t="s">
        <v>162</v>
      </c>
      <c r="H12" s="7" t="s">
        <v>573</v>
      </c>
      <c r="I12" s="7" t="s">
        <v>573</v>
      </c>
      <c r="J12">
        <v>8</v>
      </c>
      <c r="K12">
        <v>8</v>
      </c>
      <c r="L12">
        <v>6.8</v>
      </c>
      <c r="M12" s="7" t="s">
        <v>573</v>
      </c>
      <c r="N12">
        <v>14</v>
      </c>
      <c r="O12">
        <v>13</v>
      </c>
      <c r="P12">
        <v>12</v>
      </c>
      <c r="Q12" t="s">
        <v>119</v>
      </c>
      <c r="R12">
        <v>21</v>
      </c>
      <c r="S12">
        <v>1</v>
      </c>
      <c r="T12" s="7" t="s">
        <v>577</v>
      </c>
      <c r="U12" s="7" t="s">
        <v>578</v>
      </c>
      <c r="V12" s="9">
        <v>0</v>
      </c>
      <c r="W12" s="10" t="str">
        <f t="shared" si="0"/>
        <v>(1481,null,1,'2026-03-19 00:00:00','003401000020000-340100002','003401000020000-340100002','可见光治疗',null,null,8,8,6.8,null,14,13,12,'每个照射区',21,1,'normal','main',0),</v>
      </c>
    </row>
    <row r="13" ht="15.75" spans="1:23">
      <c r="A13">
        <v>1482</v>
      </c>
      <c r="B13" s="7" t="s">
        <v>573</v>
      </c>
      <c r="C13" s="7">
        <v>1</v>
      </c>
      <c r="D13" s="8" t="s">
        <v>574</v>
      </c>
      <c r="E13" t="s">
        <v>164</v>
      </c>
      <c r="F13" t="s">
        <v>164</v>
      </c>
      <c r="G13" t="s">
        <v>165</v>
      </c>
      <c r="H13" s="7" t="s">
        <v>573</v>
      </c>
      <c r="I13" s="7" t="s">
        <v>573</v>
      </c>
      <c r="J13">
        <v>27.5</v>
      </c>
      <c r="K13">
        <v>25</v>
      </c>
      <c r="L13">
        <v>21.3</v>
      </c>
      <c r="M13" s="7" t="s">
        <v>573</v>
      </c>
      <c r="N13">
        <v>14</v>
      </c>
      <c r="O13">
        <v>13</v>
      </c>
      <c r="P13">
        <v>12</v>
      </c>
      <c r="Q13" t="s">
        <v>145</v>
      </c>
      <c r="R13">
        <v>21</v>
      </c>
      <c r="S13">
        <v>1</v>
      </c>
      <c r="T13" s="7" t="s">
        <v>577</v>
      </c>
      <c r="U13" s="7" t="s">
        <v>578</v>
      </c>
      <c r="V13" s="9">
        <v>0</v>
      </c>
      <c r="W13" s="10" t="str">
        <f t="shared" si="0"/>
        <v>(1482,null,1,'2026-03-19 00:00:00','003114000160000-311400016','003114000160000-311400016','红光治疗',null,null,27.5,25,21.3,null,14,13,12,'每个部位',21,1,'normal','main',0),</v>
      </c>
    </row>
    <row r="14" spans="1:23">
      <c r="A14">
        <v>1483</v>
      </c>
      <c r="B14" s="7" t="s">
        <v>573</v>
      </c>
      <c r="C14" s="7">
        <v>1</v>
      </c>
      <c r="D14" s="8" t="s">
        <v>574</v>
      </c>
      <c r="E14" t="s">
        <v>170</v>
      </c>
      <c r="F14" t="s">
        <v>170</v>
      </c>
      <c r="G14" t="s">
        <v>171</v>
      </c>
      <c r="H14" s="7" t="s">
        <v>573</v>
      </c>
      <c r="I14" s="7" t="s">
        <v>573</v>
      </c>
      <c r="J14">
        <v>10</v>
      </c>
      <c r="K14">
        <v>10</v>
      </c>
      <c r="L14">
        <v>8.5</v>
      </c>
      <c r="M14" s="7" t="s">
        <v>573</v>
      </c>
      <c r="N14">
        <v>14</v>
      </c>
      <c r="O14">
        <v>13</v>
      </c>
      <c r="P14">
        <v>12</v>
      </c>
      <c r="Q14" t="s">
        <v>119</v>
      </c>
      <c r="R14">
        <v>21</v>
      </c>
      <c r="S14">
        <v>1</v>
      </c>
      <c r="T14" s="7" t="s">
        <v>577</v>
      </c>
      <c r="U14" t="s">
        <v>576</v>
      </c>
      <c r="V14">
        <v>1</v>
      </c>
      <c r="W14" s="10" t="str">
        <f t="shared" si="0"/>
        <v>(1483,null,1,'2026-03-19 00:00:00','003401000010000-340100001','003401000010000-340100001','红外线治疗',null,null,10,10,8.5,null,14,13,12,'每个照射区',21,1,'normal','limit',1),</v>
      </c>
    </row>
    <row r="15" spans="1:23">
      <c r="A15">
        <v>1484</v>
      </c>
      <c r="B15" s="7" t="s">
        <v>573</v>
      </c>
      <c r="C15" s="7">
        <v>1</v>
      </c>
      <c r="D15" s="8" t="s">
        <v>574</v>
      </c>
      <c r="E15" t="s">
        <v>174</v>
      </c>
      <c r="F15" t="s">
        <v>174</v>
      </c>
      <c r="G15" t="s">
        <v>175</v>
      </c>
      <c r="H15" s="7" t="s">
        <v>573</v>
      </c>
      <c r="I15" s="7" t="s">
        <v>573</v>
      </c>
      <c r="J15">
        <v>10.5</v>
      </c>
      <c r="K15">
        <v>10</v>
      </c>
      <c r="L15">
        <v>8.5</v>
      </c>
      <c r="M15" s="7" t="s">
        <v>573</v>
      </c>
      <c r="N15">
        <v>14</v>
      </c>
      <c r="O15">
        <v>13</v>
      </c>
      <c r="P15">
        <v>12</v>
      </c>
      <c r="Q15" t="s">
        <v>45</v>
      </c>
      <c r="R15">
        <v>21</v>
      </c>
      <c r="S15">
        <v>1</v>
      </c>
      <c r="T15" s="7" t="s">
        <v>577</v>
      </c>
      <c r="U15" t="s">
        <v>576</v>
      </c>
      <c r="V15">
        <v>1</v>
      </c>
      <c r="W15" s="10" t="str">
        <f t="shared" si="0"/>
        <v>(1484,null,1,'2026-03-19 00:00:00','003105140030000-310514003','003105140030000-310514003','口腔粘膜病特殊治疗',null,null,10.5,10,8.5,null,14,13,12,'每部位',21,1,'normal','limit',1),</v>
      </c>
    </row>
    <row r="16" spans="1:23">
      <c r="A16">
        <v>1485</v>
      </c>
      <c r="B16" s="7" t="s">
        <v>573</v>
      </c>
      <c r="C16" s="7">
        <v>1</v>
      </c>
      <c r="D16" s="8" t="s">
        <v>574</v>
      </c>
      <c r="E16" t="s">
        <v>177</v>
      </c>
      <c r="F16" t="s">
        <v>177</v>
      </c>
      <c r="G16" t="s">
        <v>178</v>
      </c>
      <c r="H16" s="7" t="s">
        <v>573</v>
      </c>
      <c r="I16" s="7" t="s">
        <v>573</v>
      </c>
      <c r="J16">
        <v>15.8</v>
      </c>
      <c r="K16">
        <v>15</v>
      </c>
      <c r="L16">
        <v>12.8</v>
      </c>
      <c r="M16" s="7" t="s">
        <v>573</v>
      </c>
      <c r="N16">
        <v>14</v>
      </c>
      <c r="O16">
        <v>13</v>
      </c>
      <c r="P16">
        <v>12</v>
      </c>
      <c r="Q16" t="s">
        <v>45</v>
      </c>
      <c r="R16">
        <v>21</v>
      </c>
      <c r="S16">
        <v>1</v>
      </c>
      <c r="T16" s="7" t="s">
        <v>577</v>
      </c>
      <c r="U16" t="s">
        <v>576</v>
      </c>
      <c r="V16">
        <v>1</v>
      </c>
      <c r="W16" s="10" t="str">
        <f t="shared" si="0"/>
        <v>(1485,null,1,'2026-03-19 00:00:00','003105140030100-31051400301','003105140030100-31051400301','口腔粘膜病特殊治疗（冷冻法、红外线法、微波法、频谱法）',null,null,15.8,15,12.8,null,14,13,12,'每部位',21,1,'normal','limit',1),</v>
      </c>
    </row>
    <row r="17" ht="15.75" spans="1:23">
      <c r="A17">
        <v>1486</v>
      </c>
      <c r="B17" s="7" t="s">
        <v>573</v>
      </c>
      <c r="C17" s="7">
        <v>1</v>
      </c>
      <c r="D17" s="8" t="s">
        <v>574</v>
      </c>
      <c r="E17" t="s">
        <v>180</v>
      </c>
      <c r="F17" t="s">
        <v>180</v>
      </c>
      <c r="G17" t="s">
        <v>181</v>
      </c>
      <c r="H17" s="7" t="s">
        <v>573</v>
      </c>
      <c r="I17" s="7" t="s">
        <v>573</v>
      </c>
      <c r="J17">
        <v>10</v>
      </c>
      <c r="K17">
        <v>10</v>
      </c>
      <c r="L17">
        <v>8.5</v>
      </c>
      <c r="M17" s="7" t="s">
        <v>573</v>
      </c>
      <c r="N17">
        <v>14</v>
      </c>
      <c r="O17">
        <v>13</v>
      </c>
      <c r="P17">
        <v>12</v>
      </c>
      <c r="Q17" t="s">
        <v>119</v>
      </c>
      <c r="R17">
        <v>21</v>
      </c>
      <c r="S17">
        <v>1</v>
      </c>
      <c r="T17" s="7" t="s">
        <v>577</v>
      </c>
      <c r="U17" s="7" t="s">
        <v>578</v>
      </c>
      <c r="V17" s="9">
        <v>0</v>
      </c>
      <c r="W17" s="10" t="str">
        <f t="shared" si="0"/>
        <v>(1486,null,1,'2026-03-19 00:00:00','003401000030000-340100003','003401000030000-340100003','偏振光照射',null,null,10,10,8.5,null,14,13,12,'每个照射区',21,1,'normal','main',0),</v>
      </c>
    </row>
    <row r="18" ht="15.75" spans="1:23">
      <c r="A18">
        <v>1487</v>
      </c>
      <c r="B18" s="7" t="s">
        <v>573</v>
      </c>
      <c r="C18" s="7">
        <v>1</v>
      </c>
      <c r="D18" s="8" t="s">
        <v>574</v>
      </c>
      <c r="E18" t="s">
        <v>186</v>
      </c>
      <c r="F18" t="s">
        <v>186</v>
      </c>
      <c r="G18" t="s">
        <v>187</v>
      </c>
      <c r="H18" s="7" t="s">
        <v>573</v>
      </c>
      <c r="I18" s="7" t="s">
        <v>573</v>
      </c>
      <c r="J18">
        <v>15</v>
      </c>
      <c r="K18">
        <v>15</v>
      </c>
      <c r="L18">
        <v>12.8</v>
      </c>
      <c r="M18" s="7" t="s">
        <v>573</v>
      </c>
      <c r="N18">
        <v>19</v>
      </c>
      <c r="O18">
        <v>18</v>
      </c>
      <c r="P18">
        <v>16</v>
      </c>
      <c r="Q18" t="s">
        <v>119</v>
      </c>
      <c r="R18">
        <v>21</v>
      </c>
      <c r="S18">
        <v>1</v>
      </c>
      <c r="T18" s="7" t="s">
        <v>577</v>
      </c>
      <c r="U18" s="7" t="s">
        <v>578</v>
      </c>
      <c r="V18" s="9">
        <v>0</v>
      </c>
      <c r="W18" s="10" t="str">
        <f t="shared" si="0"/>
        <v>(1487,null,1,'2026-03-19 00:00:00','003401000050000-340100005','003401000050000-340100005','激光疗法',null,null,15,15,12.8,null,19,18,16,'每个照射区',21,1,'normal','main',0),</v>
      </c>
    </row>
    <row r="19" ht="15.75" spans="1:23">
      <c r="A19">
        <v>1488</v>
      </c>
      <c r="B19" s="7" t="s">
        <v>573</v>
      </c>
      <c r="C19" s="7">
        <v>1</v>
      </c>
      <c r="D19" s="8" t="s">
        <v>574</v>
      </c>
      <c r="E19" t="s">
        <v>189</v>
      </c>
      <c r="F19" t="s">
        <v>189</v>
      </c>
      <c r="G19" t="s">
        <v>190</v>
      </c>
      <c r="H19" s="7" t="s">
        <v>573</v>
      </c>
      <c r="I19" s="7" t="s">
        <v>573</v>
      </c>
      <c r="J19">
        <v>0</v>
      </c>
      <c r="K19">
        <v>0</v>
      </c>
      <c r="L19">
        <v>0</v>
      </c>
      <c r="M19" s="7" t="s">
        <v>573</v>
      </c>
      <c r="N19">
        <v>19</v>
      </c>
      <c r="O19">
        <v>18</v>
      </c>
      <c r="P19">
        <v>16</v>
      </c>
      <c r="Q19" t="s">
        <v>35</v>
      </c>
      <c r="R19">
        <v>21</v>
      </c>
      <c r="S19">
        <v>1</v>
      </c>
      <c r="T19" s="7" t="s">
        <v>577</v>
      </c>
      <c r="U19" s="7" t="s">
        <v>578</v>
      </c>
      <c r="V19" s="9">
        <v>0</v>
      </c>
      <c r="W19" s="10" t="str">
        <f t="shared" si="0"/>
        <v>(1488,null,1,'2026-03-19 00:00:00','003103000840000-310300084','003103000840000-310300084','低功率氦-氖激光治疗',null,null,0,0,0,null,19,18,16,'次',21,1,'normal','main',0),</v>
      </c>
    </row>
    <row r="20" ht="15.75" spans="1:23">
      <c r="A20">
        <v>1489</v>
      </c>
      <c r="B20" s="7" t="s">
        <v>573</v>
      </c>
      <c r="C20" s="7">
        <v>1</v>
      </c>
      <c r="D20" s="8" t="s">
        <v>574</v>
      </c>
      <c r="E20" t="s">
        <v>192</v>
      </c>
      <c r="F20" t="s">
        <v>192</v>
      </c>
      <c r="G20" t="s">
        <v>193</v>
      </c>
      <c r="H20" s="7" t="s">
        <v>573</v>
      </c>
      <c r="I20" s="7" t="s">
        <v>573</v>
      </c>
      <c r="J20">
        <v>0</v>
      </c>
      <c r="K20">
        <v>0</v>
      </c>
      <c r="L20">
        <v>0</v>
      </c>
      <c r="M20" s="7" t="s">
        <v>573</v>
      </c>
      <c r="N20">
        <v>19</v>
      </c>
      <c r="O20">
        <v>18</v>
      </c>
      <c r="P20">
        <v>16</v>
      </c>
      <c r="Q20" t="s">
        <v>35</v>
      </c>
      <c r="R20">
        <v>21</v>
      </c>
      <c r="S20">
        <v>1</v>
      </c>
      <c r="T20" s="7" t="s">
        <v>577</v>
      </c>
      <c r="U20" s="7" t="s">
        <v>578</v>
      </c>
      <c r="V20" s="9">
        <v>0</v>
      </c>
      <c r="W20" s="10" t="str">
        <f t="shared" si="0"/>
        <v>(1489,null,1,'2026-03-19 00:00:00','003103000840100-31030008401','003103000840100-31030008401','低功率氦-氖激光治疗（温热激光）',null,null,0,0,0,null,19,18,16,'次',21,1,'normal','main',0),</v>
      </c>
    </row>
    <row r="21" ht="15.75" spans="1:23">
      <c r="A21">
        <v>1490</v>
      </c>
      <c r="B21" s="7" t="s">
        <v>573</v>
      </c>
      <c r="C21" s="7">
        <v>1</v>
      </c>
      <c r="D21" s="8" t="s">
        <v>574</v>
      </c>
      <c r="E21" t="s">
        <v>200</v>
      </c>
      <c r="F21" t="s">
        <v>200</v>
      </c>
      <c r="G21" t="s">
        <v>201</v>
      </c>
      <c r="H21" s="7" t="s">
        <v>573</v>
      </c>
      <c r="I21" s="7" t="s">
        <v>573</v>
      </c>
      <c r="J21">
        <v>15.8</v>
      </c>
      <c r="K21">
        <v>15</v>
      </c>
      <c r="L21">
        <v>12.8</v>
      </c>
      <c r="M21" s="7" t="s">
        <v>573</v>
      </c>
      <c r="N21">
        <v>24</v>
      </c>
      <c r="O21">
        <v>22</v>
      </c>
      <c r="P21">
        <v>20</v>
      </c>
      <c r="Q21" t="s">
        <v>45</v>
      </c>
      <c r="R21">
        <v>21</v>
      </c>
      <c r="S21">
        <v>1</v>
      </c>
      <c r="T21" s="7" t="s">
        <v>577</v>
      </c>
      <c r="U21" s="7" t="s">
        <v>578</v>
      </c>
      <c r="V21" s="9">
        <v>0</v>
      </c>
      <c r="W21" s="10" t="str">
        <f t="shared" si="0"/>
        <v>(1490,null,1,'2026-03-19 00:00:00','003105100080000-310510008','003105100080000-310510008','激光口内治疗',null,null,15.8,15,12.8,null,24,22,20,'每部位',21,1,'normal','main',0),</v>
      </c>
    </row>
    <row r="22" ht="15.75" spans="1:23">
      <c r="A22">
        <v>1491</v>
      </c>
      <c r="B22" s="7" t="s">
        <v>573</v>
      </c>
      <c r="C22" s="7">
        <v>1</v>
      </c>
      <c r="D22" s="8" t="s">
        <v>574</v>
      </c>
      <c r="E22" t="s">
        <v>204</v>
      </c>
      <c r="F22" t="s">
        <v>204</v>
      </c>
      <c r="G22" t="s">
        <v>205</v>
      </c>
      <c r="H22" s="7" t="s">
        <v>573</v>
      </c>
      <c r="I22" s="7" t="s">
        <v>573</v>
      </c>
      <c r="J22">
        <v>15.8</v>
      </c>
      <c r="K22">
        <v>15</v>
      </c>
      <c r="L22">
        <v>12.8</v>
      </c>
      <c r="M22" s="7" t="s">
        <v>573</v>
      </c>
      <c r="N22">
        <v>24</v>
      </c>
      <c r="O22">
        <v>22</v>
      </c>
      <c r="P22">
        <v>20</v>
      </c>
      <c r="Q22" t="s">
        <v>45</v>
      </c>
      <c r="R22">
        <v>21</v>
      </c>
      <c r="S22">
        <v>1</v>
      </c>
      <c r="T22" s="7" t="s">
        <v>577</v>
      </c>
      <c r="U22" s="7" t="s">
        <v>578</v>
      </c>
      <c r="V22" s="9">
        <v>0</v>
      </c>
      <c r="W22" s="10" t="str">
        <f t="shared" si="0"/>
        <v>(1491,null,1,'2026-03-19 00:00:00','003105100080100-31051000801','003105100080100-31051000801','激光口内治疗（根管处置）',null,null,15.8,15,12.8,null,24,22,20,'每部位',21,1,'normal','main',0),</v>
      </c>
    </row>
    <row r="23" ht="15.75" spans="1:23">
      <c r="A23">
        <v>1492</v>
      </c>
      <c r="B23" s="7" t="s">
        <v>573</v>
      </c>
      <c r="C23" s="7">
        <v>1</v>
      </c>
      <c r="D23" s="8" t="s">
        <v>574</v>
      </c>
      <c r="E23" t="s">
        <v>207</v>
      </c>
      <c r="F23" t="s">
        <v>207</v>
      </c>
      <c r="G23" t="s">
        <v>208</v>
      </c>
      <c r="H23" s="7" t="s">
        <v>573</v>
      </c>
      <c r="I23" s="7" t="s">
        <v>573</v>
      </c>
      <c r="J23">
        <v>15.8</v>
      </c>
      <c r="K23">
        <v>15</v>
      </c>
      <c r="L23">
        <v>12.8</v>
      </c>
      <c r="M23" s="7" t="s">
        <v>573</v>
      </c>
      <c r="N23">
        <v>24</v>
      </c>
      <c r="O23">
        <v>22</v>
      </c>
      <c r="P23">
        <v>20</v>
      </c>
      <c r="Q23" t="s">
        <v>45</v>
      </c>
      <c r="R23">
        <v>21</v>
      </c>
      <c r="S23">
        <v>1</v>
      </c>
      <c r="T23" s="7" t="s">
        <v>577</v>
      </c>
      <c r="U23" s="7" t="s">
        <v>578</v>
      </c>
      <c r="V23" s="9">
        <v>0</v>
      </c>
      <c r="W23" s="10" t="str">
        <f t="shared" si="0"/>
        <v>(1492,null,1,'2026-03-19 00:00:00','003105100080200-31051000802','003105100080200-31051000802','激光口内治疗（牙周处置）',null,null,15.8,15,12.8,null,24,22,20,'每部位',21,1,'normal','main',0),</v>
      </c>
    </row>
    <row r="24" ht="15.75" spans="1:23">
      <c r="A24">
        <v>1493</v>
      </c>
      <c r="B24" s="7" t="s">
        <v>573</v>
      </c>
      <c r="C24" s="7">
        <v>1</v>
      </c>
      <c r="D24" s="8" t="s">
        <v>574</v>
      </c>
      <c r="E24" t="s">
        <v>210</v>
      </c>
      <c r="F24" t="s">
        <v>210</v>
      </c>
      <c r="G24" t="s">
        <v>211</v>
      </c>
      <c r="H24" s="7" t="s">
        <v>573</v>
      </c>
      <c r="I24" s="7" t="s">
        <v>573</v>
      </c>
      <c r="J24">
        <v>15.8</v>
      </c>
      <c r="K24">
        <v>15</v>
      </c>
      <c r="L24">
        <v>12.8</v>
      </c>
      <c r="M24" s="7" t="s">
        <v>573</v>
      </c>
      <c r="N24">
        <v>24</v>
      </c>
      <c r="O24">
        <v>22</v>
      </c>
      <c r="P24">
        <v>20</v>
      </c>
      <c r="Q24" t="s">
        <v>45</v>
      </c>
      <c r="R24">
        <v>21</v>
      </c>
      <c r="S24">
        <v>1</v>
      </c>
      <c r="T24" s="7" t="s">
        <v>577</v>
      </c>
      <c r="U24" s="7" t="s">
        <v>578</v>
      </c>
      <c r="V24" s="9">
        <v>0</v>
      </c>
      <c r="W24" s="10" t="str">
        <f t="shared" si="0"/>
        <v>(1493,null,1,'2026-03-19 00:00:00','003105100080000-31051000803','003105100080000-31051000803','激光口内治疗（各种斑、痣、小肿物、溃疡治疗）',null,null,15.8,15,12.8,null,24,22,20,'每部位',21,1,'normal','main',0),</v>
      </c>
    </row>
    <row r="25" ht="15.75" spans="1:23">
      <c r="A25">
        <v>1494</v>
      </c>
      <c r="B25" s="7" t="s">
        <v>573</v>
      </c>
      <c r="C25" s="7">
        <v>1</v>
      </c>
      <c r="D25" s="8" t="s">
        <v>574</v>
      </c>
      <c r="E25" t="s">
        <v>213</v>
      </c>
      <c r="F25" t="s">
        <v>213</v>
      </c>
      <c r="G25" t="s">
        <v>214</v>
      </c>
      <c r="H25" s="7" t="s">
        <v>573</v>
      </c>
      <c r="I25" s="7" t="s">
        <v>573</v>
      </c>
      <c r="J25">
        <v>7.9</v>
      </c>
      <c r="K25">
        <v>7.5</v>
      </c>
      <c r="L25">
        <v>6.4</v>
      </c>
      <c r="M25" s="7" t="s">
        <v>573</v>
      </c>
      <c r="N25">
        <v>24</v>
      </c>
      <c r="O25">
        <v>22</v>
      </c>
      <c r="P25">
        <v>20</v>
      </c>
      <c r="Q25" t="s">
        <v>45</v>
      </c>
      <c r="R25">
        <v>21</v>
      </c>
      <c r="S25">
        <v>1</v>
      </c>
      <c r="T25" s="7" t="s">
        <v>577</v>
      </c>
      <c r="U25" s="7" t="s">
        <v>578</v>
      </c>
      <c r="V25" s="9">
        <v>0</v>
      </c>
      <c r="W25" s="10" t="str">
        <f t="shared" si="0"/>
        <v>(1494,null,1,'2026-03-19 00:00:00','003105100080001-31051000804','003105100080001-31051000804','激光口内治疗（病变范围增大加收）',null,null,7.9,7.5,6.4,null,24,22,20,'每部位',21,1,'normal','main',0),</v>
      </c>
    </row>
    <row r="26" ht="15.75" spans="1:23">
      <c r="A26">
        <v>1495</v>
      </c>
      <c r="B26" s="7" t="s">
        <v>573</v>
      </c>
      <c r="C26" s="7">
        <v>1</v>
      </c>
      <c r="D26" s="8" t="s">
        <v>574</v>
      </c>
      <c r="E26" t="s">
        <v>216</v>
      </c>
      <c r="F26" t="s">
        <v>216</v>
      </c>
      <c r="G26" t="s">
        <v>217</v>
      </c>
      <c r="H26" s="7" t="s">
        <v>573</v>
      </c>
      <c r="I26" s="7" t="s">
        <v>573</v>
      </c>
      <c r="J26">
        <v>27.5</v>
      </c>
      <c r="K26">
        <v>25</v>
      </c>
      <c r="L26">
        <v>21.3</v>
      </c>
      <c r="M26" s="7" t="s">
        <v>573</v>
      </c>
      <c r="N26">
        <v>24</v>
      </c>
      <c r="O26">
        <v>22</v>
      </c>
      <c r="P26">
        <v>20</v>
      </c>
      <c r="Q26" t="s">
        <v>219</v>
      </c>
      <c r="R26">
        <v>21</v>
      </c>
      <c r="S26">
        <v>1</v>
      </c>
      <c r="T26" s="7" t="s">
        <v>577</v>
      </c>
      <c r="U26" s="7" t="s">
        <v>578</v>
      </c>
      <c r="V26" s="9">
        <v>0</v>
      </c>
      <c r="W26" s="10" t="str">
        <f t="shared" si="0"/>
        <v>(1495,null,1,'2026-03-19 00:00:00','003114000320000-311400032','003114000320000-311400032','脉冲激光治疗',null,null,27.5,25,21.3,null,24,22,20,'0.1cm2',21,1,'normal','main',0),</v>
      </c>
    </row>
    <row r="27" ht="15.75" spans="1:23">
      <c r="A27">
        <v>1496</v>
      </c>
      <c r="B27" s="7" t="s">
        <v>573</v>
      </c>
      <c r="C27" s="7">
        <v>1</v>
      </c>
      <c r="D27" s="8" t="s">
        <v>574</v>
      </c>
      <c r="E27" t="s">
        <v>220</v>
      </c>
      <c r="F27" t="s">
        <v>220</v>
      </c>
      <c r="G27" t="s">
        <v>221</v>
      </c>
      <c r="H27" s="7" t="s">
        <v>573</v>
      </c>
      <c r="I27" s="7" t="s">
        <v>573</v>
      </c>
      <c r="J27">
        <v>27.5</v>
      </c>
      <c r="K27">
        <v>25</v>
      </c>
      <c r="L27">
        <v>21.3</v>
      </c>
      <c r="M27" s="7" t="s">
        <v>573</v>
      </c>
      <c r="N27">
        <v>24</v>
      </c>
      <c r="O27">
        <v>22</v>
      </c>
      <c r="P27">
        <v>20</v>
      </c>
      <c r="Q27" t="s">
        <v>109</v>
      </c>
      <c r="R27">
        <v>21</v>
      </c>
      <c r="S27">
        <v>1</v>
      </c>
      <c r="T27" s="7" t="s">
        <v>577</v>
      </c>
      <c r="U27" s="7" t="s">
        <v>578</v>
      </c>
      <c r="V27" s="9">
        <v>0</v>
      </c>
      <c r="W27" s="10" t="str">
        <f t="shared" si="0"/>
        <v>(1496,null,1,'2026-03-19 00:00:00','003114000330000-311400033','003114000330000-311400033','二氧化碳（CO2）激光治疗',null,null,27.5,25,21.3,null,24,22,20,'每个皮损',21,1,'normal','main',0),</v>
      </c>
    </row>
    <row r="28" ht="15.75" spans="1:23">
      <c r="A28">
        <v>1497</v>
      </c>
      <c r="B28" s="7" t="s">
        <v>573</v>
      </c>
      <c r="C28" s="7">
        <v>1</v>
      </c>
      <c r="D28" s="8" t="s">
        <v>574</v>
      </c>
      <c r="E28" t="s">
        <v>223</v>
      </c>
      <c r="F28" t="s">
        <v>223</v>
      </c>
      <c r="G28" t="s">
        <v>224</v>
      </c>
      <c r="H28" s="7" t="s">
        <v>573</v>
      </c>
      <c r="I28" s="7" t="s">
        <v>573</v>
      </c>
      <c r="J28">
        <v>33</v>
      </c>
      <c r="K28">
        <v>30</v>
      </c>
      <c r="L28">
        <v>25.5</v>
      </c>
      <c r="M28" s="7" t="s">
        <v>573</v>
      </c>
      <c r="N28">
        <v>24</v>
      </c>
      <c r="O28">
        <v>22</v>
      </c>
      <c r="P28">
        <v>20</v>
      </c>
      <c r="Q28" t="s">
        <v>109</v>
      </c>
      <c r="R28">
        <v>21</v>
      </c>
      <c r="S28">
        <v>1</v>
      </c>
      <c r="T28" s="7" t="s">
        <v>577</v>
      </c>
      <c r="U28" s="7" t="s">
        <v>578</v>
      </c>
      <c r="V28" s="9">
        <v>0</v>
      </c>
      <c r="W28" s="10" t="str">
        <f t="shared" si="0"/>
        <v>(1497,null,1,'2026-03-19 00:00:00','003114000370000-311400037','003114000370000-311400037','氩激光治疗',null,null,33,30,25.5,null,24,22,20,'每个皮损',21,1,'normal','main',0),</v>
      </c>
    </row>
    <row r="29" ht="15.75" spans="1:23">
      <c r="A29">
        <v>1498</v>
      </c>
      <c r="B29" s="7" t="s">
        <v>573</v>
      </c>
      <c r="C29" s="7">
        <v>1</v>
      </c>
      <c r="D29" s="8" t="s">
        <v>574</v>
      </c>
      <c r="E29" t="s">
        <v>226</v>
      </c>
      <c r="F29" t="s">
        <v>226</v>
      </c>
      <c r="G29" t="s">
        <v>227</v>
      </c>
      <c r="H29" s="7" t="s">
        <v>573</v>
      </c>
      <c r="I29" s="7" t="s">
        <v>573</v>
      </c>
      <c r="J29">
        <v>0</v>
      </c>
      <c r="K29">
        <v>0</v>
      </c>
      <c r="L29">
        <v>0</v>
      </c>
      <c r="M29" s="7" t="s">
        <v>573</v>
      </c>
      <c r="N29">
        <v>24</v>
      </c>
      <c r="O29">
        <v>22</v>
      </c>
      <c r="P29">
        <v>20</v>
      </c>
      <c r="Q29" t="s">
        <v>228</v>
      </c>
      <c r="R29">
        <v>21</v>
      </c>
      <c r="S29">
        <v>1</v>
      </c>
      <c r="T29" s="7" t="s">
        <v>577</v>
      </c>
      <c r="U29" s="7" t="s">
        <v>578</v>
      </c>
      <c r="V29" s="9">
        <v>0</v>
      </c>
      <c r="W29" s="10" t="str">
        <f t="shared" si="0"/>
        <v>(1498,null,1,'2026-03-19 00:00:00','003114000380000-311400038','003114000380000-311400038','激光治疗腋臭',null,null,0,0,0,null,24,22,20,'单侧',21,1,'normal','main',0),</v>
      </c>
    </row>
    <row r="30" ht="15.75" spans="1:23">
      <c r="A30">
        <v>1499</v>
      </c>
      <c r="B30" s="7" t="s">
        <v>573</v>
      </c>
      <c r="C30" s="7">
        <v>1</v>
      </c>
      <c r="D30" s="8" t="s">
        <v>574</v>
      </c>
      <c r="E30" t="s">
        <v>230</v>
      </c>
      <c r="F30" t="s">
        <v>230</v>
      </c>
      <c r="G30" t="s">
        <v>231</v>
      </c>
      <c r="H30" s="7" t="s">
        <v>573</v>
      </c>
      <c r="I30" s="7" t="s">
        <v>573</v>
      </c>
      <c r="J30">
        <v>44</v>
      </c>
      <c r="K30">
        <v>40</v>
      </c>
      <c r="L30">
        <v>34</v>
      </c>
      <c r="M30" s="7" t="s">
        <v>573</v>
      </c>
      <c r="N30">
        <v>24</v>
      </c>
      <c r="O30">
        <v>22</v>
      </c>
      <c r="P30">
        <v>20</v>
      </c>
      <c r="Q30" t="s">
        <v>145</v>
      </c>
      <c r="R30">
        <v>21</v>
      </c>
      <c r="S30">
        <v>1</v>
      </c>
      <c r="T30" s="7" t="s">
        <v>577</v>
      </c>
      <c r="U30" s="7" t="s">
        <v>578</v>
      </c>
      <c r="V30" s="9">
        <v>0</v>
      </c>
      <c r="W30" s="10" t="str">
        <f t="shared" si="0"/>
        <v>(1499,null,1,'2026-03-19 00:00:00','003114000360000-311400036','003114000360000-311400036','氦氖（He-Ne）激光照射治疗',null,null,44,40,34,null,24,22,20,'每个部位',21,1,'normal','main',0),</v>
      </c>
    </row>
    <row r="31" ht="15.75" spans="1:23">
      <c r="A31">
        <v>1500</v>
      </c>
      <c r="B31" s="7" t="s">
        <v>573</v>
      </c>
      <c r="C31" s="7">
        <v>1</v>
      </c>
      <c r="D31" s="8" t="s">
        <v>574</v>
      </c>
      <c r="E31" t="s">
        <v>239</v>
      </c>
      <c r="F31" t="s">
        <v>239</v>
      </c>
      <c r="G31" t="s">
        <v>240</v>
      </c>
      <c r="H31" s="7" t="s">
        <v>573</v>
      </c>
      <c r="I31" s="7" t="s">
        <v>573</v>
      </c>
      <c r="J31">
        <v>10</v>
      </c>
      <c r="K31">
        <v>10</v>
      </c>
      <c r="L31">
        <v>8.5</v>
      </c>
      <c r="M31" s="7" t="s">
        <v>573</v>
      </c>
      <c r="N31">
        <v>9.5</v>
      </c>
      <c r="O31">
        <v>9</v>
      </c>
      <c r="P31">
        <v>8</v>
      </c>
      <c r="Q31" t="s">
        <v>242</v>
      </c>
      <c r="R31">
        <v>21</v>
      </c>
      <c r="S31">
        <v>1</v>
      </c>
      <c r="T31" s="7" t="s">
        <v>577</v>
      </c>
      <c r="U31" s="7" t="s">
        <v>578</v>
      </c>
      <c r="V31" s="9">
        <v>0</v>
      </c>
      <c r="W31" s="10" t="str">
        <f t="shared" si="0"/>
        <v>(1500,null,1,'2026-03-19 00:00:00','003401000190000-340100019','003401000190000-340100019','磁疗',null,null,10,10,8.5,null,9.5,9,8,'每20分钟',21,1,'normal','main',0),</v>
      </c>
    </row>
    <row r="32" ht="15.75" spans="1:23">
      <c r="A32">
        <v>1501</v>
      </c>
      <c r="B32" s="7" t="s">
        <v>573</v>
      </c>
      <c r="C32" s="7">
        <v>1</v>
      </c>
      <c r="D32" s="8" t="s">
        <v>574</v>
      </c>
      <c r="E32" t="s">
        <v>244</v>
      </c>
      <c r="F32" t="s">
        <v>244</v>
      </c>
      <c r="G32" t="s">
        <v>245</v>
      </c>
      <c r="H32" s="7" t="s">
        <v>573</v>
      </c>
      <c r="I32" s="7" t="s">
        <v>573</v>
      </c>
      <c r="J32">
        <v>15</v>
      </c>
      <c r="K32">
        <v>15</v>
      </c>
      <c r="L32">
        <v>12.8</v>
      </c>
      <c r="M32" s="7" t="s">
        <v>573</v>
      </c>
      <c r="N32">
        <v>19</v>
      </c>
      <c r="O32">
        <v>18</v>
      </c>
      <c r="P32">
        <v>16</v>
      </c>
      <c r="Q32" t="s">
        <v>246</v>
      </c>
      <c r="R32">
        <v>21</v>
      </c>
      <c r="S32">
        <v>1</v>
      </c>
      <c r="T32" s="7" t="s">
        <v>577</v>
      </c>
      <c r="U32" s="7" t="s">
        <v>578</v>
      </c>
      <c r="V32" s="9">
        <v>0</v>
      </c>
      <c r="W32" s="10" t="str">
        <f t="shared" si="0"/>
        <v>(1501,null,1,'2026-03-19 00:00:00','003401000190000-34010001901','003401000190000-34010001901','全身立体超磁治疗加收',null,null,15,15,12.8,null,19,18,16,'每20钟',21,1,'normal','main',0),</v>
      </c>
    </row>
    <row r="33" ht="15.75" spans="1:23">
      <c r="A33">
        <v>1502</v>
      </c>
      <c r="B33" s="7" t="s">
        <v>573</v>
      </c>
      <c r="C33" s="7">
        <v>1</v>
      </c>
      <c r="D33" s="8" t="s">
        <v>574</v>
      </c>
      <c r="E33" t="s">
        <v>247</v>
      </c>
      <c r="F33" t="s">
        <v>247</v>
      </c>
      <c r="G33" t="s">
        <v>248</v>
      </c>
      <c r="H33" s="7" t="s">
        <v>573</v>
      </c>
      <c r="I33" s="7" t="s">
        <v>573</v>
      </c>
      <c r="J33">
        <v>13</v>
      </c>
      <c r="K33">
        <v>12.5</v>
      </c>
      <c r="L33">
        <v>10.6</v>
      </c>
      <c r="M33" s="7" t="s">
        <v>573</v>
      </c>
      <c r="N33">
        <v>9.5</v>
      </c>
      <c r="O33">
        <v>9</v>
      </c>
      <c r="P33">
        <v>8</v>
      </c>
      <c r="Q33" t="s">
        <v>249</v>
      </c>
      <c r="R33">
        <v>21</v>
      </c>
      <c r="S33">
        <v>1</v>
      </c>
      <c r="T33" s="7" t="s">
        <v>577</v>
      </c>
      <c r="U33" s="7" t="s">
        <v>578</v>
      </c>
      <c r="V33" s="9">
        <v>0</v>
      </c>
      <c r="W33" s="10" t="str">
        <f t="shared" si="0"/>
        <v>(1502,null,1,'2026-03-19 00:00:00','004300000200000-430000020','004300000200000-430000020','磁热疗法',null,null,13,12.5,10.6,null,9.5,9,8,'二个穴位',21,1,'normal','main',0),</v>
      </c>
    </row>
    <row r="34" ht="15.75" spans="1:23">
      <c r="A34">
        <v>1503</v>
      </c>
      <c r="B34" s="7" t="s">
        <v>573</v>
      </c>
      <c r="C34" s="7">
        <v>1</v>
      </c>
      <c r="D34" s="8" t="s">
        <v>574</v>
      </c>
      <c r="E34" t="s">
        <v>250</v>
      </c>
      <c r="F34" t="s">
        <v>250</v>
      </c>
      <c r="G34" t="s">
        <v>251</v>
      </c>
      <c r="H34" s="7" t="s">
        <v>573</v>
      </c>
      <c r="I34" s="7" t="s">
        <v>573</v>
      </c>
      <c r="J34">
        <v>10</v>
      </c>
      <c r="K34">
        <v>10</v>
      </c>
      <c r="L34">
        <v>8.5</v>
      </c>
      <c r="M34" s="7" t="s">
        <v>573</v>
      </c>
      <c r="N34">
        <v>9.5</v>
      </c>
      <c r="O34">
        <v>9</v>
      </c>
      <c r="P34">
        <v>8</v>
      </c>
      <c r="Q34" t="s">
        <v>45</v>
      </c>
      <c r="R34">
        <v>21</v>
      </c>
      <c r="S34">
        <v>1</v>
      </c>
      <c r="T34" s="7" t="s">
        <v>577</v>
      </c>
      <c r="U34" s="7" t="s">
        <v>578</v>
      </c>
      <c r="V34" s="9">
        <v>0</v>
      </c>
      <c r="W34" s="10" t="str">
        <f t="shared" si="0"/>
        <v>(1503,null,1,'2026-03-19 00:00:00','003401000270000-340100027','003401000270000-340100027','场效应治疗',null,null,10,10,8.5,null,9.5,9,8,'每部位',21,1,'normal','main',0),</v>
      </c>
    </row>
    <row r="35" ht="15.75" spans="1:23">
      <c r="A35">
        <v>1504</v>
      </c>
      <c r="B35" s="7" t="s">
        <v>573</v>
      </c>
      <c r="C35" s="7">
        <v>1</v>
      </c>
      <c r="D35" s="8" t="s">
        <v>574</v>
      </c>
      <c r="E35" t="s">
        <v>256</v>
      </c>
      <c r="F35" t="s">
        <v>256</v>
      </c>
      <c r="G35" t="s">
        <v>257</v>
      </c>
      <c r="H35" s="7" t="s">
        <v>573</v>
      </c>
      <c r="I35" s="7" t="s">
        <v>573</v>
      </c>
      <c r="J35">
        <v>10</v>
      </c>
      <c r="K35">
        <v>10</v>
      </c>
      <c r="L35">
        <v>8.5</v>
      </c>
      <c r="M35" s="7" t="s">
        <v>573</v>
      </c>
      <c r="N35">
        <v>9.5</v>
      </c>
      <c r="O35">
        <v>9</v>
      </c>
      <c r="P35">
        <v>8</v>
      </c>
      <c r="Q35" t="s">
        <v>45</v>
      </c>
      <c r="R35">
        <v>21</v>
      </c>
      <c r="S35">
        <v>1</v>
      </c>
      <c r="T35" s="7" t="s">
        <v>577</v>
      </c>
      <c r="U35" s="7" t="s">
        <v>578</v>
      </c>
      <c r="V35" s="9">
        <v>0</v>
      </c>
      <c r="W35" s="10" t="str">
        <f t="shared" ref="W35:W66" si="1">"("&amp;A35&amp;","&amp;B35&amp;","&amp;C35&amp;",'"&amp;D35&amp;"','"&amp;E35&amp;"','"&amp;F35&amp;"','"&amp;G35&amp;"',"&amp;H35&amp;","&amp;I35&amp;","&amp;J35&amp;","&amp;K35&amp;","&amp;L35&amp;","&amp;M35&amp;","&amp;N35&amp;","&amp;O35&amp;","&amp;P35&amp;",'"&amp;Q35&amp;"',"&amp;R35&amp;","&amp;S35&amp;",'"&amp;T35&amp;"','"&amp;U35&amp;"',"&amp;V35&amp;"),"</f>
        <v>(1504,null,1,'2026-03-19 00:00:00','003401000210000-340100021','003401000210000-340100021','蜡疗',null,null,10,10,8.5,null,9.5,9,8,'每部位',21,1,'normal','main',0),</v>
      </c>
    </row>
    <row r="36" ht="15.75" spans="1:23">
      <c r="A36">
        <v>1505</v>
      </c>
      <c r="B36" s="7" t="s">
        <v>573</v>
      </c>
      <c r="C36" s="7">
        <v>1</v>
      </c>
      <c r="D36" s="8" t="s">
        <v>574</v>
      </c>
      <c r="E36" t="s">
        <v>259</v>
      </c>
      <c r="F36" t="s">
        <v>259</v>
      </c>
      <c r="G36" t="s">
        <v>260</v>
      </c>
      <c r="H36" s="7" t="s">
        <v>573</v>
      </c>
      <c r="I36" s="7" t="s">
        <v>573</v>
      </c>
      <c r="J36">
        <v>0</v>
      </c>
      <c r="K36">
        <v>0</v>
      </c>
      <c r="L36">
        <v>0</v>
      </c>
      <c r="M36" s="7" t="s">
        <v>573</v>
      </c>
      <c r="N36">
        <v>9.5</v>
      </c>
      <c r="O36">
        <v>9</v>
      </c>
      <c r="P36">
        <v>8</v>
      </c>
      <c r="Q36" t="s">
        <v>45</v>
      </c>
      <c r="R36">
        <v>21</v>
      </c>
      <c r="S36">
        <v>1</v>
      </c>
      <c r="T36" s="7" t="s">
        <v>577</v>
      </c>
      <c r="U36" s="7" t="s">
        <v>578</v>
      </c>
      <c r="V36" s="9">
        <v>0</v>
      </c>
      <c r="W36" s="10" t="str">
        <f t="shared" si="1"/>
        <v>(1505,null,1,'2026-03-19 00:00:00','003401000220000-340100022','003401000220000-340100022','泥疗',null,null,0,0,0,null,9.5,9,8,'每部位',21,1,'normal','main',0),</v>
      </c>
    </row>
    <row r="37" ht="15.75" spans="1:23">
      <c r="A37">
        <v>1506</v>
      </c>
      <c r="B37" s="7" t="s">
        <v>573</v>
      </c>
      <c r="C37" s="7">
        <v>1</v>
      </c>
      <c r="D37" s="8" t="s">
        <v>574</v>
      </c>
      <c r="E37" t="s">
        <v>263</v>
      </c>
      <c r="F37" t="s">
        <v>263</v>
      </c>
      <c r="G37" t="s">
        <v>264</v>
      </c>
      <c r="H37" s="7" t="s">
        <v>573</v>
      </c>
      <c r="I37" s="7" t="s">
        <v>573</v>
      </c>
      <c r="J37">
        <v>10</v>
      </c>
      <c r="K37">
        <v>10</v>
      </c>
      <c r="L37">
        <v>8.5</v>
      </c>
      <c r="M37" s="7" t="s">
        <v>573</v>
      </c>
      <c r="N37">
        <v>9.5</v>
      </c>
      <c r="O37">
        <v>9</v>
      </c>
      <c r="P37">
        <v>8</v>
      </c>
      <c r="Q37" t="s">
        <v>35</v>
      </c>
      <c r="R37">
        <v>21</v>
      </c>
      <c r="S37">
        <v>1</v>
      </c>
      <c r="T37" s="7" t="s">
        <v>577</v>
      </c>
      <c r="U37" s="7" t="s">
        <v>578</v>
      </c>
      <c r="V37" s="9">
        <v>0</v>
      </c>
      <c r="W37" s="10" t="str">
        <f t="shared" si="1"/>
        <v>(1506,null,1,'2026-03-19 00:00:00','003401000260000-340100026','003401000260000-340100026','电按摩',null,null,10,10,8.5,null,9.5,9,8,'次',21,1,'normal','main',0),</v>
      </c>
    </row>
    <row r="38" ht="15.75" spans="1:23">
      <c r="A38">
        <v>1507</v>
      </c>
      <c r="B38" s="7" t="s">
        <v>573</v>
      </c>
      <c r="C38" s="7">
        <v>1</v>
      </c>
      <c r="D38" s="8" t="s">
        <v>574</v>
      </c>
      <c r="E38" t="s">
        <v>271</v>
      </c>
      <c r="F38" t="s">
        <v>271</v>
      </c>
      <c r="G38" t="s">
        <v>272</v>
      </c>
      <c r="H38" s="7" t="s">
        <v>573</v>
      </c>
      <c r="I38" s="7" t="s">
        <v>573</v>
      </c>
      <c r="J38">
        <v>20</v>
      </c>
      <c r="K38">
        <v>20</v>
      </c>
      <c r="L38">
        <v>17</v>
      </c>
      <c r="M38" s="7" t="s">
        <v>573</v>
      </c>
      <c r="N38">
        <v>9.5</v>
      </c>
      <c r="O38">
        <v>9</v>
      </c>
      <c r="P38">
        <v>8</v>
      </c>
      <c r="Q38" t="s">
        <v>45</v>
      </c>
      <c r="R38">
        <v>21</v>
      </c>
      <c r="S38">
        <v>1</v>
      </c>
      <c r="T38" s="7" t="s">
        <v>577</v>
      </c>
      <c r="U38" s="7" t="s">
        <v>578</v>
      </c>
      <c r="V38" s="9">
        <v>0</v>
      </c>
      <c r="W38" s="10" t="str">
        <f t="shared" si="1"/>
        <v>(1507,null,1,'2026-03-19 00:00:00','003401000250000-340100025','003401000250000-340100025','冷疗',null,null,20,20,17,null,9.5,9,8,'每部位',21,1,'normal','main',0),</v>
      </c>
    </row>
    <row r="39" ht="15.75" spans="1:23">
      <c r="A39">
        <v>1508</v>
      </c>
      <c r="B39" s="7" t="s">
        <v>573</v>
      </c>
      <c r="C39" s="7">
        <v>1</v>
      </c>
      <c r="D39" s="8" t="s">
        <v>574</v>
      </c>
      <c r="E39" t="s">
        <v>277</v>
      </c>
      <c r="F39" t="s">
        <v>277</v>
      </c>
      <c r="G39" t="s">
        <v>278</v>
      </c>
      <c r="H39" s="7" t="s">
        <v>573</v>
      </c>
      <c r="I39" s="7" t="s">
        <v>573</v>
      </c>
      <c r="J39">
        <v>150</v>
      </c>
      <c r="K39">
        <v>135</v>
      </c>
      <c r="L39">
        <v>115</v>
      </c>
      <c r="M39" s="7" t="s">
        <v>573</v>
      </c>
      <c r="N39">
        <v>115</v>
      </c>
      <c r="O39">
        <v>108</v>
      </c>
      <c r="P39">
        <v>95</v>
      </c>
      <c r="Q39" t="s">
        <v>35</v>
      </c>
      <c r="R39">
        <v>21</v>
      </c>
      <c r="S39">
        <v>1</v>
      </c>
      <c r="T39" s="7" t="s">
        <v>577</v>
      </c>
      <c r="U39" s="7" t="s">
        <v>578</v>
      </c>
      <c r="V39" s="9">
        <v>0</v>
      </c>
      <c r="W39" s="10" t="str">
        <f t="shared" si="1"/>
        <v>(1508,null,1,'2026-03-19 00:00:00','353401000280000-340100028','353401000280000-340100028','冲击波疼痛治疗',null,null,150,135,115,null,115,108,95,'次',21,1,'normal','main',0),</v>
      </c>
    </row>
    <row r="40" ht="15.75" spans="1:23">
      <c r="A40">
        <v>1509</v>
      </c>
      <c r="B40" s="7" t="s">
        <v>573</v>
      </c>
      <c r="C40" s="7">
        <v>1</v>
      </c>
      <c r="D40" s="8" t="s">
        <v>574</v>
      </c>
      <c r="E40" t="s">
        <v>286</v>
      </c>
      <c r="F40" t="s">
        <v>286</v>
      </c>
      <c r="G40" t="s">
        <v>287</v>
      </c>
      <c r="H40" s="7" t="s">
        <v>573</v>
      </c>
      <c r="I40" s="7" t="s">
        <v>573</v>
      </c>
      <c r="J40">
        <v>30</v>
      </c>
      <c r="K40">
        <v>30</v>
      </c>
      <c r="L40">
        <v>25.5</v>
      </c>
      <c r="M40" s="7" t="s">
        <v>573</v>
      </c>
      <c r="N40">
        <v>28.5</v>
      </c>
      <c r="O40">
        <v>27</v>
      </c>
      <c r="P40">
        <v>24</v>
      </c>
      <c r="Q40" t="s">
        <v>242</v>
      </c>
      <c r="R40">
        <v>21</v>
      </c>
      <c r="S40">
        <v>1</v>
      </c>
      <c r="T40" s="7" t="s">
        <v>577</v>
      </c>
      <c r="U40" s="7" t="s">
        <v>578</v>
      </c>
      <c r="V40" s="9">
        <v>0</v>
      </c>
      <c r="W40" s="10" t="str">
        <f t="shared" si="1"/>
        <v>(1509,null,1,'2026-03-19 00:00:00','003401000200000-340100020','003401000200000-340100020','水疗',null,null,30,30,25.5,null,28.5,27,24,'每20分钟',21,1,'normal','main',0),</v>
      </c>
    </row>
    <row r="41" ht="15.75" spans="1:23">
      <c r="A41">
        <v>1510</v>
      </c>
      <c r="B41" s="7" t="s">
        <v>573</v>
      </c>
      <c r="C41" s="7">
        <v>1</v>
      </c>
      <c r="D41" s="8" t="s">
        <v>574</v>
      </c>
      <c r="E41" t="s">
        <v>289</v>
      </c>
      <c r="F41" t="s">
        <v>289</v>
      </c>
      <c r="G41" t="s">
        <v>290</v>
      </c>
      <c r="H41" s="7" t="s">
        <v>573</v>
      </c>
      <c r="I41" s="7" t="s">
        <v>573</v>
      </c>
      <c r="J41">
        <v>30</v>
      </c>
      <c r="K41">
        <v>30</v>
      </c>
      <c r="L41">
        <v>25.5</v>
      </c>
      <c r="M41" s="7" t="s">
        <v>573</v>
      </c>
      <c r="N41">
        <v>28.5</v>
      </c>
      <c r="O41">
        <v>27</v>
      </c>
      <c r="P41">
        <v>24</v>
      </c>
      <c r="Q41" t="s">
        <v>242</v>
      </c>
      <c r="R41">
        <v>21</v>
      </c>
      <c r="S41">
        <v>1</v>
      </c>
      <c r="T41" s="7" t="s">
        <v>577</v>
      </c>
      <c r="U41" s="7" t="s">
        <v>578</v>
      </c>
      <c r="V41" s="9">
        <v>0</v>
      </c>
      <c r="W41" s="10" t="str">
        <f t="shared" si="1"/>
        <v>(1510,null,1,'2026-03-19 00:00:00','003401000200100-34010002004','003401000200100-34010002004','水疗（旋涡浴）',null,null,30,30,25.5,null,28.5,27,24,'每20分钟',21,1,'normal','main',0),</v>
      </c>
    </row>
    <row r="42" ht="15.75" spans="1:23">
      <c r="A42">
        <v>1511</v>
      </c>
      <c r="B42" s="7" t="s">
        <v>573</v>
      </c>
      <c r="C42" s="7">
        <v>1</v>
      </c>
      <c r="D42" s="8" t="s">
        <v>574</v>
      </c>
      <c r="E42" t="s">
        <v>292</v>
      </c>
      <c r="F42" t="s">
        <v>292</v>
      </c>
      <c r="G42" t="s">
        <v>293</v>
      </c>
      <c r="H42" s="7" t="s">
        <v>573</v>
      </c>
      <c r="I42" s="7" t="s">
        <v>573</v>
      </c>
      <c r="J42">
        <v>30</v>
      </c>
      <c r="K42">
        <v>30</v>
      </c>
      <c r="L42">
        <v>25.5</v>
      </c>
      <c r="M42" s="7" t="s">
        <v>573</v>
      </c>
      <c r="N42">
        <v>28.5</v>
      </c>
      <c r="O42">
        <v>27</v>
      </c>
      <c r="P42">
        <v>24</v>
      </c>
      <c r="Q42" t="s">
        <v>242</v>
      </c>
      <c r="R42">
        <v>21</v>
      </c>
      <c r="S42">
        <v>1</v>
      </c>
      <c r="T42" s="7" t="s">
        <v>577</v>
      </c>
      <c r="U42" s="7" t="s">
        <v>578</v>
      </c>
      <c r="V42" s="9">
        <v>0</v>
      </c>
      <c r="W42" s="10" t="str">
        <f t="shared" si="1"/>
        <v>(1511,null,1,'2026-03-19 00:00:00','003401000200300-34010002002','003401000200300-34010002002','水疗（气泡浴）',null,null,30,30,25.5,null,28.5,27,24,'每20分钟',21,1,'normal','main',0),</v>
      </c>
    </row>
    <row r="43" ht="15.75" spans="1:23">
      <c r="A43">
        <v>1512</v>
      </c>
      <c r="B43" s="7" t="s">
        <v>573</v>
      </c>
      <c r="C43" s="7">
        <v>1</v>
      </c>
      <c r="D43" s="8" t="s">
        <v>574</v>
      </c>
      <c r="E43" t="s">
        <v>295</v>
      </c>
      <c r="F43" t="s">
        <v>295</v>
      </c>
      <c r="G43" t="s">
        <v>296</v>
      </c>
      <c r="H43" s="7" t="s">
        <v>573</v>
      </c>
      <c r="I43" s="7" t="s">
        <v>573</v>
      </c>
      <c r="J43">
        <v>30</v>
      </c>
      <c r="K43">
        <v>30</v>
      </c>
      <c r="L43">
        <v>25.5</v>
      </c>
      <c r="M43" s="7" t="s">
        <v>573</v>
      </c>
      <c r="N43">
        <v>28.5</v>
      </c>
      <c r="O43">
        <v>27</v>
      </c>
      <c r="P43">
        <v>24</v>
      </c>
      <c r="Q43" t="s">
        <v>242</v>
      </c>
      <c r="R43">
        <v>21</v>
      </c>
      <c r="S43">
        <v>1</v>
      </c>
      <c r="T43" s="7" t="s">
        <v>577</v>
      </c>
      <c r="U43" s="7" t="s">
        <v>578</v>
      </c>
      <c r="V43" s="9">
        <v>0</v>
      </c>
      <c r="W43" s="10" t="str">
        <f t="shared" si="1"/>
        <v>(1512,null,1,'2026-03-19 00:00:00','003401000200400-34010002001','003401000200400-34010002001','水疗（药物浸浴）',null,null,30,30,25.5,null,28.5,27,24,'每20分钟',21,1,'normal','main',0),</v>
      </c>
    </row>
    <row r="44" ht="15.75" spans="1:23">
      <c r="A44">
        <v>1513</v>
      </c>
      <c r="B44" s="7" t="s">
        <v>573</v>
      </c>
      <c r="C44" s="7">
        <v>1</v>
      </c>
      <c r="D44" s="8" t="s">
        <v>574</v>
      </c>
      <c r="E44" t="s">
        <v>298</v>
      </c>
      <c r="F44" t="s">
        <v>298</v>
      </c>
      <c r="G44" t="s">
        <v>299</v>
      </c>
      <c r="H44" s="7" t="s">
        <v>573</v>
      </c>
      <c r="I44" s="7" t="s">
        <v>573</v>
      </c>
      <c r="J44">
        <v>30</v>
      </c>
      <c r="K44">
        <v>30</v>
      </c>
      <c r="L44">
        <v>25.5</v>
      </c>
      <c r="M44" s="7" t="s">
        <v>573</v>
      </c>
      <c r="N44">
        <v>28.5</v>
      </c>
      <c r="O44">
        <v>27</v>
      </c>
      <c r="P44">
        <v>24</v>
      </c>
      <c r="Q44" t="s">
        <v>242</v>
      </c>
      <c r="R44">
        <v>21</v>
      </c>
      <c r="S44">
        <v>1</v>
      </c>
      <c r="T44" s="7" t="s">
        <v>577</v>
      </c>
      <c r="U44" s="7" t="s">
        <v>578</v>
      </c>
      <c r="V44" s="9">
        <v>0</v>
      </c>
      <c r="W44" s="10" t="str">
        <f t="shared" si="1"/>
        <v>(1513,null,1,'2026-03-19 00:00:00','003401000200500-34010002003','003401000200500-34010002003','水疗（哈伯特槽浴-8字槽）',null,null,30,30,25.5,null,28.5,27,24,'每20分钟',21,1,'normal','main',0),</v>
      </c>
    </row>
    <row r="45" ht="15.75" spans="1:23">
      <c r="A45">
        <v>1514</v>
      </c>
      <c r="B45" s="7" t="s">
        <v>573</v>
      </c>
      <c r="C45" s="7">
        <v>1</v>
      </c>
      <c r="D45" s="8" t="s">
        <v>574</v>
      </c>
      <c r="E45" t="s">
        <v>306</v>
      </c>
      <c r="F45" t="s">
        <v>306</v>
      </c>
      <c r="G45" t="s">
        <v>307</v>
      </c>
      <c r="H45" s="7" t="s">
        <v>573</v>
      </c>
      <c r="I45" s="7" t="s">
        <v>573</v>
      </c>
      <c r="J45">
        <v>20</v>
      </c>
      <c r="K45">
        <v>20</v>
      </c>
      <c r="L45">
        <v>17</v>
      </c>
      <c r="M45" s="7" t="s">
        <v>573</v>
      </c>
      <c r="N45">
        <v>19</v>
      </c>
      <c r="O45">
        <v>18</v>
      </c>
      <c r="P45">
        <v>16</v>
      </c>
      <c r="Q45" t="s">
        <v>45</v>
      </c>
      <c r="R45">
        <v>21</v>
      </c>
      <c r="S45">
        <v>1</v>
      </c>
      <c r="T45" s="7" t="s">
        <v>577</v>
      </c>
      <c r="U45" s="7" t="s">
        <v>578</v>
      </c>
      <c r="V45" s="9">
        <v>0</v>
      </c>
      <c r="W45" s="10" t="str">
        <f t="shared" si="1"/>
        <v>(1514,null,1,'2026-03-19 00:00:00','003401000240000-340100024','003401000240000-340100024','气压治疗',null,null,20,20,17,null,19,18,16,'每部位',21,1,'normal','main',0),</v>
      </c>
    </row>
    <row r="46" ht="15.75" spans="1:23">
      <c r="A46">
        <v>1515</v>
      </c>
      <c r="B46" s="7" t="s">
        <v>573</v>
      </c>
      <c r="C46" s="7">
        <v>1</v>
      </c>
      <c r="D46" s="8" t="s">
        <v>574</v>
      </c>
      <c r="E46" t="s">
        <v>315</v>
      </c>
      <c r="F46" t="s">
        <v>315</v>
      </c>
      <c r="G46" t="s">
        <v>316</v>
      </c>
      <c r="H46" s="7" t="s">
        <v>573</v>
      </c>
      <c r="I46" s="7" t="s">
        <v>573</v>
      </c>
      <c r="J46">
        <v>15</v>
      </c>
      <c r="K46">
        <v>15</v>
      </c>
      <c r="L46">
        <v>12.8</v>
      </c>
      <c r="M46" s="7" t="s">
        <v>573</v>
      </c>
      <c r="N46">
        <v>25</v>
      </c>
      <c r="O46">
        <v>23</v>
      </c>
      <c r="P46">
        <v>21</v>
      </c>
      <c r="Q46" t="s">
        <v>35</v>
      </c>
      <c r="R46">
        <v>21</v>
      </c>
      <c r="S46">
        <v>1</v>
      </c>
      <c r="T46" s="7" t="s">
        <v>577</v>
      </c>
      <c r="U46" s="7" t="s">
        <v>578</v>
      </c>
      <c r="V46" s="9">
        <v>0</v>
      </c>
      <c r="W46" s="10" t="str">
        <f t="shared" si="1"/>
        <v>(1515,null,1,'2026-03-19 00:00:00','003401000230000-340100023','003401000230000-340100023','牵引',null,null,15,15,12.8,null,25,23,21,'次',21,1,'normal','main',0),</v>
      </c>
    </row>
    <row r="47" ht="15.75" spans="1:23">
      <c r="A47">
        <v>1516</v>
      </c>
      <c r="B47" s="7" t="s">
        <v>573</v>
      </c>
      <c r="C47" s="7">
        <v>1</v>
      </c>
      <c r="D47" s="8" t="s">
        <v>574</v>
      </c>
      <c r="E47" t="s">
        <v>319</v>
      </c>
      <c r="F47" t="s">
        <v>319</v>
      </c>
      <c r="G47" t="s">
        <v>320</v>
      </c>
      <c r="H47" s="7" t="s">
        <v>573</v>
      </c>
      <c r="I47" s="7" t="s">
        <v>573</v>
      </c>
      <c r="J47">
        <v>25</v>
      </c>
      <c r="K47">
        <v>25</v>
      </c>
      <c r="L47">
        <v>21.3</v>
      </c>
      <c r="M47" s="7" t="s">
        <v>573</v>
      </c>
      <c r="N47">
        <v>25</v>
      </c>
      <c r="O47">
        <v>23</v>
      </c>
      <c r="P47">
        <v>21</v>
      </c>
      <c r="Q47" t="s">
        <v>35</v>
      </c>
      <c r="R47">
        <v>21</v>
      </c>
      <c r="S47">
        <v>1</v>
      </c>
      <c r="T47" s="7" t="s">
        <v>577</v>
      </c>
      <c r="U47" s="7" t="s">
        <v>578</v>
      </c>
      <c r="V47" s="9">
        <v>0</v>
      </c>
      <c r="W47" s="10" t="str">
        <f t="shared" si="1"/>
        <v>(1516,null,1,'2026-03-19 00:00:00','003401000230000-34010002301','003401000230000-34010002301','电动牵引',null,null,25,25,21.3,null,25,23,21,'次',21,1,'normal','main',0),</v>
      </c>
    </row>
    <row r="48" ht="15.75" spans="1:23">
      <c r="A48">
        <v>1517</v>
      </c>
      <c r="B48" s="7" t="s">
        <v>573</v>
      </c>
      <c r="C48" s="7">
        <v>1</v>
      </c>
      <c r="D48" s="8" t="s">
        <v>574</v>
      </c>
      <c r="E48" t="s">
        <v>321</v>
      </c>
      <c r="F48" t="s">
        <v>321</v>
      </c>
      <c r="G48" t="s">
        <v>322</v>
      </c>
      <c r="H48" s="7" t="s">
        <v>573</v>
      </c>
      <c r="I48" s="7" t="s">
        <v>573</v>
      </c>
      <c r="J48">
        <v>15</v>
      </c>
      <c r="K48">
        <v>15</v>
      </c>
      <c r="L48">
        <v>12.8</v>
      </c>
      <c r="M48" s="7" t="s">
        <v>573</v>
      </c>
      <c r="N48">
        <v>25</v>
      </c>
      <c r="O48">
        <v>23</v>
      </c>
      <c r="P48">
        <v>21</v>
      </c>
      <c r="Q48" t="s">
        <v>35</v>
      </c>
      <c r="R48">
        <v>21</v>
      </c>
      <c r="S48">
        <v>1</v>
      </c>
      <c r="T48" s="7" t="s">
        <v>577</v>
      </c>
      <c r="U48" s="7" t="s">
        <v>578</v>
      </c>
      <c r="V48" s="9">
        <v>0</v>
      </c>
      <c r="W48" s="10" t="str">
        <f t="shared" si="1"/>
        <v>(1517,null,1,'2026-03-19 00:00:00','003401000230600-34010002303','003401000230600-34010002303','牵引（悬吊治疗）',null,null,15,15,12.8,null,25,23,21,'次',21,1,'normal','main',0),</v>
      </c>
    </row>
    <row r="49" ht="15.75" spans="1:23">
      <c r="A49">
        <v>1518</v>
      </c>
      <c r="B49" s="7" t="s">
        <v>573</v>
      </c>
      <c r="C49" s="7">
        <v>1</v>
      </c>
      <c r="D49" s="8" t="s">
        <v>574</v>
      </c>
      <c r="E49" t="s">
        <v>324</v>
      </c>
      <c r="F49" t="s">
        <v>324</v>
      </c>
      <c r="G49" t="s">
        <v>325</v>
      </c>
      <c r="H49" s="7" t="s">
        <v>573</v>
      </c>
      <c r="I49" s="7" t="s">
        <v>573</v>
      </c>
      <c r="J49">
        <v>15</v>
      </c>
      <c r="K49">
        <v>15</v>
      </c>
      <c r="L49">
        <v>12.8</v>
      </c>
      <c r="M49" s="7" t="s">
        <v>573</v>
      </c>
      <c r="N49">
        <v>25</v>
      </c>
      <c r="O49">
        <v>23</v>
      </c>
      <c r="P49">
        <v>21</v>
      </c>
      <c r="Q49" t="s">
        <v>35</v>
      </c>
      <c r="R49">
        <v>21</v>
      </c>
      <c r="S49">
        <v>1</v>
      </c>
      <c r="T49" s="7" t="s">
        <v>577</v>
      </c>
      <c r="U49" s="7" t="s">
        <v>578</v>
      </c>
      <c r="V49" s="9">
        <v>0</v>
      </c>
      <c r="W49" s="10" t="str">
        <f t="shared" si="1"/>
        <v>(1518,null,1,'2026-03-19 00:00:00','003401000230700-34010002304','003401000230700-34010002304','牵引（脊柱矫正治疗）',null,null,15,15,12.8,null,25,23,21,'次',21,1,'normal','main',0),</v>
      </c>
    </row>
    <row r="50" ht="15.75" spans="1:23">
      <c r="A50">
        <v>1519</v>
      </c>
      <c r="B50" s="7" t="s">
        <v>573</v>
      </c>
      <c r="C50" s="7">
        <v>1</v>
      </c>
      <c r="D50" s="8" t="s">
        <v>574</v>
      </c>
      <c r="E50" t="s">
        <v>327</v>
      </c>
      <c r="F50" t="s">
        <v>327</v>
      </c>
      <c r="G50" t="s">
        <v>328</v>
      </c>
      <c r="H50" s="7" t="s">
        <v>573</v>
      </c>
      <c r="I50" s="7" t="s">
        <v>573</v>
      </c>
      <c r="J50">
        <v>50</v>
      </c>
      <c r="K50">
        <v>50</v>
      </c>
      <c r="L50">
        <v>42.5</v>
      </c>
      <c r="M50" s="7" t="s">
        <v>573</v>
      </c>
      <c r="N50">
        <v>25</v>
      </c>
      <c r="O50">
        <v>23</v>
      </c>
      <c r="P50">
        <v>21</v>
      </c>
      <c r="Q50" t="s">
        <v>35</v>
      </c>
      <c r="R50">
        <v>21</v>
      </c>
      <c r="S50">
        <v>1</v>
      </c>
      <c r="T50" s="7" t="s">
        <v>577</v>
      </c>
      <c r="U50" s="7" t="s">
        <v>578</v>
      </c>
      <c r="V50" s="9">
        <v>0</v>
      </c>
      <c r="W50" s="10" t="str">
        <f t="shared" si="1"/>
        <v>(1519,null,1,'2026-03-19 00:00:00','003401000230500-34010002302','003401000230500-34010002302','三维快速牵引',null,null,50,50,42.5,null,25,23,21,'次',21,1,'normal','main',0),</v>
      </c>
    </row>
    <row r="51" ht="15.75" spans="1:23">
      <c r="A51">
        <v>1520</v>
      </c>
      <c r="B51" s="7" t="s">
        <v>573</v>
      </c>
      <c r="C51" s="7">
        <v>1</v>
      </c>
      <c r="D51" s="8" t="s">
        <v>574</v>
      </c>
      <c r="E51" t="s">
        <v>177</v>
      </c>
      <c r="F51" t="s">
        <v>177</v>
      </c>
      <c r="G51" t="s">
        <v>178</v>
      </c>
      <c r="H51" s="7" t="s">
        <v>573</v>
      </c>
      <c r="I51" s="7" t="s">
        <v>573</v>
      </c>
      <c r="J51">
        <v>15.8</v>
      </c>
      <c r="K51">
        <v>15</v>
      </c>
      <c r="L51">
        <v>12.8</v>
      </c>
      <c r="M51" s="7" t="s">
        <v>573</v>
      </c>
      <c r="N51">
        <v>25</v>
      </c>
      <c r="O51">
        <v>23</v>
      </c>
      <c r="P51">
        <v>21</v>
      </c>
      <c r="Q51" t="s">
        <v>45</v>
      </c>
      <c r="R51">
        <v>21</v>
      </c>
      <c r="S51">
        <v>1</v>
      </c>
      <c r="T51" s="7" t="s">
        <v>577</v>
      </c>
      <c r="U51" s="7" t="s">
        <v>578</v>
      </c>
      <c r="V51" s="9">
        <v>0</v>
      </c>
      <c r="W51" s="10" t="str">
        <f t="shared" si="1"/>
        <v>(1520,null,1,'2026-03-19 00:00:00','003105140030100-31051400301','003105140030100-31051400301','口腔粘膜病特殊治疗（冷冻法、红外线法、微波法、频谱法）',null,null,15.8,15,12.8,null,25,23,21,'每部位',21,1,'normal','main',0),</v>
      </c>
    </row>
    <row r="52" ht="15.75" spans="1:23">
      <c r="A52">
        <v>1521</v>
      </c>
      <c r="B52" s="7" t="s">
        <v>573</v>
      </c>
      <c r="C52" s="7">
        <v>1</v>
      </c>
      <c r="D52" s="8" t="s">
        <v>574</v>
      </c>
      <c r="E52" t="s">
        <v>333</v>
      </c>
      <c r="F52" t="s">
        <v>333</v>
      </c>
      <c r="G52" t="s">
        <v>334</v>
      </c>
      <c r="H52" s="7" t="s">
        <v>573</v>
      </c>
      <c r="I52" s="7" t="s">
        <v>573</v>
      </c>
      <c r="J52">
        <v>34.5</v>
      </c>
      <c r="K52">
        <v>30</v>
      </c>
      <c r="L52">
        <v>25.5</v>
      </c>
      <c r="M52" s="7" t="s">
        <v>573</v>
      </c>
      <c r="N52">
        <v>25</v>
      </c>
      <c r="O52">
        <v>23</v>
      </c>
      <c r="P52">
        <v>21</v>
      </c>
      <c r="Q52" t="s">
        <v>35</v>
      </c>
      <c r="R52">
        <v>21</v>
      </c>
      <c r="S52">
        <v>1</v>
      </c>
      <c r="T52" s="7" t="s">
        <v>577</v>
      </c>
      <c r="U52" s="7" t="s">
        <v>578</v>
      </c>
      <c r="V52" s="9">
        <v>0</v>
      </c>
      <c r="W52" s="10" t="str">
        <f t="shared" si="1"/>
        <v>(1521,null,1,'2026-03-19 00:00:00','003109030060000-31090300601','003109030060000-31090300601','乙状结肠镜检查（使用多功能肛肠检查治疗仪检查加收）',null,null,34.5,30,25.5,null,25,23,21,'次',21,1,'normal','main',0),</v>
      </c>
    </row>
    <row r="53" ht="15.75" spans="1:23">
      <c r="A53">
        <v>1522</v>
      </c>
      <c r="B53" s="7" t="s">
        <v>573</v>
      </c>
      <c r="C53" s="7">
        <v>1</v>
      </c>
      <c r="D53" s="8" t="s">
        <v>574</v>
      </c>
      <c r="E53" t="s">
        <v>336</v>
      </c>
      <c r="F53" t="s">
        <v>336</v>
      </c>
      <c r="G53" t="s">
        <v>337</v>
      </c>
      <c r="H53" s="7" t="s">
        <v>573</v>
      </c>
      <c r="I53" s="7" t="s">
        <v>573</v>
      </c>
      <c r="J53">
        <v>25</v>
      </c>
      <c r="K53">
        <v>25</v>
      </c>
      <c r="L53">
        <v>21.3</v>
      </c>
      <c r="M53" s="7" t="s">
        <v>573</v>
      </c>
      <c r="N53">
        <v>25</v>
      </c>
      <c r="O53">
        <v>23</v>
      </c>
      <c r="P53">
        <v>21</v>
      </c>
      <c r="Q53" t="s">
        <v>35</v>
      </c>
      <c r="R53">
        <v>21</v>
      </c>
      <c r="S53">
        <v>1</v>
      </c>
      <c r="T53" s="7" t="s">
        <v>577</v>
      </c>
      <c r="U53" s="7" t="s">
        <v>578</v>
      </c>
      <c r="V53" s="9">
        <v>0</v>
      </c>
      <c r="W53" s="10" t="str">
        <f t="shared" si="1"/>
        <v>(1522,null,1,'2026-03-19 00:00:00','003401000140000-340100014','003401000140000-340100014','射频电疗',null,null,25,25,21.3,null,25,23,21,'次',21,1,'normal','main',0),</v>
      </c>
    </row>
    <row r="54" ht="15.75" spans="1:23">
      <c r="A54">
        <v>1523</v>
      </c>
      <c r="B54" s="7" t="s">
        <v>573</v>
      </c>
      <c r="C54" s="7">
        <v>1</v>
      </c>
      <c r="D54" s="8" t="s">
        <v>574</v>
      </c>
      <c r="E54" t="s">
        <v>344</v>
      </c>
      <c r="F54" t="s">
        <v>344</v>
      </c>
      <c r="G54" t="s">
        <v>345</v>
      </c>
      <c r="H54" s="7" t="s">
        <v>573</v>
      </c>
      <c r="I54" s="7" t="s">
        <v>573</v>
      </c>
      <c r="J54">
        <v>12</v>
      </c>
      <c r="K54">
        <v>12</v>
      </c>
      <c r="L54">
        <v>10.2</v>
      </c>
      <c r="M54" s="7" t="s">
        <v>573</v>
      </c>
      <c r="N54">
        <v>14</v>
      </c>
      <c r="O54">
        <v>13</v>
      </c>
      <c r="P54">
        <v>12</v>
      </c>
      <c r="Q54" t="s">
        <v>45</v>
      </c>
      <c r="R54">
        <v>21</v>
      </c>
      <c r="S54">
        <v>1</v>
      </c>
      <c r="T54" s="7" t="s">
        <v>577</v>
      </c>
      <c r="U54" s="7" t="s">
        <v>578</v>
      </c>
      <c r="V54" s="9">
        <v>0</v>
      </c>
      <c r="W54" s="10" t="str">
        <f t="shared" si="1"/>
        <v>(1523,null,1,'2026-03-19 00:00:00','003401000120000-340100012','003401000120000-340100012','超短波短波治疗',null,null,12,12,10.2,null,14,13,12,'每部位',21,1,'normal','main',0),</v>
      </c>
    </row>
    <row r="55" ht="15.75" spans="1:23">
      <c r="A55">
        <v>1524</v>
      </c>
      <c r="B55" s="7" t="s">
        <v>573</v>
      </c>
      <c r="C55" s="7">
        <v>1</v>
      </c>
      <c r="D55" s="8" t="s">
        <v>574</v>
      </c>
      <c r="E55" t="s">
        <v>350</v>
      </c>
      <c r="F55" t="s">
        <v>350</v>
      </c>
      <c r="G55" t="s">
        <v>351</v>
      </c>
      <c r="H55" s="7" t="s">
        <v>573</v>
      </c>
      <c r="I55" s="7" t="s">
        <v>573</v>
      </c>
      <c r="J55">
        <v>20</v>
      </c>
      <c r="K55">
        <v>20</v>
      </c>
      <c r="L55">
        <v>17</v>
      </c>
      <c r="M55" s="7" t="s">
        <v>573</v>
      </c>
      <c r="N55">
        <v>14</v>
      </c>
      <c r="O55">
        <v>13</v>
      </c>
      <c r="P55">
        <v>12</v>
      </c>
      <c r="Q55" t="s">
        <v>45</v>
      </c>
      <c r="R55">
        <v>21</v>
      </c>
      <c r="S55">
        <v>1</v>
      </c>
      <c r="T55" s="7" t="s">
        <v>577</v>
      </c>
      <c r="U55" s="7" t="s">
        <v>578</v>
      </c>
      <c r="V55" s="9">
        <v>0</v>
      </c>
      <c r="W55" s="10" t="str">
        <f t="shared" si="1"/>
        <v>(1524,null,1,'2026-03-19 00:00:00','003401000130000-340100013','003401000130000-340100013','微波治疗',null,null,20,20,17,null,14,13,12,'每部位',21,1,'normal','main',0),</v>
      </c>
    </row>
    <row r="56" ht="15.75" spans="1:23">
      <c r="A56">
        <v>1525</v>
      </c>
      <c r="B56" s="7" t="s">
        <v>573</v>
      </c>
      <c r="C56" s="7">
        <v>1</v>
      </c>
      <c r="D56" s="8" t="s">
        <v>574</v>
      </c>
      <c r="E56" t="s">
        <v>358</v>
      </c>
      <c r="F56" t="s">
        <v>358</v>
      </c>
      <c r="G56" t="s">
        <v>359</v>
      </c>
      <c r="H56" s="7" t="s">
        <v>573</v>
      </c>
      <c r="I56" s="7" t="s">
        <v>573</v>
      </c>
      <c r="J56">
        <v>5</v>
      </c>
      <c r="K56">
        <v>5</v>
      </c>
      <c r="L56">
        <v>4.3</v>
      </c>
      <c r="M56" s="7" t="s">
        <v>573</v>
      </c>
      <c r="N56">
        <v>14</v>
      </c>
      <c r="O56">
        <v>13</v>
      </c>
      <c r="P56">
        <v>12</v>
      </c>
      <c r="Q56" t="s">
        <v>98</v>
      </c>
      <c r="R56">
        <v>21</v>
      </c>
      <c r="S56">
        <v>1</v>
      </c>
      <c r="T56" t="s">
        <v>575</v>
      </c>
      <c r="U56" s="9" t="s">
        <v>576</v>
      </c>
      <c r="V56">
        <v>1</v>
      </c>
      <c r="W56" s="10" t="str">
        <f t="shared" si="1"/>
        <v>(1525,null,1,'2026-03-19 00:00:00','003401000170000-340100017','003401000170000-340100017','超声波治疗',null,null,5,5,4.3,null,14,13,12,'每5分钟',21,1,'merge','limit',1),</v>
      </c>
    </row>
    <row r="57" ht="15.75" spans="1:23">
      <c r="A57">
        <v>1526</v>
      </c>
      <c r="B57" s="7" t="s">
        <v>573</v>
      </c>
      <c r="C57" s="7">
        <v>1</v>
      </c>
      <c r="D57" s="8" t="s">
        <v>574</v>
      </c>
      <c r="E57" t="s">
        <v>380</v>
      </c>
      <c r="F57" t="s">
        <v>380</v>
      </c>
      <c r="G57" t="s">
        <v>381</v>
      </c>
      <c r="H57" s="7" t="s">
        <v>573</v>
      </c>
      <c r="I57" s="7" t="s">
        <v>573</v>
      </c>
      <c r="J57">
        <v>30</v>
      </c>
      <c r="K57">
        <v>30</v>
      </c>
      <c r="L57">
        <v>25.5</v>
      </c>
      <c r="M57" s="7" t="s">
        <v>573</v>
      </c>
      <c r="N57">
        <v>28.5</v>
      </c>
      <c r="O57">
        <v>27</v>
      </c>
      <c r="P57">
        <v>24</v>
      </c>
      <c r="Q57" t="s">
        <v>35</v>
      </c>
      <c r="R57">
        <v>21</v>
      </c>
      <c r="S57">
        <v>1</v>
      </c>
      <c r="T57" s="7" t="s">
        <v>577</v>
      </c>
      <c r="U57" s="7" t="s">
        <v>578</v>
      </c>
      <c r="V57" s="9">
        <v>0</v>
      </c>
      <c r="W57" s="10" t="str">
        <f t="shared" si="1"/>
        <v>(1526,null,1,'2026-03-19 00:00:00','003401000180000-340100018','003401000180000-340100018','电子生物反馈疗法',null,null,30,30,25.5,null,28.5,27,24,'次',21,1,'normal','main',0),</v>
      </c>
    </row>
    <row r="58" ht="15.75" spans="1:23">
      <c r="A58">
        <v>1527</v>
      </c>
      <c r="B58" s="7" t="s">
        <v>573</v>
      </c>
      <c r="C58" s="7">
        <v>1</v>
      </c>
      <c r="D58" s="8" t="s">
        <v>574</v>
      </c>
      <c r="E58" t="s">
        <v>383</v>
      </c>
      <c r="F58" t="s">
        <v>383</v>
      </c>
      <c r="G58" t="s">
        <v>384</v>
      </c>
      <c r="H58" s="7" t="s">
        <v>573</v>
      </c>
      <c r="I58" s="7" t="s">
        <v>573</v>
      </c>
      <c r="J58">
        <v>30</v>
      </c>
      <c r="K58">
        <v>30</v>
      </c>
      <c r="L58">
        <v>25.5</v>
      </c>
      <c r="M58" s="7" t="s">
        <v>573</v>
      </c>
      <c r="N58">
        <v>28.5</v>
      </c>
      <c r="O58">
        <v>27</v>
      </c>
      <c r="P58">
        <v>24</v>
      </c>
      <c r="Q58" t="s">
        <v>35</v>
      </c>
      <c r="R58">
        <v>21</v>
      </c>
      <c r="S58">
        <v>1</v>
      </c>
      <c r="T58" s="7" t="s">
        <v>577</v>
      </c>
      <c r="U58" s="7" t="s">
        <v>578</v>
      </c>
      <c r="V58" s="9">
        <v>0</v>
      </c>
      <c r="W58" s="10" t="str">
        <f t="shared" si="1"/>
        <v>(1527,null,1,'2026-03-19 00:00:00','003401000180100-34010001801','003401000180100-34010001801','肌电电子生物反馈',null,null,30,30,25.5,null,28.5,27,24,'次',21,1,'normal','main',0),</v>
      </c>
    </row>
    <row r="59" ht="15.75" spans="1:23">
      <c r="A59">
        <v>1528</v>
      </c>
      <c r="B59" s="7" t="s">
        <v>573</v>
      </c>
      <c r="C59" s="7">
        <v>1</v>
      </c>
      <c r="D59" s="8" t="s">
        <v>574</v>
      </c>
      <c r="E59" t="s">
        <v>386</v>
      </c>
      <c r="F59" t="s">
        <v>386</v>
      </c>
      <c r="G59" t="s">
        <v>387</v>
      </c>
      <c r="H59" s="7" t="s">
        <v>573</v>
      </c>
      <c r="I59" s="7" t="s">
        <v>573</v>
      </c>
      <c r="J59">
        <v>30</v>
      </c>
      <c r="K59">
        <v>30</v>
      </c>
      <c r="L59">
        <v>25.5</v>
      </c>
      <c r="M59" s="7" t="s">
        <v>573</v>
      </c>
      <c r="N59">
        <v>28.5</v>
      </c>
      <c r="O59">
        <v>27</v>
      </c>
      <c r="P59">
        <v>24</v>
      </c>
      <c r="Q59" t="s">
        <v>35</v>
      </c>
      <c r="R59">
        <v>21</v>
      </c>
      <c r="S59">
        <v>1</v>
      </c>
      <c r="T59" s="7" t="s">
        <v>577</v>
      </c>
      <c r="U59" s="7" t="s">
        <v>578</v>
      </c>
      <c r="V59" s="9">
        <v>0</v>
      </c>
      <c r="W59" s="10" t="str">
        <f t="shared" si="1"/>
        <v>(1528,null,1,'2026-03-19 00:00:00','003401000180200-34010001802','003401000180200-34010001802','皮温电子生物反馈',null,null,30,30,25.5,null,28.5,27,24,'次',21,1,'normal','main',0),</v>
      </c>
    </row>
    <row r="60" ht="15.75" spans="1:23">
      <c r="A60">
        <v>1529</v>
      </c>
      <c r="B60" s="7" t="s">
        <v>573</v>
      </c>
      <c r="C60" s="7">
        <v>1</v>
      </c>
      <c r="D60" s="8" t="s">
        <v>574</v>
      </c>
      <c r="E60" t="s">
        <v>389</v>
      </c>
      <c r="F60" t="s">
        <v>389</v>
      </c>
      <c r="G60" t="s">
        <v>390</v>
      </c>
      <c r="H60" s="7" t="s">
        <v>573</v>
      </c>
      <c r="I60" s="7" t="s">
        <v>573</v>
      </c>
      <c r="J60">
        <v>30</v>
      </c>
      <c r="K60">
        <v>30</v>
      </c>
      <c r="L60">
        <v>25.5</v>
      </c>
      <c r="M60" s="7" t="s">
        <v>573</v>
      </c>
      <c r="N60">
        <v>28.5</v>
      </c>
      <c r="O60">
        <v>27</v>
      </c>
      <c r="P60">
        <v>24</v>
      </c>
      <c r="Q60" t="s">
        <v>35</v>
      </c>
      <c r="R60">
        <v>21</v>
      </c>
      <c r="S60">
        <v>1</v>
      </c>
      <c r="T60" s="7" t="s">
        <v>577</v>
      </c>
      <c r="U60" s="7" t="s">
        <v>578</v>
      </c>
      <c r="V60" s="9">
        <v>0</v>
      </c>
      <c r="W60" s="10" t="str">
        <f t="shared" si="1"/>
        <v>(1529,null,1,'2026-03-19 00:00:00','003401000180300-34010001803','003401000180300-34010001803','皮电电子生物反馈',null,null,30,30,25.5,null,28.5,27,24,'次',21,1,'normal','main',0),</v>
      </c>
    </row>
    <row r="61" ht="15.75" spans="1:23">
      <c r="A61">
        <v>1530</v>
      </c>
      <c r="B61" s="7" t="s">
        <v>573</v>
      </c>
      <c r="C61" s="7">
        <v>1</v>
      </c>
      <c r="D61" s="8" t="s">
        <v>574</v>
      </c>
      <c r="E61" t="s">
        <v>392</v>
      </c>
      <c r="F61" t="s">
        <v>392</v>
      </c>
      <c r="G61" t="s">
        <v>393</v>
      </c>
      <c r="H61" s="7" t="s">
        <v>573</v>
      </c>
      <c r="I61" s="7" t="s">
        <v>573</v>
      </c>
      <c r="J61">
        <v>30</v>
      </c>
      <c r="K61">
        <v>30</v>
      </c>
      <c r="L61">
        <v>25.5</v>
      </c>
      <c r="M61" s="7" t="s">
        <v>573</v>
      </c>
      <c r="N61">
        <v>28.5</v>
      </c>
      <c r="O61">
        <v>27</v>
      </c>
      <c r="P61">
        <v>24</v>
      </c>
      <c r="Q61" t="s">
        <v>35</v>
      </c>
      <c r="R61">
        <v>21</v>
      </c>
      <c r="S61">
        <v>1</v>
      </c>
      <c r="T61" s="7" t="s">
        <v>577</v>
      </c>
      <c r="U61" s="7" t="s">
        <v>578</v>
      </c>
      <c r="V61" s="9">
        <v>0</v>
      </c>
      <c r="W61" s="10" t="str">
        <f t="shared" si="1"/>
        <v>(1530,null,1,'2026-03-19 00:00:00','003401000180500-34010001805','003401000180500-34010001805','心率电子生物反馈',null,null,30,30,25.5,null,28.5,27,24,'次',21,1,'normal','main',0),</v>
      </c>
    </row>
    <row r="62" ht="15.75" spans="1:23">
      <c r="A62">
        <v>1531</v>
      </c>
      <c r="B62" s="7" t="s">
        <v>573</v>
      </c>
      <c r="C62" s="7">
        <v>1</v>
      </c>
      <c r="D62" s="8" t="s">
        <v>574</v>
      </c>
      <c r="E62" t="s">
        <v>395</v>
      </c>
      <c r="F62" t="s">
        <v>395</v>
      </c>
      <c r="G62" t="s">
        <v>396</v>
      </c>
      <c r="H62" s="7" t="s">
        <v>573</v>
      </c>
      <c r="I62" s="7" t="s">
        <v>573</v>
      </c>
      <c r="J62">
        <v>30</v>
      </c>
      <c r="K62">
        <v>30</v>
      </c>
      <c r="L62">
        <v>25.5</v>
      </c>
      <c r="M62" s="7" t="s">
        <v>573</v>
      </c>
      <c r="N62">
        <v>28.5</v>
      </c>
      <c r="O62">
        <v>27</v>
      </c>
      <c r="P62">
        <v>24</v>
      </c>
      <c r="Q62" t="s">
        <v>35</v>
      </c>
      <c r="R62">
        <v>21</v>
      </c>
      <c r="S62">
        <v>1</v>
      </c>
      <c r="T62" s="7" t="s">
        <v>577</v>
      </c>
      <c r="U62" s="7" t="s">
        <v>578</v>
      </c>
      <c r="V62" s="9">
        <v>0</v>
      </c>
      <c r="W62" s="10" t="str">
        <f t="shared" si="1"/>
        <v>(1531,null,1,'2026-03-19 00:00:00','003401000180400-34010001804','003401000180400-34010001804','脑电电子生物反馈',null,null,30,30,25.5,null,28.5,27,24,'次',21,1,'normal','main',0),</v>
      </c>
    </row>
    <row r="63" ht="15.75" spans="1:23">
      <c r="A63">
        <v>1532</v>
      </c>
      <c r="B63" s="7" t="s">
        <v>573</v>
      </c>
      <c r="C63" s="7">
        <v>1</v>
      </c>
      <c r="D63" s="8" t="s">
        <v>574</v>
      </c>
      <c r="E63" t="s">
        <v>398</v>
      </c>
      <c r="F63" t="s">
        <v>398</v>
      </c>
      <c r="G63" t="s">
        <v>399</v>
      </c>
      <c r="H63" s="7" t="s">
        <v>573</v>
      </c>
      <c r="I63" s="7" t="s">
        <v>573</v>
      </c>
      <c r="J63">
        <v>29</v>
      </c>
      <c r="K63">
        <v>26</v>
      </c>
      <c r="L63">
        <v>22.1</v>
      </c>
      <c r="M63" s="7" t="s">
        <v>573</v>
      </c>
      <c r="N63">
        <v>28.5</v>
      </c>
      <c r="O63">
        <v>27</v>
      </c>
      <c r="P63">
        <v>24</v>
      </c>
      <c r="Q63" t="s">
        <v>35</v>
      </c>
      <c r="R63">
        <v>21</v>
      </c>
      <c r="S63">
        <v>1</v>
      </c>
      <c r="T63" s="7" t="s">
        <v>577</v>
      </c>
      <c r="U63" s="7" t="s">
        <v>578</v>
      </c>
      <c r="V63" s="9">
        <v>0</v>
      </c>
      <c r="W63" s="10" t="str">
        <f t="shared" si="1"/>
        <v>(1532,null,1,'2026-03-19 00:00:00','003115030100000-311503010','003115030100000-311503010','脑电生物反馈治疗',null,null,29,26,22.1,null,28.5,27,24,'次',21,1,'normal','main',0),</v>
      </c>
    </row>
    <row r="64" ht="15.75" spans="1:23">
      <c r="A64">
        <v>1533</v>
      </c>
      <c r="B64" s="7" t="s">
        <v>573</v>
      </c>
      <c r="C64" s="7">
        <v>1</v>
      </c>
      <c r="D64" s="8" t="s">
        <v>574</v>
      </c>
      <c r="E64" t="s">
        <v>400</v>
      </c>
      <c r="F64" t="s">
        <v>400</v>
      </c>
      <c r="G64" t="s">
        <v>401</v>
      </c>
      <c r="H64" s="7" t="s">
        <v>573</v>
      </c>
      <c r="I64" s="7" t="s">
        <v>573</v>
      </c>
      <c r="J64">
        <v>27</v>
      </c>
      <c r="K64">
        <v>24</v>
      </c>
      <c r="L64">
        <v>20</v>
      </c>
      <c r="M64" s="7" t="s">
        <v>573</v>
      </c>
      <c r="N64">
        <v>28.5</v>
      </c>
      <c r="O64">
        <v>27</v>
      </c>
      <c r="P64">
        <v>24</v>
      </c>
      <c r="Q64" t="s">
        <v>35</v>
      </c>
      <c r="R64">
        <v>21</v>
      </c>
      <c r="S64">
        <v>1</v>
      </c>
      <c r="T64" s="7" t="s">
        <v>577</v>
      </c>
      <c r="U64" s="7" t="s">
        <v>578</v>
      </c>
      <c r="V64" s="9">
        <v>0</v>
      </c>
      <c r="W64" s="10" t="str">
        <f t="shared" si="1"/>
        <v>(1533,null,1,'2026-03-19 00:00:00','003109040080000-310904008','003109040080000-310904008','便秘及腹泻的生物反馈治疗',null,null,27,24,20,null,28.5,27,24,'次',21,1,'normal','main',0),</v>
      </c>
    </row>
    <row r="65" ht="15.75" spans="1:23">
      <c r="A65">
        <v>1534</v>
      </c>
      <c r="B65" s="7" t="s">
        <v>573</v>
      </c>
      <c r="C65" s="7">
        <v>1</v>
      </c>
      <c r="D65" s="8" t="s">
        <v>574</v>
      </c>
      <c r="E65" t="s">
        <v>408</v>
      </c>
      <c r="F65" t="s">
        <v>408</v>
      </c>
      <c r="G65" t="s">
        <v>409</v>
      </c>
      <c r="H65" s="7" t="s">
        <v>573</v>
      </c>
      <c r="I65" s="7" t="s">
        <v>573</v>
      </c>
      <c r="J65">
        <v>0</v>
      </c>
      <c r="K65">
        <v>0</v>
      </c>
      <c r="L65">
        <v>0</v>
      </c>
      <c r="M65" s="7" t="s">
        <v>573</v>
      </c>
      <c r="N65">
        <v>5400</v>
      </c>
      <c r="O65">
        <v>4850</v>
      </c>
      <c r="P65">
        <v>4150</v>
      </c>
      <c r="Q65" t="s">
        <v>411</v>
      </c>
      <c r="R65">
        <v>21</v>
      </c>
      <c r="S65">
        <v>1</v>
      </c>
      <c r="T65" s="7" t="s">
        <v>577</v>
      </c>
      <c r="U65" s="7" t="s">
        <v>578</v>
      </c>
      <c r="V65" s="9">
        <v>0</v>
      </c>
      <c r="W65" s="10" t="str">
        <f t="shared" si="1"/>
        <v>(1534,null,1,'2026-03-19 00:00:00','002407000020000-240700005','002407000020000-240700005','高强度聚焦超声热消融肿瘤治疗',null,null,0,0,0,null,5400,4850,4150,'每疗程',21,1,'normal','main',0),</v>
      </c>
    </row>
    <row r="66" ht="15.75" spans="1:23">
      <c r="A66">
        <v>1535</v>
      </c>
      <c r="B66" s="7" t="s">
        <v>573</v>
      </c>
      <c r="C66" s="7">
        <v>1</v>
      </c>
      <c r="D66" s="8" t="s">
        <v>574</v>
      </c>
      <c r="E66" t="s">
        <v>413</v>
      </c>
      <c r="F66" t="s">
        <v>413</v>
      </c>
      <c r="G66" t="s">
        <v>414</v>
      </c>
      <c r="H66" s="7" t="s">
        <v>573</v>
      </c>
      <c r="I66" s="7" t="s">
        <v>573</v>
      </c>
      <c r="J66">
        <v>6000</v>
      </c>
      <c r="K66">
        <v>6000</v>
      </c>
      <c r="L66">
        <v>5100</v>
      </c>
      <c r="M66" s="7" t="s">
        <v>573</v>
      </c>
      <c r="N66">
        <v>5400</v>
      </c>
      <c r="O66">
        <v>4850</v>
      </c>
      <c r="P66">
        <v>4150</v>
      </c>
      <c r="Q66" t="s">
        <v>411</v>
      </c>
      <c r="R66">
        <v>21</v>
      </c>
      <c r="S66">
        <v>1</v>
      </c>
      <c r="T66" s="7" t="s">
        <v>577</v>
      </c>
      <c r="U66" s="7" t="s">
        <v>578</v>
      </c>
      <c r="V66" s="9">
        <v>0</v>
      </c>
      <c r="W66" s="10" t="str">
        <f t="shared" si="1"/>
        <v>(1535,null,1,'2026-03-19 00:00:00','002407000020000-24070000501','002407000020000-24070000501','高强度聚焦超声热消融肿瘤治疗（肿瘤直径≤5cm）',null,null,6000,6000,5100,null,5400,4850,4150,'每疗程',21,1,'normal','main',0),</v>
      </c>
    </row>
    <row r="67" ht="15.75" spans="1:23">
      <c r="A67">
        <v>1536</v>
      </c>
      <c r="B67" s="7" t="s">
        <v>573</v>
      </c>
      <c r="C67" s="7">
        <v>1</v>
      </c>
      <c r="D67" s="8" t="s">
        <v>574</v>
      </c>
      <c r="E67" t="s">
        <v>416</v>
      </c>
      <c r="F67" t="s">
        <v>416</v>
      </c>
      <c r="G67" t="s">
        <v>417</v>
      </c>
      <c r="H67" s="7" t="s">
        <v>573</v>
      </c>
      <c r="I67" s="7" t="s">
        <v>573</v>
      </c>
      <c r="J67">
        <v>7000</v>
      </c>
      <c r="K67">
        <v>7000</v>
      </c>
      <c r="L67">
        <v>5950</v>
      </c>
      <c r="M67" s="7" t="s">
        <v>573</v>
      </c>
      <c r="N67">
        <v>5400</v>
      </c>
      <c r="O67">
        <v>4850</v>
      </c>
      <c r="P67">
        <v>4150</v>
      </c>
      <c r="Q67" t="s">
        <v>411</v>
      </c>
      <c r="R67">
        <v>21</v>
      </c>
      <c r="S67">
        <v>1</v>
      </c>
      <c r="T67" s="7" t="s">
        <v>577</v>
      </c>
      <c r="U67" s="7" t="s">
        <v>578</v>
      </c>
      <c r="V67" s="9">
        <v>0</v>
      </c>
      <c r="W67" s="10" t="str">
        <f t="shared" ref="W67:W98" si="2">"("&amp;A67&amp;","&amp;B67&amp;","&amp;C67&amp;",'"&amp;D67&amp;"','"&amp;E67&amp;"','"&amp;F67&amp;"','"&amp;G67&amp;"',"&amp;H67&amp;","&amp;I67&amp;","&amp;J67&amp;","&amp;K67&amp;","&amp;L67&amp;","&amp;M67&amp;","&amp;N67&amp;","&amp;O67&amp;","&amp;P67&amp;",'"&amp;Q67&amp;"',"&amp;R67&amp;","&amp;S67&amp;",'"&amp;T67&amp;"','"&amp;U67&amp;"',"&amp;V67&amp;"),"</f>
        <v>(1536,null,1,'2026-03-19 00:00:00','002407000020000-24070000502','002407000020000-24070000502','高强度聚焦超声热消融肿瘤治疗（肿瘤直径＞5cm）',null,null,7000,7000,5950,null,5400,4850,4150,'每疗程',21,1,'normal','main',0),</v>
      </c>
    </row>
    <row r="68" ht="15.75" spans="1:23">
      <c r="A68">
        <v>1537</v>
      </c>
      <c r="B68" s="7" t="s">
        <v>573</v>
      </c>
      <c r="C68" s="7">
        <v>1</v>
      </c>
      <c r="D68" s="8" t="s">
        <v>574</v>
      </c>
      <c r="E68" t="s">
        <v>419</v>
      </c>
      <c r="F68" t="s">
        <v>419</v>
      </c>
      <c r="G68" t="s">
        <v>420</v>
      </c>
      <c r="H68" s="7" t="s">
        <v>573</v>
      </c>
      <c r="I68" s="7" t="s">
        <v>573</v>
      </c>
      <c r="J68">
        <v>3000</v>
      </c>
      <c r="K68">
        <v>3000</v>
      </c>
      <c r="L68">
        <v>2550</v>
      </c>
      <c r="M68" s="7" t="s">
        <v>573</v>
      </c>
      <c r="N68">
        <v>5400</v>
      </c>
      <c r="O68">
        <v>4850</v>
      </c>
      <c r="P68">
        <v>4150</v>
      </c>
      <c r="Q68" t="s">
        <v>411</v>
      </c>
      <c r="R68">
        <v>21</v>
      </c>
      <c r="S68">
        <v>1</v>
      </c>
      <c r="T68" s="7" t="s">
        <v>577</v>
      </c>
      <c r="U68" s="7" t="s">
        <v>578</v>
      </c>
      <c r="V68" s="9">
        <v>0</v>
      </c>
      <c r="W68" s="10" t="str">
        <f t="shared" si="2"/>
        <v>(1537,null,1,'2026-03-19 00:00:00','002407000020000-24070000503','002407000020000-24070000503','高强度聚焦超声热消融肿瘤治疗（两个及以上肿瘤加收）',null,null,3000,3000,2550,null,5400,4850,4150,'每疗程',21,1,'normal','main',0),</v>
      </c>
    </row>
    <row r="69" ht="15.75" spans="1:23">
      <c r="A69">
        <v>1538</v>
      </c>
      <c r="B69" s="7" t="s">
        <v>573</v>
      </c>
      <c r="C69" s="7">
        <v>1</v>
      </c>
      <c r="D69" s="8" t="s">
        <v>574</v>
      </c>
      <c r="E69" t="s">
        <v>422</v>
      </c>
      <c r="F69" t="s">
        <v>422</v>
      </c>
      <c r="G69" t="s">
        <v>423</v>
      </c>
      <c r="H69" s="7" t="s">
        <v>573</v>
      </c>
      <c r="I69" s="7" t="s">
        <v>573</v>
      </c>
      <c r="J69">
        <v>800</v>
      </c>
      <c r="K69">
        <v>704</v>
      </c>
      <c r="L69">
        <v>598.4</v>
      </c>
      <c r="M69" s="7" t="s">
        <v>573</v>
      </c>
      <c r="N69">
        <v>1800</v>
      </c>
      <c r="O69">
        <v>1616.66666666667</v>
      </c>
      <c r="P69">
        <v>1383.33333333333</v>
      </c>
      <c r="Q69" t="s">
        <v>35</v>
      </c>
      <c r="R69">
        <v>21</v>
      </c>
      <c r="S69">
        <v>1</v>
      </c>
      <c r="T69" s="7" t="s">
        <v>577</v>
      </c>
      <c r="U69" s="7" t="s">
        <v>578</v>
      </c>
      <c r="V69" s="9">
        <v>0</v>
      </c>
      <c r="W69" s="10" t="str">
        <f t="shared" si="2"/>
        <v>(1538,null,1,'2026-03-19 00:00:00','002407000020000-240700002','002407000020000-240700002','高强度超声聚焦刀治疗',null,null,800,704,598.4,null,1800,1616.66666666667,1383.33333333333,'次',21,1,'normal','main',0),</v>
      </c>
    </row>
    <row r="70" ht="15.75" spans="1:23">
      <c r="A70">
        <v>1539</v>
      </c>
      <c r="B70" s="7" t="s">
        <v>573</v>
      </c>
      <c r="C70" s="7">
        <v>1</v>
      </c>
      <c r="D70" s="8" t="s">
        <v>574</v>
      </c>
      <c r="E70" t="s">
        <v>425</v>
      </c>
      <c r="F70" t="s">
        <v>425</v>
      </c>
      <c r="G70" t="s">
        <v>426</v>
      </c>
      <c r="H70" s="7" t="s">
        <v>573</v>
      </c>
      <c r="I70" s="7" t="s">
        <v>573</v>
      </c>
      <c r="J70">
        <v>400</v>
      </c>
      <c r="K70">
        <v>352</v>
      </c>
      <c r="L70">
        <v>299.2</v>
      </c>
      <c r="M70" s="7" t="s">
        <v>573</v>
      </c>
      <c r="N70">
        <v>5400</v>
      </c>
      <c r="O70">
        <v>4850</v>
      </c>
      <c r="P70">
        <v>4150</v>
      </c>
      <c r="Q70" t="s">
        <v>35</v>
      </c>
      <c r="R70">
        <v>21</v>
      </c>
      <c r="S70">
        <v>1</v>
      </c>
      <c r="T70" s="7" t="s">
        <v>577</v>
      </c>
      <c r="U70" s="7" t="s">
        <v>578</v>
      </c>
      <c r="V70" s="9">
        <v>0</v>
      </c>
      <c r="W70" s="10" t="str">
        <f t="shared" si="2"/>
        <v>(1539,null,1,'2026-03-19 00:00:00','002407000020000-24070000201','002407000020000-24070000201','高强度超声聚焦刀治疗（浅部热疗）',null,null,400,352,299.2,null,5400,4850,4150,'次',21,1,'normal','main',0),</v>
      </c>
    </row>
    <row r="71" ht="15.75" spans="1:23">
      <c r="A71">
        <v>1540</v>
      </c>
      <c r="B71" s="7" t="s">
        <v>573</v>
      </c>
      <c r="C71" s="7">
        <v>1</v>
      </c>
      <c r="D71" s="8" t="s">
        <v>574</v>
      </c>
      <c r="E71" t="s">
        <v>439</v>
      </c>
      <c r="F71" t="s">
        <v>439</v>
      </c>
      <c r="G71" t="s">
        <v>440</v>
      </c>
      <c r="H71" s="7" t="s">
        <v>573</v>
      </c>
      <c r="I71" s="7" t="s">
        <v>573</v>
      </c>
      <c r="J71">
        <v>800</v>
      </c>
      <c r="K71">
        <v>704</v>
      </c>
      <c r="L71">
        <v>598.4</v>
      </c>
      <c r="M71" s="7" t="s">
        <v>573</v>
      </c>
      <c r="N71">
        <v>1080</v>
      </c>
      <c r="O71">
        <v>970</v>
      </c>
      <c r="P71">
        <v>825</v>
      </c>
      <c r="Q71" t="s">
        <v>35</v>
      </c>
      <c r="R71">
        <v>21</v>
      </c>
      <c r="S71">
        <v>1</v>
      </c>
      <c r="T71" s="7" t="s">
        <v>577</v>
      </c>
      <c r="U71" s="7" t="s">
        <v>578</v>
      </c>
      <c r="V71" s="9">
        <v>0</v>
      </c>
      <c r="W71" s="10" t="str">
        <f t="shared" si="2"/>
        <v>(1540,null,1,'2026-03-19 00:00:00','002407000010000-240700001','002407000010000-240700001','深部热疗',null,null,800,704,598.4,null,1080,970,825,'次',21,1,'normal','main',0),</v>
      </c>
    </row>
    <row r="72" ht="15.75" spans="1:23">
      <c r="A72">
        <v>1541</v>
      </c>
      <c r="B72" s="7" t="s">
        <v>573</v>
      </c>
      <c r="C72" s="7">
        <v>1</v>
      </c>
      <c r="D72" s="8" t="s">
        <v>574</v>
      </c>
      <c r="E72" t="s">
        <v>442</v>
      </c>
      <c r="F72" t="s">
        <v>442</v>
      </c>
      <c r="G72" t="s">
        <v>443</v>
      </c>
      <c r="H72" s="7" t="s">
        <v>573</v>
      </c>
      <c r="I72" s="7" t="s">
        <v>573</v>
      </c>
      <c r="J72">
        <v>2800</v>
      </c>
      <c r="K72">
        <v>2800</v>
      </c>
      <c r="L72">
        <v>2380</v>
      </c>
      <c r="M72" s="7" t="s">
        <v>573</v>
      </c>
      <c r="N72">
        <v>1080</v>
      </c>
      <c r="O72">
        <v>970</v>
      </c>
      <c r="P72">
        <v>825</v>
      </c>
      <c r="Q72" t="s">
        <v>35</v>
      </c>
      <c r="R72">
        <v>21</v>
      </c>
      <c r="S72">
        <v>1</v>
      </c>
      <c r="T72" s="7" t="s">
        <v>577</v>
      </c>
      <c r="U72" s="7" t="s">
        <v>578</v>
      </c>
      <c r="V72" s="9">
        <v>0</v>
      </c>
      <c r="W72" s="10" t="str">
        <f t="shared" si="2"/>
        <v>(1541,null,1,'2026-03-19 00:00:00','002407000010000-240700006','002407000010000-240700006','全身大功率微波热疗',null,null,2800,2800,2380,null,1080,970,825,'次',21,1,'normal','main',0),</v>
      </c>
    </row>
    <row r="73" ht="15.75" spans="1:23">
      <c r="A73">
        <v>1542</v>
      </c>
      <c r="B73" s="7" t="s">
        <v>573</v>
      </c>
      <c r="C73" s="7">
        <v>1</v>
      </c>
      <c r="D73" s="8" t="s">
        <v>574</v>
      </c>
      <c r="E73" t="s">
        <v>445</v>
      </c>
      <c r="F73" t="s">
        <v>445</v>
      </c>
      <c r="G73" t="s">
        <v>446</v>
      </c>
      <c r="H73" s="7" t="s">
        <v>573</v>
      </c>
      <c r="I73" s="7" t="s">
        <v>573</v>
      </c>
      <c r="J73">
        <v>1000</v>
      </c>
      <c r="K73">
        <v>900</v>
      </c>
      <c r="L73">
        <v>765</v>
      </c>
      <c r="M73" s="7" t="s">
        <v>573</v>
      </c>
      <c r="N73">
        <v>1080</v>
      </c>
      <c r="O73">
        <v>970</v>
      </c>
      <c r="P73">
        <v>825</v>
      </c>
      <c r="Q73" t="s">
        <v>35</v>
      </c>
      <c r="R73">
        <v>21</v>
      </c>
      <c r="S73">
        <v>1</v>
      </c>
      <c r="T73" s="7" t="s">
        <v>577</v>
      </c>
      <c r="U73" s="7" t="s">
        <v>578</v>
      </c>
      <c r="V73" s="9">
        <v>0</v>
      </c>
      <c r="W73" s="10" t="str">
        <f t="shared" si="2"/>
        <v>(1542,null,1,'2026-03-19 00:00:00','002407000010000-340100029','002407000010000-340100029','区域环形阵列热疗',null,null,1000,900,765,null,1080,970,825,'次',21,1,'normal','main',0),</v>
      </c>
    </row>
    <row r="74" ht="15.75" spans="1:23">
      <c r="A74">
        <v>1543</v>
      </c>
      <c r="B74" s="7" t="s">
        <v>573</v>
      </c>
      <c r="C74" s="7">
        <v>1</v>
      </c>
      <c r="D74" s="8" t="s">
        <v>574</v>
      </c>
      <c r="E74" t="s">
        <v>454</v>
      </c>
      <c r="F74" t="s">
        <v>454</v>
      </c>
      <c r="G74" t="s">
        <v>455</v>
      </c>
      <c r="H74" s="7" t="s">
        <v>573</v>
      </c>
      <c r="I74" s="7" t="s">
        <v>573</v>
      </c>
      <c r="J74">
        <v>109</v>
      </c>
      <c r="K74">
        <v>98</v>
      </c>
      <c r="L74">
        <v>84</v>
      </c>
      <c r="M74" s="7" t="s">
        <v>573</v>
      </c>
      <c r="N74">
        <v>109</v>
      </c>
      <c r="O74">
        <v>98</v>
      </c>
      <c r="P74">
        <v>84</v>
      </c>
      <c r="Q74" t="s">
        <v>35</v>
      </c>
      <c r="R74">
        <v>21</v>
      </c>
      <c r="S74">
        <v>1</v>
      </c>
      <c r="T74" s="7" t="s">
        <v>577</v>
      </c>
      <c r="U74" s="7" t="s">
        <v>578</v>
      </c>
      <c r="V74" s="9">
        <v>0</v>
      </c>
      <c r="W74" s="10" t="str">
        <f t="shared" si="2"/>
        <v>(1543,null,1,'2026-03-19 00:00:00','003106060020100-31060600201','003106060020100-31060600201','结核病灌注治疗',null,null,109,98,84,null,109,98,84,'次',21,1,'normal','main',0),</v>
      </c>
    </row>
    <row r="75" ht="15.75" spans="1:23">
      <c r="A75">
        <v>1544</v>
      </c>
      <c r="B75" s="7" t="s">
        <v>573</v>
      </c>
      <c r="C75" s="7">
        <v>1</v>
      </c>
      <c r="D75" s="8" t="s">
        <v>574</v>
      </c>
      <c r="E75" t="s">
        <v>461</v>
      </c>
      <c r="F75" t="s">
        <v>461</v>
      </c>
      <c r="G75" t="s">
        <v>462</v>
      </c>
      <c r="H75" s="7" t="s">
        <v>573</v>
      </c>
      <c r="I75" s="7" t="s">
        <v>573</v>
      </c>
      <c r="J75">
        <v>545</v>
      </c>
      <c r="K75">
        <v>490</v>
      </c>
      <c r="L75">
        <v>417</v>
      </c>
      <c r="M75" s="7" t="s">
        <v>573</v>
      </c>
      <c r="N75">
        <v>436</v>
      </c>
      <c r="O75">
        <v>392</v>
      </c>
      <c r="P75">
        <v>336</v>
      </c>
      <c r="Q75" t="s">
        <v>35</v>
      </c>
      <c r="R75">
        <v>21</v>
      </c>
      <c r="S75">
        <v>1</v>
      </c>
      <c r="T75" s="7" t="s">
        <v>577</v>
      </c>
      <c r="U75" s="7" t="s">
        <v>578</v>
      </c>
      <c r="V75" s="9">
        <v>0</v>
      </c>
      <c r="W75" s="10" t="str">
        <f t="shared" si="2"/>
        <v>(1544,null,1,'2026-03-19 00:00:00','003106060020000-310606002','003106060020000-310606002','恶性肿瘤腔内灌注治疗',null,null,545,490,417,null,436,392,336,'次',21,1,'normal','main',0),</v>
      </c>
    </row>
    <row r="76" ht="15.75" spans="1:23">
      <c r="A76">
        <v>1545</v>
      </c>
      <c r="B76" s="7" t="s">
        <v>573</v>
      </c>
      <c r="C76" s="7">
        <v>1</v>
      </c>
      <c r="D76" s="8" t="s">
        <v>574</v>
      </c>
      <c r="E76" t="s">
        <v>470</v>
      </c>
      <c r="F76" t="s">
        <v>470</v>
      </c>
      <c r="G76" t="s">
        <v>471</v>
      </c>
      <c r="H76" s="7" t="s">
        <v>573</v>
      </c>
      <c r="I76" s="7" t="s">
        <v>573</v>
      </c>
      <c r="J76">
        <v>2500</v>
      </c>
      <c r="K76">
        <v>2400</v>
      </c>
      <c r="L76">
        <v>2040</v>
      </c>
      <c r="M76" s="7" t="s">
        <v>573</v>
      </c>
      <c r="N76">
        <v>2700</v>
      </c>
      <c r="O76">
        <v>2430</v>
      </c>
      <c r="P76">
        <v>2070</v>
      </c>
      <c r="Q76" t="s">
        <v>35</v>
      </c>
      <c r="R76">
        <v>21</v>
      </c>
      <c r="S76">
        <v>1</v>
      </c>
      <c r="T76" s="7" t="s">
        <v>577</v>
      </c>
      <c r="U76" s="7" t="s">
        <v>578</v>
      </c>
      <c r="V76" s="9">
        <v>0</v>
      </c>
      <c r="W76" s="10" t="str">
        <f t="shared" si="2"/>
        <v>(1545,null,1,'2026-03-19 00:00:00','003202000040100-32020000401','003202000040100-32020000401','经皮选择性动脉置管术（各种药物治疗）',null,null,2500,2400,2040,null,2700,2430,2070,'次',21,1,'normal','main',0),</v>
      </c>
    </row>
    <row r="77" ht="15.75" spans="1:23">
      <c r="A77">
        <v>1546</v>
      </c>
      <c r="B77" s="7" t="s">
        <v>573</v>
      </c>
      <c r="C77" s="7">
        <v>1</v>
      </c>
      <c r="D77" s="8" t="s">
        <v>574</v>
      </c>
      <c r="E77" t="s">
        <v>473</v>
      </c>
      <c r="F77" t="s">
        <v>473</v>
      </c>
      <c r="G77" t="s">
        <v>474</v>
      </c>
      <c r="H77" s="7" t="s">
        <v>573</v>
      </c>
      <c r="I77" s="7" t="s">
        <v>573</v>
      </c>
      <c r="J77">
        <v>2500</v>
      </c>
      <c r="K77">
        <v>2400</v>
      </c>
      <c r="L77">
        <v>2040</v>
      </c>
      <c r="M77" s="7" t="s">
        <v>573</v>
      </c>
      <c r="N77">
        <v>2700</v>
      </c>
      <c r="O77">
        <v>2430</v>
      </c>
      <c r="P77">
        <v>2070</v>
      </c>
      <c r="Q77" t="s">
        <v>35</v>
      </c>
      <c r="R77">
        <v>21</v>
      </c>
      <c r="S77">
        <v>1</v>
      </c>
      <c r="T77" s="7" t="s">
        <v>577</v>
      </c>
      <c r="U77" s="7" t="s">
        <v>578</v>
      </c>
      <c r="V77" s="9">
        <v>0</v>
      </c>
      <c r="W77" s="10" t="str">
        <f t="shared" si="2"/>
        <v>(1546,null,1,'2026-03-19 00:00:00','003202000040300-32020000403','003202000040300-32020000403','经皮选择性动脉置管术（热灌注）',null,null,2500,2400,2040,null,2700,2430,2070,'次',21,1,'normal','main',0),</v>
      </c>
    </row>
    <row r="78" ht="15.75" spans="1:23">
      <c r="A78">
        <v>1547</v>
      </c>
      <c r="B78" s="7" t="s">
        <v>573</v>
      </c>
      <c r="C78" s="7">
        <v>1</v>
      </c>
      <c r="D78" s="8" t="s">
        <v>574</v>
      </c>
      <c r="E78" t="s">
        <v>476</v>
      </c>
      <c r="F78" t="s">
        <v>476</v>
      </c>
      <c r="G78" t="s">
        <v>477</v>
      </c>
      <c r="H78" s="7" t="s">
        <v>573</v>
      </c>
      <c r="I78" s="7" t="s">
        <v>573</v>
      </c>
      <c r="J78">
        <v>1875</v>
      </c>
      <c r="K78">
        <v>1800</v>
      </c>
      <c r="L78">
        <v>1530</v>
      </c>
      <c r="M78" s="7" t="s">
        <v>573</v>
      </c>
      <c r="N78">
        <v>2700</v>
      </c>
      <c r="O78">
        <v>2430</v>
      </c>
      <c r="P78">
        <v>2070</v>
      </c>
      <c r="Q78" t="s">
        <v>35</v>
      </c>
      <c r="R78">
        <v>21</v>
      </c>
      <c r="S78">
        <v>1</v>
      </c>
      <c r="T78" s="7" t="s">
        <v>577</v>
      </c>
      <c r="U78" s="7" t="s">
        <v>578</v>
      </c>
      <c r="V78" s="9">
        <v>0</v>
      </c>
      <c r="W78" s="10" t="str">
        <f t="shared" si="2"/>
        <v>(1547,null,1,'2026-03-19 00:00:00','003202000130000-320200013','003202000130000-320200013','经皮血管瘤腔内药物灌注术',null,null,1875,1800,1530,null,2700,2430,2070,'次',21,1,'normal','main',0),</v>
      </c>
    </row>
    <row r="79" ht="15.75" spans="1:23">
      <c r="A79">
        <v>1548</v>
      </c>
      <c r="B79" s="7" t="s">
        <v>573</v>
      </c>
      <c r="C79" s="7">
        <v>1</v>
      </c>
      <c r="D79" s="8" t="s">
        <v>574</v>
      </c>
      <c r="E79" t="s">
        <v>478</v>
      </c>
      <c r="F79" t="s">
        <v>478</v>
      </c>
      <c r="G79" t="s">
        <v>479</v>
      </c>
      <c r="H79" s="7" t="s">
        <v>573</v>
      </c>
      <c r="I79" s="7" t="s">
        <v>573</v>
      </c>
      <c r="J79">
        <v>2440</v>
      </c>
      <c r="K79">
        <v>2340</v>
      </c>
      <c r="L79">
        <v>1990</v>
      </c>
      <c r="M79" s="7" t="s">
        <v>573</v>
      </c>
      <c r="N79">
        <v>2700</v>
      </c>
      <c r="O79">
        <v>2430</v>
      </c>
      <c r="P79">
        <v>2070</v>
      </c>
      <c r="Q79" t="s">
        <v>35</v>
      </c>
      <c r="R79">
        <v>21</v>
      </c>
      <c r="S79">
        <v>1</v>
      </c>
      <c r="T79" s="7" t="s">
        <v>577</v>
      </c>
      <c r="U79" s="7" t="s">
        <v>578</v>
      </c>
      <c r="V79" s="9">
        <v>0</v>
      </c>
      <c r="W79" s="10" t="str">
        <f t="shared" si="2"/>
        <v>(1548,null,1,'2026-03-19 00:00:00','003202000130000-32020001301','003202000130000-32020001301','小儿经皮血管瘤腔内药物灌注术',null,null,2440,2340,1990,null,2700,2430,2070,'次',21,1,'normal','main',0),</v>
      </c>
    </row>
    <row r="80" ht="15.75" spans="1:23">
      <c r="A80">
        <v>1549</v>
      </c>
      <c r="B80" s="7" t="s">
        <v>573</v>
      </c>
      <c r="C80" s="7">
        <v>1</v>
      </c>
      <c r="D80" s="8" t="s">
        <v>574</v>
      </c>
      <c r="E80" t="s">
        <v>480</v>
      </c>
      <c r="F80" t="s">
        <v>480</v>
      </c>
      <c r="G80" t="s">
        <v>481</v>
      </c>
      <c r="H80" s="7" t="s">
        <v>573</v>
      </c>
      <c r="I80" s="7" t="s">
        <v>573</v>
      </c>
      <c r="J80">
        <v>1875</v>
      </c>
      <c r="K80">
        <v>1800</v>
      </c>
      <c r="L80">
        <v>1530</v>
      </c>
      <c r="M80" s="7" t="s">
        <v>573</v>
      </c>
      <c r="N80">
        <v>2700</v>
      </c>
      <c r="O80">
        <v>2430</v>
      </c>
      <c r="P80">
        <v>2070</v>
      </c>
      <c r="Q80" t="s">
        <v>35</v>
      </c>
      <c r="R80">
        <v>21</v>
      </c>
      <c r="S80">
        <v>1</v>
      </c>
      <c r="T80" s="7" t="s">
        <v>577</v>
      </c>
      <c r="U80" s="7" t="s">
        <v>578</v>
      </c>
      <c r="V80" s="9">
        <v>0</v>
      </c>
      <c r="W80" s="10" t="str">
        <f t="shared" si="2"/>
        <v>(1549,null,1,'2026-03-19 00:00:00','003203000020000-320300002','003203000020000-320300002','肝动脉插管灌注术',null,null,1875,1800,1530,null,2700,2430,2070,'次',21,1,'normal','main',0),</v>
      </c>
    </row>
    <row r="81" ht="15.75" spans="1:23">
      <c r="A81">
        <v>1550</v>
      </c>
      <c r="B81" s="7" t="s">
        <v>573</v>
      </c>
      <c r="C81" s="7">
        <v>1</v>
      </c>
      <c r="D81" s="8" t="s">
        <v>574</v>
      </c>
      <c r="E81" t="s">
        <v>482</v>
      </c>
      <c r="F81" t="s">
        <v>482</v>
      </c>
      <c r="G81" t="s">
        <v>483</v>
      </c>
      <c r="H81" s="7" t="s">
        <v>573</v>
      </c>
      <c r="I81" s="7" t="s">
        <v>573</v>
      </c>
      <c r="J81">
        <v>2440</v>
      </c>
      <c r="K81">
        <v>2340</v>
      </c>
      <c r="L81">
        <v>1990</v>
      </c>
      <c r="M81" s="7" t="s">
        <v>573</v>
      </c>
      <c r="N81">
        <v>2700</v>
      </c>
      <c r="O81">
        <v>2430</v>
      </c>
      <c r="P81">
        <v>2070</v>
      </c>
      <c r="Q81" t="s">
        <v>35</v>
      </c>
      <c r="R81">
        <v>21</v>
      </c>
      <c r="S81">
        <v>1</v>
      </c>
      <c r="T81" s="7" t="s">
        <v>577</v>
      </c>
      <c r="U81" s="7" t="s">
        <v>578</v>
      </c>
      <c r="V81" s="9">
        <v>0</v>
      </c>
      <c r="W81" s="10" t="str">
        <f t="shared" si="2"/>
        <v>(1550,null,1,'2026-03-19 00:00:00','003203000020000-32030000201','003203000020000-32030000201','小儿肝动脉插管灌注术',null,null,2440,2340,1990,null,2700,2430,2070,'次',21,1,'normal','main',0),</v>
      </c>
    </row>
    <row r="82" ht="15.75" spans="1:23">
      <c r="A82">
        <v>1551</v>
      </c>
      <c r="B82" s="7" t="s">
        <v>573</v>
      </c>
      <c r="C82" s="7">
        <v>1</v>
      </c>
      <c r="D82" s="8" t="s">
        <v>574</v>
      </c>
      <c r="E82" t="s">
        <v>484</v>
      </c>
      <c r="F82" t="s">
        <v>484</v>
      </c>
      <c r="G82" t="s">
        <v>485</v>
      </c>
      <c r="H82" s="7" t="s">
        <v>573</v>
      </c>
      <c r="I82" s="7" t="s">
        <v>573</v>
      </c>
      <c r="J82">
        <v>845</v>
      </c>
      <c r="K82">
        <v>760</v>
      </c>
      <c r="L82">
        <v>645</v>
      </c>
      <c r="M82" s="7" t="s">
        <v>573</v>
      </c>
      <c r="N82">
        <v>2700</v>
      </c>
      <c r="O82">
        <v>2430</v>
      </c>
      <c r="P82">
        <v>2070</v>
      </c>
      <c r="Q82" t="s">
        <v>35</v>
      </c>
      <c r="R82">
        <v>21</v>
      </c>
      <c r="S82">
        <v>1</v>
      </c>
      <c r="T82" s="7" t="s">
        <v>577</v>
      </c>
      <c r="U82" s="7" t="s">
        <v>578</v>
      </c>
      <c r="V82" s="9">
        <v>0</v>
      </c>
      <c r="W82" s="10" t="str">
        <f t="shared" si="2"/>
        <v>(1551,null,1,'2026-03-19 00:00:00','003305030090000-330503009','003305030090000-330503009','颌内动脉插管灌注术',null,null,845,760,645,null,2700,2430,2070,'次',21,1,'normal','main',0),</v>
      </c>
    </row>
    <row r="83" ht="15.75" spans="1:23">
      <c r="A83">
        <v>1552</v>
      </c>
      <c r="B83" s="7" t="s">
        <v>573</v>
      </c>
      <c r="C83" s="7">
        <v>1</v>
      </c>
      <c r="D83" s="8" t="s">
        <v>574</v>
      </c>
      <c r="E83" t="s">
        <v>488</v>
      </c>
      <c r="F83" t="s">
        <v>488</v>
      </c>
      <c r="G83" t="s">
        <v>489</v>
      </c>
      <c r="H83" s="7" t="s">
        <v>573</v>
      </c>
      <c r="I83" s="7" t="s">
        <v>573</v>
      </c>
      <c r="J83">
        <v>1100</v>
      </c>
      <c r="K83">
        <v>990</v>
      </c>
      <c r="L83">
        <v>840</v>
      </c>
      <c r="M83" s="7" t="s">
        <v>573</v>
      </c>
      <c r="N83">
        <v>2700</v>
      </c>
      <c r="O83">
        <v>2430</v>
      </c>
      <c r="P83">
        <v>2070</v>
      </c>
      <c r="Q83" t="s">
        <v>35</v>
      </c>
      <c r="R83">
        <v>21</v>
      </c>
      <c r="S83">
        <v>1</v>
      </c>
      <c r="T83" s="7" t="s">
        <v>577</v>
      </c>
      <c r="U83" s="7" t="s">
        <v>578</v>
      </c>
      <c r="V83" s="9">
        <v>0</v>
      </c>
      <c r="W83" s="10" t="str">
        <f t="shared" si="2"/>
        <v>(1552,null,1,'2026-03-19 00:00:00','003305030090000-33050300901','003305030090000-33050300901','小儿颌内动脉插管灌注术',null,null,1100,990,840,null,2700,2430,2070,'次',21,1,'normal','main',0),</v>
      </c>
    </row>
    <row r="84" ht="15.75" spans="1:23">
      <c r="A84">
        <v>1553</v>
      </c>
      <c r="B84" s="7" t="s">
        <v>573</v>
      </c>
      <c r="C84" s="7">
        <v>1</v>
      </c>
      <c r="D84" s="8" t="s">
        <v>574</v>
      </c>
      <c r="E84" t="s">
        <v>501</v>
      </c>
      <c r="F84" t="s">
        <v>501</v>
      </c>
      <c r="G84" t="s">
        <v>502</v>
      </c>
      <c r="H84" s="7" t="s">
        <v>573</v>
      </c>
      <c r="I84" s="7" t="s">
        <v>573</v>
      </c>
      <c r="J84">
        <v>1250</v>
      </c>
      <c r="K84">
        <v>1200</v>
      </c>
      <c r="L84">
        <v>1020</v>
      </c>
      <c r="M84" s="7" t="s">
        <v>573</v>
      </c>
      <c r="N84">
        <v>3250</v>
      </c>
      <c r="O84">
        <v>3050</v>
      </c>
      <c r="P84">
        <v>2650</v>
      </c>
      <c r="Q84" t="s">
        <v>35</v>
      </c>
      <c r="R84">
        <v>21</v>
      </c>
      <c r="S84">
        <v>1</v>
      </c>
      <c r="T84" s="7" t="s">
        <v>577</v>
      </c>
      <c r="U84" s="7" t="s">
        <v>578</v>
      </c>
      <c r="V84" s="9">
        <v>0</v>
      </c>
      <c r="W84" s="10" t="str">
        <f t="shared" si="2"/>
        <v>(1553,null,1,'2026-03-19 00:00:00','003307030020000-330703002','003307030020000-330703002','开胸肿瘤特殊治疗',null,null,1250,1200,1020,null,3250,3050,2650,'次',21,1,'normal','main',0),</v>
      </c>
    </row>
    <row r="85" ht="15.75" spans="1:23">
      <c r="A85">
        <v>1554</v>
      </c>
      <c r="B85" s="7" t="s">
        <v>573</v>
      </c>
      <c r="C85" s="7">
        <v>1</v>
      </c>
      <c r="D85" s="8" t="s">
        <v>574</v>
      </c>
      <c r="E85" t="s">
        <v>504</v>
      </c>
      <c r="F85" t="s">
        <v>504</v>
      </c>
      <c r="G85" t="s">
        <v>505</v>
      </c>
      <c r="H85" s="7" t="s">
        <v>573</v>
      </c>
      <c r="I85" s="7" t="s">
        <v>573</v>
      </c>
      <c r="J85">
        <v>1875</v>
      </c>
      <c r="K85">
        <v>1800</v>
      </c>
      <c r="L85">
        <v>1530</v>
      </c>
      <c r="M85" s="7" t="s">
        <v>573</v>
      </c>
      <c r="N85">
        <v>3250</v>
      </c>
      <c r="O85">
        <v>3050</v>
      </c>
      <c r="P85">
        <v>2650</v>
      </c>
      <c r="Q85" t="s">
        <v>35</v>
      </c>
      <c r="R85">
        <v>21</v>
      </c>
      <c r="S85">
        <v>1</v>
      </c>
      <c r="T85" s="7" t="s">
        <v>577</v>
      </c>
      <c r="U85" s="7" t="s">
        <v>578</v>
      </c>
      <c r="V85" s="9">
        <v>0</v>
      </c>
      <c r="W85" s="10" t="str">
        <f t="shared" si="2"/>
        <v>(1554,null,1,'2026-03-19 00:00:00','003307030020000-33070300201','003307030020000-33070300201','开胸肿瘤特殊治疗（热疗）',null,null,1875,1800,1530,null,3250,3050,2650,'次',21,1,'normal','main',0),</v>
      </c>
    </row>
    <row r="86" ht="15.75" spans="1:23">
      <c r="A86">
        <v>1555</v>
      </c>
      <c r="B86" s="7" t="s">
        <v>573</v>
      </c>
      <c r="C86" s="7">
        <v>1</v>
      </c>
      <c r="D86" s="8" t="s">
        <v>574</v>
      </c>
      <c r="E86" t="s">
        <v>507</v>
      </c>
      <c r="F86" t="s">
        <v>507</v>
      </c>
      <c r="G86" t="s">
        <v>508</v>
      </c>
      <c r="H86" s="7" t="s">
        <v>573</v>
      </c>
      <c r="I86" s="7" t="s">
        <v>573</v>
      </c>
      <c r="J86">
        <v>1625</v>
      </c>
      <c r="K86">
        <v>1560</v>
      </c>
      <c r="L86">
        <v>1325</v>
      </c>
      <c r="M86" s="7" t="s">
        <v>573</v>
      </c>
      <c r="N86">
        <v>3250</v>
      </c>
      <c r="O86">
        <v>3050</v>
      </c>
      <c r="P86">
        <v>2650</v>
      </c>
      <c r="Q86" t="s">
        <v>35</v>
      </c>
      <c r="R86">
        <v>21</v>
      </c>
      <c r="S86">
        <v>1</v>
      </c>
      <c r="T86" s="7" t="s">
        <v>577</v>
      </c>
      <c r="U86" s="7" t="s">
        <v>578</v>
      </c>
      <c r="V86" s="9">
        <v>0</v>
      </c>
      <c r="W86" s="10" t="str">
        <f t="shared" si="2"/>
        <v>(1555,null,1,'2026-03-19 00:00:00','003307030020000-33070300202','003307030020000-33070300202','小儿开胸肿瘤特殊治疗',null,null,1625,1560,1325,null,3250,3050,2650,'次',21,1,'normal','main',0),</v>
      </c>
    </row>
    <row r="87" ht="15.75" spans="1:23">
      <c r="A87">
        <v>1556</v>
      </c>
      <c r="B87" s="7" t="s">
        <v>573</v>
      </c>
      <c r="C87" s="7">
        <v>1</v>
      </c>
      <c r="D87" s="8" t="s">
        <v>574</v>
      </c>
      <c r="E87" t="s">
        <v>509</v>
      </c>
      <c r="F87" t="s">
        <v>509</v>
      </c>
      <c r="G87" t="s">
        <v>510</v>
      </c>
      <c r="H87" s="7" t="s">
        <v>573</v>
      </c>
      <c r="I87" s="7" t="s">
        <v>573</v>
      </c>
      <c r="J87">
        <v>2440</v>
      </c>
      <c r="K87">
        <v>2340</v>
      </c>
      <c r="L87">
        <v>1990</v>
      </c>
      <c r="M87" s="7" t="s">
        <v>573</v>
      </c>
      <c r="N87">
        <v>3250</v>
      </c>
      <c r="O87">
        <v>3050</v>
      </c>
      <c r="P87">
        <v>2650</v>
      </c>
      <c r="Q87" t="s">
        <v>35</v>
      </c>
      <c r="R87">
        <v>21</v>
      </c>
      <c r="S87">
        <v>1</v>
      </c>
      <c r="T87" s="7" t="s">
        <v>577</v>
      </c>
      <c r="U87" s="7" t="s">
        <v>578</v>
      </c>
      <c r="V87" s="9">
        <v>0</v>
      </c>
      <c r="W87" s="10" t="str">
        <f t="shared" si="2"/>
        <v>(1556,null,1,'2026-03-19 00:00:00','003307030020000-33070300203','003307030020000-33070300203','小儿开胸肿瘤特殊治疗（热疗）',null,null,2440,2340,1990,null,3250,3050,2650,'次',21,1,'normal','main',0),</v>
      </c>
    </row>
    <row r="88" ht="15.75" spans="1:23">
      <c r="A88">
        <v>1557</v>
      </c>
      <c r="B88" s="7" t="s">
        <v>573</v>
      </c>
      <c r="C88" s="7">
        <v>1</v>
      </c>
      <c r="D88" s="8" t="s">
        <v>574</v>
      </c>
      <c r="E88" t="s">
        <v>511</v>
      </c>
      <c r="F88" t="s">
        <v>511</v>
      </c>
      <c r="G88" t="s">
        <v>512</v>
      </c>
      <c r="H88" s="7" t="s">
        <v>573</v>
      </c>
      <c r="I88" s="7" t="s">
        <v>573</v>
      </c>
      <c r="J88">
        <v>1500</v>
      </c>
      <c r="K88">
        <v>1440</v>
      </c>
      <c r="L88">
        <v>1224</v>
      </c>
      <c r="M88" s="7" t="s">
        <v>573</v>
      </c>
      <c r="N88">
        <v>3250</v>
      </c>
      <c r="O88">
        <v>3050</v>
      </c>
      <c r="P88">
        <v>2650</v>
      </c>
      <c r="Q88" t="s">
        <v>35</v>
      </c>
      <c r="R88">
        <v>21</v>
      </c>
      <c r="S88">
        <v>1</v>
      </c>
      <c r="T88" s="7" t="s">
        <v>577</v>
      </c>
      <c r="U88" s="7" t="s">
        <v>578</v>
      </c>
      <c r="V88" s="9">
        <v>0</v>
      </c>
      <c r="W88" s="10" t="str">
        <f t="shared" si="2"/>
        <v>(1557,null,1,'2026-03-19 00:00:00','003307030010000-330703001','003307030010000-330703001','开胸冷冻治疗',null,null,1500,1440,1224,null,3250,3050,2650,'次',21,1,'normal','main',0),</v>
      </c>
    </row>
    <row r="89" ht="15.75" spans="1:23">
      <c r="A89">
        <v>1558</v>
      </c>
      <c r="B89" s="7" t="s">
        <v>573</v>
      </c>
      <c r="C89" s="7">
        <v>1</v>
      </c>
      <c r="D89" s="8" t="s">
        <v>574</v>
      </c>
      <c r="E89" t="s">
        <v>514</v>
      </c>
      <c r="F89" t="s">
        <v>514</v>
      </c>
      <c r="G89" t="s">
        <v>515</v>
      </c>
      <c r="H89" s="7" t="s">
        <v>573</v>
      </c>
      <c r="I89" s="7" t="s">
        <v>573</v>
      </c>
      <c r="J89">
        <v>1950</v>
      </c>
      <c r="K89">
        <v>1870</v>
      </c>
      <c r="L89">
        <v>1590</v>
      </c>
      <c r="M89" s="7" t="s">
        <v>573</v>
      </c>
      <c r="N89">
        <v>3250</v>
      </c>
      <c r="O89">
        <v>3050</v>
      </c>
      <c r="P89">
        <v>2650</v>
      </c>
      <c r="Q89" t="s">
        <v>35</v>
      </c>
      <c r="R89">
        <v>21</v>
      </c>
      <c r="S89">
        <v>1</v>
      </c>
      <c r="T89" s="7" t="s">
        <v>577</v>
      </c>
      <c r="U89" s="7" t="s">
        <v>578</v>
      </c>
      <c r="V89" s="9">
        <v>0</v>
      </c>
      <c r="W89" s="10" t="str">
        <f t="shared" si="2"/>
        <v>(1558,null,1,'2026-03-19 00:00:00','003307030010000-33070300101','003307030010000-33070300101','小儿开胸冷冻治疗',null,null,1950,1870,1590,null,3250,3050,2650,'次',21,1,'normal','main',0),</v>
      </c>
    </row>
    <row r="90" ht="15.75" spans="1:23">
      <c r="A90">
        <v>1559</v>
      </c>
      <c r="B90" s="7" t="s">
        <v>573</v>
      </c>
      <c r="C90" s="7">
        <v>1</v>
      </c>
      <c r="D90" s="8" t="s">
        <v>574</v>
      </c>
      <c r="E90" t="s">
        <v>516</v>
      </c>
      <c r="F90" t="s">
        <v>516</v>
      </c>
      <c r="G90" t="s">
        <v>517</v>
      </c>
      <c r="H90" s="7" t="s">
        <v>573</v>
      </c>
      <c r="I90" s="7" t="s">
        <v>573</v>
      </c>
      <c r="J90">
        <v>4000</v>
      </c>
      <c r="K90">
        <v>3600</v>
      </c>
      <c r="L90">
        <v>3060</v>
      </c>
      <c r="M90" s="7" t="s">
        <v>573</v>
      </c>
      <c r="N90">
        <v>3250</v>
      </c>
      <c r="O90">
        <v>3050</v>
      </c>
      <c r="P90">
        <v>2650</v>
      </c>
      <c r="Q90" t="s">
        <v>35</v>
      </c>
      <c r="R90">
        <v>21</v>
      </c>
      <c r="S90">
        <v>1</v>
      </c>
      <c r="T90" s="7" t="s">
        <v>577</v>
      </c>
      <c r="U90" s="7" t="s">
        <v>578</v>
      </c>
      <c r="V90" s="9">
        <v>0</v>
      </c>
      <c r="W90" s="10" t="str">
        <f t="shared" si="2"/>
        <v>(1559,null,1,'2026-03-19 00:00:00','002407000040000-240700004','002407000040000-240700004','经皮肿瘤消融术',null,null,4000,3600,3060,null,3250,3050,2650,'次',21,1,'normal','main',0),</v>
      </c>
    </row>
    <row r="91" ht="15.75" spans="1:23">
      <c r="A91">
        <v>1560</v>
      </c>
      <c r="B91" s="7" t="s">
        <v>573</v>
      </c>
      <c r="C91" s="7">
        <v>1</v>
      </c>
      <c r="D91" s="8" t="s">
        <v>574</v>
      </c>
      <c r="E91" t="s">
        <v>521</v>
      </c>
      <c r="F91" t="s">
        <v>521</v>
      </c>
      <c r="G91" t="s">
        <v>517</v>
      </c>
      <c r="H91" s="7" t="s">
        <v>573</v>
      </c>
      <c r="I91" s="7" t="s">
        <v>573</v>
      </c>
      <c r="J91">
        <v>2000</v>
      </c>
      <c r="K91">
        <v>1800</v>
      </c>
      <c r="L91">
        <v>1530</v>
      </c>
      <c r="M91" s="7" t="s">
        <v>573</v>
      </c>
      <c r="N91">
        <v>3250</v>
      </c>
      <c r="O91">
        <v>3050</v>
      </c>
      <c r="P91">
        <v>2650</v>
      </c>
      <c r="Q91" t="s">
        <v>35</v>
      </c>
      <c r="R91">
        <v>21</v>
      </c>
      <c r="S91">
        <v>1</v>
      </c>
      <c r="T91" s="7" t="s">
        <v>577</v>
      </c>
      <c r="U91" s="7" t="s">
        <v>578</v>
      </c>
      <c r="V91" s="9">
        <v>0</v>
      </c>
      <c r="W91" s="10" t="str">
        <f t="shared" si="2"/>
        <v>(1560,null,1,'2026-03-19 00:00:00','002407000040000-24070000401','002407000040000-24070000401','经皮肿瘤消融术',null,null,2000,1800,1530,null,3250,3050,2650,'次',21,1,'normal','main',0),</v>
      </c>
    </row>
    <row r="92" ht="15.75" spans="1:23">
      <c r="A92">
        <v>1561</v>
      </c>
      <c r="B92" s="7" t="s">
        <v>573</v>
      </c>
      <c r="C92" s="7">
        <v>1</v>
      </c>
      <c r="D92" s="8" t="s">
        <v>574</v>
      </c>
      <c r="E92" t="s">
        <v>523</v>
      </c>
      <c r="F92" t="s">
        <v>523</v>
      </c>
      <c r="G92" t="s">
        <v>524</v>
      </c>
      <c r="H92" s="7" t="s">
        <v>573</v>
      </c>
      <c r="I92" s="7" t="s">
        <v>573</v>
      </c>
      <c r="J92">
        <v>0</v>
      </c>
      <c r="K92">
        <v>0</v>
      </c>
      <c r="L92">
        <v>0</v>
      </c>
      <c r="M92" s="7" t="s">
        <v>573</v>
      </c>
      <c r="N92">
        <v>3250</v>
      </c>
      <c r="O92">
        <v>3050</v>
      </c>
      <c r="P92">
        <v>2650</v>
      </c>
      <c r="Q92" t="s">
        <v>35</v>
      </c>
      <c r="R92">
        <v>21</v>
      </c>
      <c r="S92">
        <v>1</v>
      </c>
      <c r="T92" s="7" t="s">
        <v>577</v>
      </c>
      <c r="U92" s="7" t="s">
        <v>578</v>
      </c>
      <c r="V92" s="9">
        <v>0</v>
      </c>
      <c r="W92" s="10" t="str">
        <f t="shared" si="2"/>
        <v>(1561,null,1,'2026-03-19 00:00:00','003306040280000-330604028','003306040280000-330604028','睡眠呼吸暂停综合症射频温控消融治疗术',null,null,0,0,0,null,3250,3050,2650,'次',21,1,'normal','main',0),</v>
      </c>
    </row>
    <row r="93" ht="15.75" spans="1:23">
      <c r="A93">
        <v>1562</v>
      </c>
      <c r="B93" s="7" t="s">
        <v>573</v>
      </c>
      <c r="C93" s="7">
        <v>1</v>
      </c>
      <c r="D93" s="8" t="s">
        <v>574</v>
      </c>
      <c r="E93" t="s">
        <v>528</v>
      </c>
      <c r="F93" t="s">
        <v>528</v>
      </c>
      <c r="G93" t="s">
        <v>529</v>
      </c>
      <c r="H93" s="7" t="s">
        <v>573</v>
      </c>
      <c r="I93" s="7" t="s">
        <v>573</v>
      </c>
      <c r="J93">
        <v>1500</v>
      </c>
      <c r="K93">
        <v>1440</v>
      </c>
      <c r="L93">
        <v>1224</v>
      </c>
      <c r="M93" s="7" t="s">
        <v>573</v>
      </c>
      <c r="N93">
        <v>325</v>
      </c>
      <c r="O93">
        <v>305</v>
      </c>
      <c r="P93">
        <v>265</v>
      </c>
      <c r="Q93" t="s">
        <v>35</v>
      </c>
      <c r="R93">
        <v>21</v>
      </c>
      <c r="S93">
        <v>1</v>
      </c>
      <c r="T93" s="7" t="s">
        <v>577</v>
      </c>
      <c r="U93" s="7" t="s">
        <v>578</v>
      </c>
      <c r="V93" s="9">
        <v>0</v>
      </c>
      <c r="W93" s="10" t="str">
        <f t="shared" si="2"/>
        <v>(1562,null,1,'2026-03-19 00:00:00','003310080130000-33100801301','003310080130000-33100801301','腹腔恶性肿瘤特殊治疗（激光法、射频消融法）',null,null,1500,1440,1224,null,325,305,265,'次',21,1,'normal','main',0),</v>
      </c>
    </row>
    <row r="94" ht="15.75" spans="1:23">
      <c r="A94">
        <v>1563</v>
      </c>
      <c r="B94" s="7" t="s">
        <v>573</v>
      </c>
      <c r="C94" s="7">
        <v>1</v>
      </c>
      <c r="D94" s="8" t="s">
        <v>574</v>
      </c>
      <c r="E94" t="s">
        <v>531</v>
      </c>
      <c r="F94" t="s">
        <v>531</v>
      </c>
      <c r="G94" t="s">
        <v>532</v>
      </c>
      <c r="H94" s="7" t="s">
        <v>573</v>
      </c>
      <c r="I94" s="7" t="s">
        <v>573</v>
      </c>
      <c r="J94">
        <v>1950</v>
      </c>
      <c r="K94">
        <v>1870</v>
      </c>
      <c r="L94">
        <v>1590</v>
      </c>
      <c r="M94" s="7" t="s">
        <v>573</v>
      </c>
      <c r="N94">
        <v>325</v>
      </c>
      <c r="O94">
        <v>305</v>
      </c>
      <c r="P94">
        <v>265</v>
      </c>
      <c r="Q94" t="s">
        <v>35</v>
      </c>
      <c r="R94">
        <v>21</v>
      </c>
      <c r="S94">
        <v>1</v>
      </c>
      <c r="T94" s="7" t="s">
        <v>577</v>
      </c>
      <c r="U94" s="7" t="s">
        <v>578</v>
      </c>
      <c r="V94" s="9">
        <v>0</v>
      </c>
      <c r="W94" s="10" t="str">
        <f t="shared" si="2"/>
        <v>(1563,null,1,'2026-03-19 00:00:00','003310080130000-33100801303','003310080130000-33100801303','小儿腹腔恶性肿瘤特殊治疗（激光法、射频消融法）',null,null,1950,1870,1590,null,325,305,265,'次',21,1,'normal','main',0),</v>
      </c>
    </row>
    <row r="95" ht="15.75" spans="1:23">
      <c r="A95">
        <v>1564</v>
      </c>
      <c r="B95" s="7" t="s">
        <v>573</v>
      </c>
      <c r="C95" s="7">
        <v>1</v>
      </c>
      <c r="D95" s="8" t="s">
        <v>574</v>
      </c>
      <c r="E95" t="s">
        <v>533</v>
      </c>
      <c r="F95" t="s">
        <v>533</v>
      </c>
      <c r="G95" t="s">
        <v>534</v>
      </c>
      <c r="H95" s="7" t="s">
        <v>573</v>
      </c>
      <c r="I95" s="7" t="s">
        <v>573</v>
      </c>
      <c r="J95">
        <v>1250</v>
      </c>
      <c r="K95">
        <v>1200</v>
      </c>
      <c r="L95">
        <v>1020</v>
      </c>
      <c r="M95" s="7" t="s">
        <v>573</v>
      </c>
      <c r="N95">
        <v>325</v>
      </c>
      <c r="O95">
        <v>305</v>
      </c>
      <c r="P95">
        <v>265</v>
      </c>
      <c r="Q95" t="s">
        <v>35</v>
      </c>
      <c r="R95">
        <v>21</v>
      </c>
      <c r="S95">
        <v>1</v>
      </c>
      <c r="T95" s="7" t="s">
        <v>577</v>
      </c>
      <c r="U95" s="7" t="s">
        <v>578</v>
      </c>
      <c r="V95" s="9">
        <v>0</v>
      </c>
      <c r="W95" s="10" t="str">
        <f t="shared" si="2"/>
        <v>(1564,null,1,'2026-03-19 00:00:00','003310050100000-331005010','003310050100000-331005010','开腹恶性肿瘤特殊治疗',null,null,1250,1200,1020,null,325,305,265,'次',21,1,'normal','main',0),</v>
      </c>
    </row>
    <row r="96" ht="15.75" spans="1:23">
      <c r="A96">
        <v>1565</v>
      </c>
      <c r="B96" s="7" t="s">
        <v>573</v>
      </c>
      <c r="C96" s="7">
        <v>1</v>
      </c>
      <c r="D96" s="8" t="s">
        <v>574</v>
      </c>
      <c r="E96" t="s">
        <v>537</v>
      </c>
      <c r="F96" t="s">
        <v>537</v>
      </c>
      <c r="G96" t="s">
        <v>538</v>
      </c>
      <c r="H96" s="7" t="s">
        <v>573</v>
      </c>
      <c r="I96" s="7" t="s">
        <v>573</v>
      </c>
      <c r="J96">
        <v>1500</v>
      </c>
      <c r="K96">
        <v>1440</v>
      </c>
      <c r="L96">
        <v>1224</v>
      </c>
      <c r="M96" s="7" t="s">
        <v>573</v>
      </c>
      <c r="N96">
        <v>325</v>
      </c>
      <c r="O96">
        <v>305</v>
      </c>
      <c r="P96">
        <v>265</v>
      </c>
      <c r="Q96" t="s">
        <v>35</v>
      </c>
      <c r="R96">
        <v>21</v>
      </c>
      <c r="S96">
        <v>1</v>
      </c>
      <c r="T96" s="7" t="s">
        <v>577</v>
      </c>
      <c r="U96" s="7" t="s">
        <v>578</v>
      </c>
      <c r="V96" s="9">
        <v>0</v>
      </c>
      <c r="W96" s="10" t="str">
        <f t="shared" si="2"/>
        <v>(1565,null,1,'2026-03-19 00:00:00','003310050100000-33100501001','003310050100000-33100501001','开腹恶性肿瘤特殊治疗（激光法、射频消融法）',null,null,1500,1440,1224,null,325,305,265,'次',21,1,'normal','main',0),</v>
      </c>
    </row>
    <row r="97" ht="15.75" spans="1:23">
      <c r="A97">
        <v>1566</v>
      </c>
      <c r="B97" s="7" t="s">
        <v>573</v>
      </c>
      <c r="C97" s="7">
        <v>1</v>
      </c>
      <c r="D97" s="8" t="s">
        <v>574</v>
      </c>
      <c r="E97" t="s">
        <v>539</v>
      </c>
      <c r="F97" t="s">
        <v>539</v>
      </c>
      <c r="G97" t="s">
        <v>540</v>
      </c>
      <c r="H97" s="7" t="s">
        <v>573</v>
      </c>
      <c r="I97" s="7" t="s">
        <v>573</v>
      </c>
      <c r="J97">
        <v>1625</v>
      </c>
      <c r="K97">
        <v>1560</v>
      </c>
      <c r="L97">
        <v>1325</v>
      </c>
      <c r="M97" s="7" t="s">
        <v>573</v>
      </c>
      <c r="N97">
        <v>325</v>
      </c>
      <c r="O97">
        <v>305</v>
      </c>
      <c r="P97">
        <v>265</v>
      </c>
      <c r="Q97" t="s">
        <v>35</v>
      </c>
      <c r="R97">
        <v>21</v>
      </c>
      <c r="S97">
        <v>1</v>
      </c>
      <c r="T97" s="7" t="s">
        <v>577</v>
      </c>
      <c r="U97" s="7" t="s">
        <v>578</v>
      </c>
      <c r="V97" s="9">
        <v>0</v>
      </c>
      <c r="W97" s="10" t="str">
        <f t="shared" si="2"/>
        <v>(1566,null,1,'2026-03-19 00:00:00','003310050100000-33100501002','003310050100000-33100501002','小儿开腹恶性肿瘤特殊治疗',null,null,1625,1560,1325,null,325,305,265,'次',21,1,'normal','main',0),</v>
      </c>
    </row>
    <row r="98" ht="15.75" spans="1:23">
      <c r="A98">
        <v>1567</v>
      </c>
      <c r="B98" s="7" t="s">
        <v>573</v>
      </c>
      <c r="C98" s="7">
        <v>1</v>
      </c>
      <c r="D98" s="8" t="s">
        <v>574</v>
      </c>
      <c r="E98" t="s">
        <v>541</v>
      </c>
      <c r="F98" t="s">
        <v>541</v>
      </c>
      <c r="G98" t="s">
        <v>542</v>
      </c>
      <c r="H98" s="7" t="s">
        <v>573</v>
      </c>
      <c r="I98" s="7" t="s">
        <v>573</v>
      </c>
      <c r="J98">
        <v>1950</v>
      </c>
      <c r="K98">
        <v>1870</v>
      </c>
      <c r="L98">
        <v>1590</v>
      </c>
      <c r="M98" s="7" t="s">
        <v>573</v>
      </c>
      <c r="N98">
        <v>325</v>
      </c>
      <c r="O98">
        <v>305</v>
      </c>
      <c r="P98">
        <v>265</v>
      </c>
      <c r="Q98" t="s">
        <v>35</v>
      </c>
      <c r="R98">
        <v>21</v>
      </c>
      <c r="S98">
        <v>1</v>
      </c>
      <c r="T98" s="7" t="s">
        <v>577</v>
      </c>
      <c r="U98" s="7" t="s">
        <v>578</v>
      </c>
      <c r="V98" s="9">
        <v>0</v>
      </c>
      <c r="W98" s="10" t="str">
        <f t="shared" si="2"/>
        <v>(1567,null,1,'2026-03-19 00:00:00','003310050100000-33100501003','003310050100000-33100501003','小儿开腹恶性肿瘤特殊治疗（激光法、射频消融法）',null,null,1950,1870,1590,null,325,305,265,'次',21,1,'normal','main',0),</v>
      </c>
    </row>
  </sheetData>
  <autoFilter ref="A1:W98">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4"/>
  <sheetViews>
    <sheetView topLeftCell="E1" workbookViewId="0">
      <selection activeCell="M20" sqref="M20"/>
    </sheetView>
  </sheetViews>
  <sheetFormatPr defaultColWidth="9" defaultRowHeight="14.25"/>
  <cols>
    <col min="4" max="5" width="30.375" customWidth="1"/>
    <col min="6" max="6" width="30.75" customWidth="1"/>
  </cols>
  <sheetData>
    <row r="1" ht="25.5" spans="1:20">
      <c r="A1" s="4" t="s">
        <v>551</v>
      </c>
      <c r="B1" s="4" t="s">
        <v>579</v>
      </c>
      <c r="C1" s="4" t="s">
        <v>552</v>
      </c>
      <c r="D1" s="4" t="s">
        <v>555</v>
      </c>
      <c r="E1" s="5" t="s">
        <v>556</v>
      </c>
      <c r="F1" s="4" t="s">
        <v>557</v>
      </c>
      <c r="G1" s="4" t="s">
        <v>558</v>
      </c>
      <c r="H1" s="4" t="s">
        <v>559</v>
      </c>
      <c r="I1" s="4" t="s">
        <v>560</v>
      </c>
      <c r="J1" s="4" t="s">
        <v>561</v>
      </c>
      <c r="K1" s="4" t="s">
        <v>562</v>
      </c>
      <c r="L1" s="4" t="s">
        <v>563</v>
      </c>
      <c r="M1" s="4" t="s">
        <v>564</v>
      </c>
      <c r="N1" s="4" t="s">
        <v>565</v>
      </c>
      <c r="O1" s="4" t="s">
        <v>566</v>
      </c>
      <c r="P1" s="4" t="s">
        <v>567</v>
      </c>
      <c r="Q1" s="4" t="s">
        <v>569</v>
      </c>
      <c r="R1" s="4" t="s">
        <v>580</v>
      </c>
      <c r="S1" s="4" t="s">
        <v>581</v>
      </c>
      <c r="T1" s="6" t="str">
        <f>"insert into server_list_column_20250525 ("&amp;_xlfn.TEXTJOIN(",",TRUE,A1:S1)&amp;") values"</f>
        <v>insert into server_list_column_20250525 (id,server_list_id,code,old_hilist_code,new_hilist_code,hilist_name,selfpay_prop,old_price,old_price_city,old_price_town,old_price_village,new_price,new_price_city,new_price_town,new_price_village,unit,is_use_old,is_main,main_code) values</v>
      </c>
    </row>
    <row r="2" spans="1:20">
      <c r="A2">
        <v>185</v>
      </c>
      <c r="B2">
        <v>1471</v>
      </c>
      <c r="C2" t="s">
        <v>573</v>
      </c>
      <c r="D2" t="s">
        <v>41</v>
      </c>
      <c r="E2" t="s">
        <v>41</v>
      </c>
      <c r="F2" t="s">
        <v>42</v>
      </c>
      <c r="G2" t="s">
        <v>573</v>
      </c>
      <c r="H2" t="s">
        <v>573</v>
      </c>
      <c r="I2">
        <v>8</v>
      </c>
      <c r="J2">
        <v>8</v>
      </c>
      <c r="K2">
        <v>6.8</v>
      </c>
      <c r="L2" t="s">
        <v>573</v>
      </c>
      <c r="M2">
        <v>20</v>
      </c>
      <c r="N2">
        <v>19</v>
      </c>
      <c r="O2">
        <v>18</v>
      </c>
      <c r="P2" t="s">
        <v>45</v>
      </c>
      <c r="Q2">
        <v>1</v>
      </c>
      <c r="R2">
        <v>1</v>
      </c>
      <c r="T2" s="6" t="str">
        <f>"("&amp;A2&amp;","&amp;B2&amp;","&amp;C2&amp;",'"&amp;D2&amp;"','"&amp;E2&amp;"','"&amp;F2&amp;"',"&amp;G2&amp;","&amp;H2&amp;","&amp;I2&amp;","&amp;J2&amp;","&amp;K2&amp;","&amp;L2&amp;","&amp;M2&amp;","&amp;N2&amp;","&amp;O2&amp;",'"&amp;P2&amp;"',"&amp;Q2&amp;","&amp;R2&amp;",'"&amp;S2&amp;"'),"</f>
        <v>(185,1471,null,'003401000080000-340100008','003401000080000-340100008','直流电治疗',null,null,8,8,6.8,null,20,19,18,'每部位',1,1,''),</v>
      </c>
    </row>
    <row r="3" spans="1:20">
      <c r="A3">
        <v>186</v>
      </c>
      <c r="B3">
        <v>1471</v>
      </c>
      <c r="C3" t="s">
        <v>573</v>
      </c>
      <c r="D3" t="s">
        <v>46</v>
      </c>
      <c r="E3" t="s">
        <v>46</v>
      </c>
      <c r="F3" t="s">
        <v>47</v>
      </c>
      <c r="G3" t="s">
        <v>573</v>
      </c>
      <c r="H3" t="s">
        <v>573</v>
      </c>
      <c r="I3">
        <v>10</v>
      </c>
      <c r="J3">
        <v>10</v>
      </c>
      <c r="K3">
        <v>8.5</v>
      </c>
      <c r="L3" t="s">
        <v>573</v>
      </c>
      <c r="M3">
        <v>20</v>
      </c>
      <c r="N3">
        <v>19</v>
      </c>
      <c r="O3">
        <v>18</v>
      </c>
      <c r="P3" t="s">
        <v>45</v>
      </c>
      <c r="Q3">
        <v>1</v>
      </c>
      <c r="R3">
        <v>1</v>
      </c>
      <c r="T3" s="6" t="str">
        <f t="shared" ref="T3:T14" si="0">"("&amp;A3&amp;","&amp;B3&amp;","&amp;C3&amp;",'"&amp;D3&amp;"','"&amp;E3&amp;"','"&amp;F3&amp;"',"&amp;G3&amp;","&amp;H3&amp;","&amp;I3&amp;","&amp;J3&amp;","&amp;K3&amp;","&amp;L3&amp;","&amp;M3&amp;","&amp;N3&amp;","&amp;O3&amp;",'"&amp;P3&amp;"',"&amp;Q3&amp;","&amp;R3&amp;",'"&amp;S3&amp;"'),"</f>
        <v>(186,1471,null,'003401000090000-340100009','003401000090000-340100009','低频脉冲电治疗',null,null,10,10,8.5,null,20,19,18,'每部位',1,1,''),</v>
      </c>
    </row>
    <row r="4" spans="1:20">
      <c r="A4">
        <v>187</v>
      </c>
      <c r="B4">
        <v>1471</v>
      </c>
      <c r="C4" t="s">
        <v>573</v>
      </c>
      <c r="D4" t="s">
        <v>49</v>
      </c>
      <c r="E4" t="s">
        <v>49</v>
      </c>
      <c r="F4" t="s">
        <v>50</v>
      </c>
      <c r="G4" t="s">
        <v>573</v>
      </c>
      <c r="H4" t="s">
        <v>573</v>
      </c>
      <c r="I4">
        <v>10</v>
      </c>
      <c r="J4">
        <v>10</v>
      </c>
      <c r="K4">
        <v>8.5</v>
      </c>
      <c r="L4" t="s">
        <v>573</v>
      </c>
      <c r="M4">
        <v>20</v>
      </c>
      <c r="N4">
        <v>19</v>
      </c>
      <c r="O4">
        <v>18</v>
      </c>
      <c r="P4" t="s">
        <v>45</v>
      </c>
      <c r="Q4">
        <v>1</v>
      </c>
      <c r="R4">
        <v>1</v>
      </c>
      <c r="T4" s="6" t="str">
        <f t="shared" si="0"/>
        <v>(187,1471,null,'003401000090100-34010000902','003401000090100-34010000902','低频脉冲感应电治疗',null,null,10,10,8.5,null,20,19,18,'每部位',1,1,''),</v>
      </c>
    </row>
    <row r="5" spans="1:20">
      <c r="A5">
        <v>188</v>
      </c>
      <c r="B5">
        <v>1471</v>
      </c>
      <c r="C5" t="s">
        <v>573</v>
      </c>
      <c r="D5" t="s">
        <v>52</v>
      </c>
      <c r="E5" t="s">
        <v>52</v>
      </c>
      <c r="F5" t="s">
        <v>53</v>
      </c>
      <c r="G5" t="s">
        <v>573</v>
      </c>
      <c r="H5" t="s">
        <v>573</v>
      </c>
      <c r="I5">
        <v>10</v>
      </c>
      <c r="J5">
        <v>10</v>
      </c>
      <c r="K5">
        <v>8.5</v>
      </c>
      <c r="L5" t="s">
        <v>573</v>
      </c>
      <c r="M5">
        <v>20</v>
      </c>
      <c r="N5">
        <v>19</v>
      </c>
      <c r="O5">
        <v>18</v>
      </c>
      <c r="P5" t="s">
        <v>45</v>
      </c>
      <c r="Q5">
        <v>1</v>
      </c>
      <c r="R5">
        <v>1</v>
      </c>
      <c r="T5" s="6" t="str">
        <f t="shared" si="0"/>
        <v>(188,1471,null,'003401000090200-34010000903','003401000090200-34010000903','低频脉冲神经肌肉电刺激治疗',null,null,10,10,8.5,null,20,19,18,'每部位',1,1,''),</v>
      </c>
    </row>
    <row r="6" spans="1:20">
      <c r="A6">
        <v>189</v>
      </c>
      <c r="B6">
        <v>1471</v>
      </c>
      <c r="C6" t="s">
        <v>573</v>
      </c>
      <c r="D6" t="s">
        <v>55</v>
      </c>
      <c r="E6" t="s">
        <v>55</v>
      </c>
      <c r="F6" t="s">
        <v>56</v>
      </c>
      <c r="G6" t="s">
        <v>573</v>
      </c>
      <c r="H6" t="s">
        <v>573</v>
      </c>
      <c r="I6">
        <v>10</v>
      </c>
      <c r="J6">
        <v>10</v>
      </c>
      <c r="K6">
        <v>8.5</v>
      </c>
      <c r="L6" t="s">
        <v>573</v>
      </c>
      <c r="M6">
        <v>20</v>
      </c>
      <c r="N6">
        <v>19</v>
      </c>
      <c r="O6">
        <v>18</v>
      </c>
      <c r="P6" t="s">
        <v>45</v>
      </c>
      <c r="Q6">
        <v>1</v>
      </c>
      <c r="R6">
        <v>1</v>
      </c>
      <c r="T6" s="6" t="str">
        <f t="shared" si="0"/>
        <v>(189,1471,null,'003401000090300-34010000904','003401000090300-34010000904','低频脉冲间动电疗',null,null,10,10,8.5,null,20,19,18,'每部位',1,1,''),</v>
      </c>
    </row>
    <row r="7" spans="1:20">
      <c r="A7">
        <v>190</v>
      </c>
      <c r="B7">
        <v>1471</v>
      </c>
      <c r="C7" t="s">
        <v>573</v>
      </c>
      <c r="D7" t="s">
        <v>58</v>
      </c>
      <c r="E7" t="s">
        <v>58</v>
      </c>
      <c r="F7" t="s">
        <v>59</v>
      </c>
      <c r="G7" t="s">
        <v>573</v>
      </c>
      <c r="H7" t="s">
        <v>573</v>
      </c>
      <c r="I7">
        <v>10</v>
      </c>
      <c r="J7">
        <v>10</v>
      </c>
      <c r="K7">
        <v>8.5</v>
      </c>
      <c r="L7" t="s">
        <v>573</v>
      </c>
      <c r="M7">
        <v>20</v>
      </c>
      <c r="N7">
        <v>19</v>
      </c>
      <c r="O7">
        <v>18</v>
      </c>
      <c r="P7" t="s">
        <v>45</v>
      </c>
      <c r="Q7">
        <v>1</v>
      </c>
      <c r="R7">
        <v>1</v>
      </c>
      <c r="T7" s="6" t="str">
        <f t="shared" si="0"/>
        <v>(190,1471,null,'003401000090400-34010000905','003401000090400-34010000905','经皮低频脉冲神经电刺激治疗',null,null,10,10,8.5,null,20,19,18,'每部位',1,1,''),</v>
      </c>
    </row>
    <row r="8" spans="1:20">
      <c r="A8">
        <v>191</v>
      </c>
      <c r="B8">
        <v>1471</v>
      </c>
      <c r="C8" t="s">
        <v>573</v>
      </c>
      <c r="D8" t="s">
        <v>61</v>
      </c>
      <c r="E8" t="s">
        <v>61</v>
      </c>
      <c r="F8" t="s">
        <v>62</v>
      </c>
      <c r="G8" t="s">
        <v>573</v>
      </c>
      <c r="H8" t="s">
        <v>573</v>
      </c>
      <c r="I8">
        <v>10</v>
      </c>
      <c r="J8">
        <v>10</v>
      </c>
      <c r="K8">
        <v>8.5</v>
      </c>
      <c r="L8" t="s">
        <v>573</v>
      </c>
      <c r="M8">
        <v>20</v>
      </c>
      <c r="N8">
        <v>19</v>
      </c>
      <c r="O8">
        <v>18</v>
      </c>
      <c r="P8" t="s">
        <v>45</v>
      </c>
      <c r="Q8">
        <v>1</v>
      </c>
      <c r="R8">
        <v>1</v>
      </c>
      <c r="T8" s="6" t="str">
        <f t="shared" si="0"/>
        <v>(191,1471,null,'003401000090500-34010000906','003401000090500-34010000906','低频脉冲功能性电刺激治疗',null,null,10,10,8.5,null,20,19,18,'每部位',1,1,''),</v>
      </c>
    </row>
    <row r="9" spans="1:20">
      <c r="A9">
        <v>192</v>
      </c>
      <c r="B9">
        <v>1471</v>
      </c>
      <c r="C9" t="s">
        <v>573</v>
      </c>
      <c r="D9" t="s">
        <v>64</v>
      </c>
      <c r="E9" t="s">
        <v>64</v>
      </c>
      <c r="F9" t="s">
        <v>65</v>
      </c>
      <c r="G9" t="s">
        <v>573</v>
      </c>
      <c r="H9" t="s">
        <v>573</v>
      </c>
      <c r="I9">
        <v>10</v>
      </c>
      <c r="J9">
        <v>10</v>
      </c>
      <c r="K9">
        <v>8.5</v>
      </c>
      <c r="L9" t="s">
        <v>573</v>
      </c>
      <c r="M9">
        <v>20</v>
      </c>
      <c r="N9">
        <v>19</v>
      </c>
      <c r="O9">
        <v>18</v>
      </c>
      <c r="P9" t="s">
        <v>45</v>
      </c>
      <c r="Q9">
        <v>1</v>
      </c>
      <c r="R9">
        <v>1</v>
      </c>
      <c r="T9" s="6" t="str">
        <f t="shared" si="0"/>
        <v>(192,1471,null,'003401000090600-34010000907','003401000090600-34010000907','低频温热电脉冲治疗',null,null,10,10,8.5,null,20,19,18,'每部位',1,1,''),</v>
      </c>
    </row>
    <row r="10" spans="1:20">
      <c r="A10">
        <v>193</v>
      </c>
      <c r="B10">
        <v>1471</v>
      </c>
      <c r="C10" t="s">
        <v>573</v>
      </c>
      <c r="D10" t="s">
        <v>67</v>
      </c>
      <c r="E10" t="s">
        <v>67</v>
      </c>
      <c r="F10" t="s">
        <v>68</v>
      </c>
      <c r="G10" t="s">
        <v>573</v>
      </c>
      <c r="H10" t="s">
        <v>573</v>
      </c>
      <c r="I10">
        <v>10</v>
      </c>
      <c r="J10">
        <v>10</v>
      </c>
      <c r="K10">
        <v>8.5</v>
      </c>
      <c r="L10" t="s">
        <v>573</v>
      </c>
      <c r="M10">
        <v>20</v>
      </c>
      <c r="N10">
        <v>19</v>
      </c>
      <c r="O10">
        <v>18</v>
      </c>
      <c r="P10" t="s">
        <v>45</v>
      </c>
      <c r="Q10">
        <v>1</v>
      </c>
      <c r="R10">
        <v>1</v>
      </c>
      <c r="T10" s="6" t="str">
        <f t="shared" si="0"/>
        <v>(193,1471,null,'003401000090700-34010000908','003401000090700-34010000908','低频脉冲微机功能性电刺激治疗',null,null,10,10,8.5,null,20,19,18,'每部位',1,1,''),</v>
      </c>
    </row>
    <row r="11" spans="1:20">
      <c r="A11">
        <v>194</v>
      </c>
      <c r="B11">
        <v>1471</v>
      </c>
      <c r="C11" t="s">
        <v>573</v>
      </c>
      <c r="D11" t="s">
        <v>70</v>
      </c>
      <c r="E11" t="s">
        <v>70</v>
      </c>
      <c r="F11" t="s">
        <v>71</v>
      </c>
      <c r="G11" t="s">
        <v>573</v>
      </c>
      <c r="H11" t="s">
        <v>573</v>
      </c>
      <c r="I11">
        <v>10</v>
      </c>
      <c r="J11">
        <v>10</v>
      </c>
      <c r="K11">
        <v>8.5</v>
      </c>
      <c r="L11" t="s">
        <v>573</v>
      </c>
      <c r="M11">
        <v>20</v>
      </c>
      <c r="N11">
        <v>19</v>
      </c>
      <c r="O11">
        <v>18</v>
      </c>
      <c r="P11" t="s">
        <v>45</v>
      </c>
      <c r="Q11">
        <v>1</v>
      </c>
      <c r="R11">
        <v>1</v>
      </c>
      <c r="T11" s="6" t="str">
        <f t="shared" si="0"/>
        <v>(194,1471,null,'003401000090800-34010000901','003401000090800-34010000901','低频脉冲银棘状刺激（SSP）电治疗',null,null,10,10,8.5,null,20,19,18,'每部位',1,1,''),</v>
      </c>
    </row>
    <row r="12" spans="1:20">
      <c r="A12">
        <v>195</v>
      </c>
      <c r="B12">
        <v>1471</v>
      </c>
      <c r="C12" t="s">
        <v>573</v>
      </c>
      <c r="D12" t="s">
        <v>73</v>
      </c>
      <c r="E12" t="s">
        <v>73</v>
      </c>
      <c r="F12" t="s">
        <v>74</v>
      </c>
      <c r="G12" t="s">
        <v>573</v>
      </c>
      <c r="H12" t="s">
        <v>573</v>
      </c>
      <c r="I12">
        <v>10</v>
      </c>
      <c r="J12">
        <v>10</v>
      </c>
      <c r="K12">
        <v>8.5</v>
      </c>
      <c r="L12" t="s">
        <v>573</v>
      </c>
      <c r="M12">
        <v>20</v>
      </c>
      <c r="N12">
        <v>19</v>
      </c>
      <c r="O12">
        <v>18</v>
      </c>
      <c r="P12" t="s">
        <v>45</v>
      </c>
      <c r="Q12">
        <v>1</v>
      </c>
      <c r="R12">
        <v>1</v>
      </c>
      <c r="T12" s="6" t="str">
        <f t="shared" si="0"/>
        <v>(195,1471,null,'003401000100000-340100010','003401000100000-340100010','中频脉冲电治疗',null,null,10,10,8.5,null,20,19,18,'每部位',1,1,''),</v>
      </c>
    </row>
    <row r="13" spans="1:20">
      <c r="A13">
        <v>196</v>
      </c>
      <c r="B13">
        <v>1525</v>
      </c>
      <c r="C13" t="s">
        <v>573</v>
      </c>
      <c r="D13" t="s">
        <v>358</v>
      </c>
      <c r="E13" t="s">
        <v>358</v>
      </c>
      <c r="F13" t="s">
        <v>359</v>
      </c>
      <c r="G13" t="s">
        <v>573</v>
      </c>
      <c r="H13" t="s">
        <v>573</v>
      </c>
      <c r="I13">
        <v>5</v>
      </c>
      <c r="J13">
        <v>5</v>
      </c>
      <c r="K13">
        <v>4.3</v>
      </c>
      <c r="L13" t="s">
        <v>573</v>
      </c>
      <c r="M13">
        <v>14</v>
      </c>
      <c r="N13">
        <v>13</v>
      </c>
      <c r="O13">
        <v>12</v>
      </c>
      <c r="P13" t="s">
        <v>98</v>
      </c>
      <c r="Q13">
        <v>1</v>
      </c>
      <c r="R13">
        <v>1</v>
      </c>
      <c r="T13" s="6" t="str">
        <f t="shared" si="0"/>
        <v>(196,1525,null,'003401000170000-340100017','003401000170000-340100017','超声波治疗',null,null,5,5,4.3,null,14,13,12,'每5分钟',1,1,''),</v>
      </c>
    </row>
    <row r="14" spans="1:20">
      <c r="A14">
        <v>197</v>
      </c>
      <c r="B14">
        <v>1525</v>
      </c>
      <c r="C14" t="s">
        <v>573</v>
      </c>
      <c r="D14" t="s">
        <v>362</v>
      </c>
      <c r="E14" t="s">
        <v>362</v>
      </c>
      <c r="F14" t="s">
        <v>363</v>
      </c>
      <c r="G14" t="s">
        <v>573</v>
      </c>
      <c r="H14" t="s">
        <v>573</v>
      </c>
      <c r="I14">
        <v>8</v>
      </c>
      <c r="J14">
        <v>8</v>
      </c>
      <c r="K14">
        <v>6.8</v>
      </c>
      <c r="L14" t="s">
        <v>573</v>
      </c>
      <c r="M14">
        <v>14</v>
      </c>
      <c r="N14">
        <v>13</v>
      </c>
      <c r="O14">
        <v>12</v>
      </c>
      <c r="P14" t="s">
        <v>98</v>
      </c>
      <c r="Q14">
        <v>1</v>
      </c>
      <c r="R14">
        <v>1</v>
      </c>
      <c r="T14" s="6" t="str">
        <f t="shared" si="0"/>
        <v>(197,1525,null,'003401000170001-34010001701','003401000170001-34010001701','超声波治疗（联合治疗）',null,null,8,8,6.8,null,14,13,12,'每5分钟',1,1,''),</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59"/>
  <sheetViews>
    <sheetView workbookViewId="0">
      <selection activeCell="A1" sqref="A1:X59"/>
    </sheetView>
  </sheetViews>
  <sheetFormatPr defaultColWidth="9" defaultRowHeight="14.25"/>
  <sheetData>
    <row r="1" spans="1:23">
      <c r="A1" s="1"/>
      <c r="B1" s="1" t="s">
        <v>582</v>
      </c>
      <c r="C1" s="1" t="s">
        <v>583</v>
      </c>
      <c r="D1" s="1" t="s">
        <v>584</v>
      </c>
      <c r="E1" s="1" t="s">
        <v>585</v>
      </c>
      <c r="F1" s="1" t="s">
        <v>586</v>
      </c>
      <c r="G1" s="1" t="s">
        <v>587</v>
      </c>
      <c r="H1" s="1" t="s">
        <v>588</v>
      </c>
      <c r="I1" s="1" t="s">
        <v>589</v>
      </c>
      <c r="J1" s="1" t="s">
        <v>590</v>
      </c>
      <c r="K1" s="1" t="s">
        <v>591</v>
      </c>
      <c r="L1" s="1" t="s">
        <v>592</v>
      </c>
      <c r="M1" s="1" t="s">
        <v>593</v>
      </c>
      <c r="N1" s="1" t="s">
        <v>594</v>
      </c>
      <c r="O1" s="1" t="s">
        <v>595</v>
      </c>
      <c r="P1" s="1" t="s">
        <v>596</v>
      </c>
      <c r="Q1" s="1" t="s">
        <v>597</v>
      </c>
      <c r="R1" s="1" t="s">
        <v>598</v>
      </c>
      <c r="S1" s="1" t="s">
        <v>599</v>
      </c>
      <c r="T1" s="1" t="s">
        <v>600</v>
      </c>
      <c r="U1" s="1" t="s">
        <v>601</v>
      </c>
      <c r="V1" s="1" t="s">
        <v>602</v>
      </c>
      <c r="W1" s="1" t="s">
        <v>603</v>
      </c>
    </row>
    <row r="2" ht="38.25" spans="1:23">
      <c r="A2" s="1"/>
      <c r="B2" s="1" t="s">
        <v>555</v>
      </c>
      <c r="C2" s="1" t="s">
        <v>559</v>
      </c>
      <c r="D2" s="1" t="s">
        <v>560</v>
      </c>
      <c r="E2" s="1" t="s">
        <v>561</v>
      </c>
      <c r="F2" s="1" t="s">
        <v>562</v>
      </c>
      <c r="G2" s="1" t="s">
        <v>563</v>
      </c>
      <c r="H2" s="1" t="s">
        <v>564</v>
      </c>
      <c r="I2" s="1" t="s">
        <v>565</v>
      </c>
      <c r="J2" s="1" t="s">
        <v>566</v>
      </c>
      <c r="K2" s="1" t="s">
        <v>569</v>
      </c>
      <c r="L2" s="1" t="s">
        <v>580</v>
      </c>
      <c r="M2" s="1" t="s">
        <v>571</v>
      </c>
      <c r="N2" s="1" t="s">
        <v>572</v>
      </c>
      <c r="O2" s="1" t="s">
        <v>604</v>
      </c>
      <c r="P2" s="1" t="s">
        <v>605</v>
      </c>
      <c r="Q2" s="1" t="s">
        <v>606</v>
      </c>
      <c r="R2" s="1" t="s">
        <v>607</v>
      </c>
      <c r="S2" s="1" t="s">
        <v>608</v>
      </c>
      <c r="T2" s="1" t="s">
        <v>609</v>
      </c>
      <c r="U2" s="1" t="s">
        <v>610</v>
      </c>
      <c r="V2" s="1" t="s">
        <v>611</v>
      </c>
      <c r="W2" s="1" t="s">
        <v>612</v>
      </c>
    </row>
    <row r="3" spans="1:24">
      <c r="A3" s="1">
        <v>1</v>
      </c>
      <c r="B3" s="2" t="s">
        <v>327</v>
      </c>
      <c r="C3" s="3"/>
      <c r="D3" s="2">
        <v>50</v>
      </c>
      <c r="E3" s="2">
        <v>50</v>
      </c>
      <c r="F3" s="2">
        <v>42.5</v>
      </c>
      <c r="G3" s="3"/>
      <c r="H3" s="2">
        <v>25</v>
      </c>
      <c r="I3" s="2">
        <v>23</v>
      </c>
      <c r="J3" s="2">
        <v>21</v>
      </c>
      <c r="K3" s="2">
        <v>1</v>
      </c>
      <c r="L3" s="2">
        <v>1</v>
      </c>
      <c r="M3" s="2" t="s">
        <v>578</v>
      </c>
      <c r="N3" s="2">
        <v>0</v>
      </c>
      <c r="O3" s="2">
        <v>0</v>
      </c>
      <c r="P3" s="2">
        <v>794</v>
      </c>
      <c r="Q3" s="2">
        <v>234</v>
      </c>
      <c r="R3" s="2">
        <v>0</v>
      </c>
      <c r="S3" s="2">
        <v>-21438</v>
      </c>
      <c r="T3" s="2">
        <v>-5031</v>
      </c>
      <c r="U3" s="2">
        <v>0</v>
      </c>
      <c r="V3" s="2">
        <v>-21438</v>
      </c>
      <c r="W3" s="2">
        <v>-5031</v>
      </c>
      <c r="X3">
        <f t="shared" ref="X3:X59" si="0">SUM(U3:W3)</f>
        <v>-26469</v>
      </c>
    </row>
    <row r="4" spans="1:24">
      <c r="A4" s="1">
        <v>2</v>
      </c>
      <c r="B4" s="2" t="s">
        <v>380</v>
      </c>
      <c r="C4" s="3"/>
      <c r="D4" s="2">
        <v>30</v>
      </c>
      <c r="E4" s="2">
        <v>30</v>
      </c>
      <c r="F4" s="2">
        <v>25.5</v>
      </c>
      <c r="G4" s="3"/>
      <c r="H4" s="2">
        <v>28.5</v>
      </c>
      <c r="I4" s="2">
        <v>27</v>
      </c>
      <c r="J4" s="2">
        <v>24</v>
      </c>
      <c r="K4" s="2">
        <v>1</v>
      </c>
      <c r="L4" s="2">
        <v>1</v>
      </c>
      <c r="M4" s="2" t="s">
        <v>578</v>
      </c>
      <c r="N4" s="2">
        <v>0</v>
      </c>
      <c r="O4" s="2">
        <v>6032.9</v>
      </c>
      <c r="P4" s="2">
        <v>8082.3</v>
      </c>
      <c r="Q4" s="2">
        <v>634</v>
      </c>
      <c r="R4" s="2">
        <v>-9049.35</v>
      </c>
      <c r="S4" s="2">
        <v>-24246.9</v>
      </c>
      <c r="T4" s="2">
        <v>-951</v>
      </c>
      <c r="U4" s="2">
        <v>-9049.35</v>
      </c>
      <c r="V4" s="2">
        <v>-24246.9</v>
      </c>
      <c r="W4" s="2">
        <v>-951</v>
      </c>
      <c r="X4">
        <f t="shared" si="0"/>
        <v>-34247.25</v>
      </c>
    </row>
    <row r="5" spans="1:24">
      <c r="A5" s="1">
        <v>3</v>
      </c>
      <c r="B5" s="2" t="s">
        <v>533</v>
      </c>
      <c r="C5" s="3"/>
      <c r="D5" s="2">
        <v>1250</v>
      </c>
      <c r="E5" s="2">
        <v>1200</v>
      </c>
      <c r="F5" s="2">
        <v>1020</v>
      </c>
      <c r="G5" s="3"/>
      <c r="H5" s="2">
        <v>325</v>
      </c>
      <c r="I5" s="2">
        <v>305</v>
      </c>
      <c r="J5" s="2">
        <v>265</v>
      </c>
      <c r="K5" s="2">
        <v>1</v>
      </c>
      <c r="L5" s="2">
        <v>1</v>
      </c>
      <c r="M5" s="2" t="s">
        <v>578</v>
      </c>
      <c r="N5" s="2">
        <v>0</v>
      </c>
      <c r="O5" s="2">
        <v>0.5</v>
      </c>
      <c r="P5" s="2">
        <v>0</v>
      </c>
      <c r="Q5" s="2">
        <v>0</v>
      </c>
      <c r="R5" s="2">
        <v>-462.5</v>
      </c>
      <c r="S5" s="2">
        <v>0</v>
      </c>
      <c r="T5" s="2">
        <v>0</v>
      </c>
      <c r="U5" s="2">
        <v>-462.5</v>
      </c>
      <c r="V5" s="2">
        <v>0</v>
      </c>
      <c r="W5" s="2">
        <v>0</v>
      </c>
      <c r="X5">
        <f t="shared" si="0"/>
        <v>-462.5</v>
      </c>
    </row>
    <row r="6" spans="1:24">
      <c r="A6" s="1">
        <v>4</v>
      </c>
      <c r="B6" s="2" t="s">
        <v>461</v>
      </c>
      <c r="C6" s="3"/>
      <c r="D6" s="2">
        <v>545</v>
      </c>
      <c r="E6" s="2">
        <v>490</v>
      </c>
      <c r="F6" s="2">
        <v>417</v>
      </c>
      <c r="G6" s="3"/>
      <c r="H6" s="2">
        <v>436</v>
      </c>
      <c r="I6" s="2">
        <v>392</v>
      </c>
      <c r="J6" s="2">
        <v>336</v>
      </c>
      <c r="K6" s="2">
        <v>1</v>
      </c>
      <c r="L6" s="2">
        <v>1</v>
      </c>
      <c r="M6" s="2" t="s">
        <v>578</v>
      </c>
      <c r="N6" s="2">
        <v>0</v>
      </c>
      <c r="O6" s="2">
        <v>388</v>
      </c>
      <c r="P6" s="2">
        <v>36</v>
      </c>
      <c r="Q6" s="2">
        <v>6</v>
      </c>
      <c r="R6" s="2">
        <v>-42292</v>
      </c>
      <c r="S6" s="2">
        <v>-3528</v>
      </c>
      <c r="T6" s="2">
        <v>-486</v>
      </c>
      <c r="U6" s="2">
        <v>-42292</v>
      </c>
      <c r="V6" s="2">
        <v>-3528</v>
      </c>
      <c r="W6" s="2">
        <v>-486</v>
      </c>
      <c r="X6">
        <f t="shared" si="0"/>
        <v>-46306</v>
      </c>
    </row>
    <row r="7" spans="1:24">
      <c r="A7" s="1">
        <v>5</v>
      </c>
      <c r="B7" s="2" t="s">
        <v>58</v>
      </c>
      <c r="C7" s="3"/>
      <c r="D7" s="2">
        <v>10</v>
      </c>
      <c r="E7" s="2">
        <v>10</v>
      </c>
      <c r="F7" s="2">
        <v>8.5</v>
      </c>
      <c r="G7" s="3"/>
      <c r="H7" s="2">
        <v>20</v>
      </c>
      <c r="I7" s="2">
        <v>19</v>
      </c>
      <c r="J7" s="2">
        <v>18</v>
      </c>
      <c r="K7" s="2">
        <v>1</v>
      </c>
      <c r="L7" s="2">
        <v>1</v>
      </c>
      <c r="M7" s="2" t="s">
        <v>578</v>
      </c>
      <c r="N7" s="2">
        <v>0</v>
      </c>
      <c r="O7" s="2">
        <v>1240</v>
      </c>
      <c r="P7" s="2">
        <v>3580</v>
      </c>
      <c r="Q7" s="2">
        <v>45725</v>
      </c>
      <c r="R7" s="2">
        <v>12400</v>
      </c>
      <c r="S7" s="2">
        <v>32220</v>
      </c>
      <c r="T7" s="2">
        <v>434387.5</v>
      </c>
      <c r="U7" s="2">
        <v>12400</v>
      </c>
      <c r="V7" s="2">
        <v>32220</v>
      </c>
      <c r="W7" s="2">
        <v>434387.5</v>
      </c>
      <c r="X7">
        <f t="shared" si="0"/>
        <v>479007.5</v>
      </c>
    </row>
    <row r="8" spans="1:24">
      <c r="A8" s="1">
        <v>6</v>
      </c>
      <c r="B8" s="2" t="s">
        <v>256</v>
      </c>
      <c r="C8" s="3"/>
      <c r="D8" s="2">
        <v>10</v>
      </c>
      <c r="E8" s="2">
        <v>10</v>
      </c>
      <c r="F8" s="2">
        <v>8.5</v>
      </c>
      <c r="G8" s="3"/>
      <c r="H8" s="2">
        <v>9.5</v>
      </c>
      <c r="I8" s="2">
        <v>9</v>
      </c>
      <c r="J8" s="2">
        <v>8</v>
      </c>
      <c r="K8" s="2">
        <v>1</v>
      </c>
      <c r="L8" s="2">
        <v>1</v>
      </c>
      <c r="M8" s="2" t="s">
        <v>578</v>
      </c>
      <c r="N8" s="2">
        <v>0</v>
      </c>
      <c r="O8" s="2">
        <v>2406.8</v>
      </c>
      <c r="P8" s="2">
        <v>193763.75</v>
      </c>
      <c r="Q8" s="2">
        <v>0</v>
      </c>
      <c r="R8" s="2">
        <v>-1203.4</v>
      </c>
      <c r="S8" s="2">
        <v>-193763.75</v>
      </c>
      <c r="T8" s="2">
        <v>0</v>
      </c>
      <c r="U8" s="2">
        <v>-1203.4</v>
      </c>
      <c r="V8" s="2">
        <v>-193763.75</v>
      </c>
      <c r="W8" s="2">
        <v>0</v>
      </c>
      <c r="X8">
        <f t="shared" si="0"/>
        <v>-194967.15</v>
      </c>
    </row>
    <row r="9" spans="1:24">
      <c r="A9" s="1">
        <v>7</v>
      </c>
      <c r="B9" s="2" t="s">
        <v>174</v>
      </c>
      <c r="C9" s="3"/>
      <c r="D9" s="2">
        <v>10.5</v>
      </c>
      <c r="E9" s="2">
        <v>10</v>
      </c>
      <c r="F9" s="2">
        <v>8.5</v>
      </c>
      <c r="G9" s="3"/>
      <c r="H9" s="2">
        <v>14</v>
      </c>
      <c r="I9" s="2">
        <v>13</v>
      </c>
      <c r="J9" s="2">
        <v>12</v>
      </c>
      <c r="K9" s="2">
        <v>1</v>
      </c>
      <c r="L9" s="2">
        <v>1</v>
      </c>
      <c r="M9" s="2" t="s">
        <v>578</v>
      </c>
      <c r="N9" s="2">
        <v>0</v>
      </c>
      <c r="O9" s="2">
        <v>3</v>
      </c>
      <c r="P9" s="2">
        <v>0</v>
      </c>
      <c r="Q9" s="2">
        <v>0</v>
      </c>
      <c r="R9" s="2">
        <v>10.5</v>
      </c>
      <c r="S9" s="2">
        <v>0</v>
      </c>
      <c r="T9" s="2">
        <v>0</v>
      </c>
      <c r="U9" s="2">
        <v>10.5</v>
      </c>
      <c r="V9" s="2">
        <v>0</v>
      </c>
      <c r="W9" s="2">
        <v>0</v>
      </c>
      <c r="X9">
        <f t="shared" si="0"/>
        <v>10.5</v>
      </c>
    </row>
    <row r="10" spans="1:24">
      <c r="A10" s="1">
        <v>8</v>
      </c>
      <c r="B10" s="2" t="s">
        <v>150</v>
      </c>
      <c r="C10" s="3"/>
      <c r="D10" s="2">
        <v>22</v>
      </c>
      <c r="E10" s="2">
        <v>20</v>
      </c>
      <c r="F10" s="2">
        <v>17</v>
      </c>
      <c r="G10" s="3"/>
      <c r="H10" s="2">
        <v>18</v>
      </c>
      <c r="I10" s="2">
        <v>17</v>
      </c>
      <c r="J10" s="2">
        <v>15</v>
      </c>
      <c r="K10" s="2">
        <v>1</v>
      </c>
      <c r="L10" s="2">
        <v>1</v>
      </c>
      <c r="M10" s="2" t="s">
        <v>578</v>
      </c>
      <c r="N10" s="2">
        <v>0</v>
      </c>
      <c r="O10" s="2">
        <v>27</v>
      </c>
      <c r="P10" s="2">
        <v>8</v>
      </c>
      <c r="Q10" s="2">
        <v>0</v>
      </c>
      <c r="R10" s="2">
        <v>-108</v>
      </c>
      <c r="S10" s="2">
        <v>-24</v>
      </c>
      <c r="T10" s="2">
        <v>0</v>
      </c>
      <c r="U10" s="2">
        <v>-108</v>
      </c>
      <c r="V10" s="2">
        <v>-24</v>
      </c>
      <c r="W10" s="2">
        <v>0</v>
      </c>
      <c r="X10">
        <f t="shared" si="0"/>
        <v>-132</v>
      </c>
    </row>
    <row r="11" spans="1:24">
      <c r="A11" s="1">
        <v>9</v>
      </c>
      <c r="B11" s="2" t="s">
        <v>239</v>
      </c>
      <c r="C11" s="3"/>
      <c r="D11" s="2">
        <v>10</v>
      </c>
      <c r="E11" s="2">
        <v>10</v>
      </c>
      <c r="F11" s="2">
        <v>8.5</v>
      </c>
      <c r="G11" s="3"/>
      <c r="H11" s="2">
        <v>9.5</v>
      </c>
      <c r="I11" s="2">
        <v>9</v>
      </c>
      <c r="J11" s="2">
        <v>8</v>
      </c>
      <c r="K11" s="2">
        <v>1</v>
      </c>
      <c r="L11" s="2">
        <v>1</v>
      </c>
      <c r="M11" s="2" t="s">
        <v>578</v>
      </c>
      <c r="N11" s="2">
        <v>0</v>
      </c>
      <c r="O11" s="2">
        <v>3543.6</v>
      </c>
      <c r="P11" s="2">
        <v>10004.9599</v>
      </c>
      <c r="Q11" s="2">
        <v>224</v>
      </c>
      <c r="R11" s="2">
        <v>-1771.8</v>
      </c>
      <c r="S11" s="2">
        <v>-10004.9599</v>
      </c>
      <c r="T11" s="2">
        <v>-112</v>
      </c>
      <c r="U11" s="2">
        <v>-1771.8</v>
      </c>
      <c r="V11" s="2">
        <v>-10004.9599</v>
      </c>
      <c r="W11" s="2">
        <v>-112</v>
      </c>
      <c r="X11">
        <f t="shared" si="0"/>
        <v>-11888.7599</v>
      </c>
    </row>
    <row r="12" spans="1:24">
      <c r="A12" s="1">
        <v>10</v>
      </c>
      <c r="B12" s="2" t="s">
        <v>220</v>
      </c>
      <c r="C12" s="3"/>
      <c r="D12" s="2">
        <v>27.5</v>
      </c>
      <c r="E12" s="2">
        <v>25</v>
      </c>
      <c r="F12" s="2">
        <v>21.3</v>
      </c>
      <c r="G12" s="3"/>
      <c r="H12" s="2">
        <v>24</v>
      </c>
      <c r="I12" s="2">
        <v>22</v>
      </c>
      <c r="J12" s="2">
        <v>20</v>
      </c>
      <c r="K12" s="2">
        <v>1</v>
      </c>
      <c r="L12" s="2">
        <v>1</v>
      </c>
      <c r="M12" s="2" t="s">
        <v>578</v>
      </c>
      <c r="N12" s="2">
        <v>0</v>
      </c>
      <c r="O12" s="2">
        <v>1259</v>
      </c>
      <c r="P12" s="2">
        <v>1</v>
      </c>
      <c r="Q12" s="2">
        <v>4</v>
      </c>
      <c r="R12" s="2">
        <v>-4406.5</v>
      </c>
      <c r="S12" s="2">
        <v>-3</v>
      </c>
      <c r="T12" s="2">
        <v>-5.2</v>
      </c>
      <c r="U12" s="2">
        <v>-4406.5</v>
      </c>
      <c r="V12" s="2">
        <v>-3</v>
      </c>
      <c r="W12" s="2">
        <v>-5.2</v>
      </c>
      <c r="X12">
        <f t="shared" si="0"/>
        <v>-4414.7</v>
      </c>
    </row>
    <row r="13" spans="1:24">
      <c r="A13" s="1">
        <v>11</v>
      </c>
      <c r="B13" s="2" t="s">
        <v>186</v>
      </c>
      <c r="C13" s="3"/>
      <c r="D13" s="2">
        <v>15</v>
      </c>
      <c r="E13" s="2">
        <v>15</v>
      </c>
      <c r="F13" s="2">
        <v>12.8</v>
      </c>
      <c r="G13" s="3"/>
      <c r="H13" s="2">
        <v>19</v>
      </c>
      <c r="I13" s="2">
        <v>18</v>
      </c>
      <c r="J13" s="2">
        <v>16</v>
      </c>
      <c r="K13" s="2">
        <v>1</v>
      </c>
      <c r="L13" s="2">
        <v>1</v>
      </c>
      <c r="M13" s="2" t="s">
        <v>578</v>
      </c>
      <c r="N13" s="2">
        <v>0</v>
      </c>
      <c r="O13" s="2">
        <v>1019</v>
      </c>
      <c r="P13" s="2">
        <v>11474.6616</v>
      </c>
      <c r="Q13" s="2">
        <v>0</v>
      </c>
      <c r="R13" s="2">
        <v>4076</v>
      </c>
      <c r="S13" s="2">
        <v>34423.9848</v>
      </c>
      <c r="T13" s="2">
        <v>0</v>
      </c>
      <c r="U13" s="2">
        <v>4076</v>
      </c>
      <c r="V13" s="2">
        <v>34423.9848</v>
      </c>
      <c r="W13" s="2">
        <v>0</v>
      </c>
      <c r="X13">
        <f t="shared" si="0"/>
        <v>38499.9848</v>
      </c>
    </row>
    <row r="14" spans="1:24">
      <c r="A14" s="1">
        <v>12</v>
      </c>
      <c r="B14" s="2" t="s">
        <v>336</v>
      </c>
      <c r="C14" s="3"/>
      <c r="D14" s="2">
        <v>25</v>
      </c>
      <c r="E14" s="2">
        <v>25</v>
      </c>
      <c r="F14" s="2">
        <v>21.3</v>
      </c>
      <c r="G14" s="3"/>
      <c r="H14" s="2">
        <v>25</v>
      </c>
      <c r="I14" s="2">
        <v>23</v>
      </c>
      <c r="J14" s="2">
        <v>21</v>
      </c>
      <c r="K14" s="2">
        <v>1</v>
      </c>
      <c r="L14" s="2">
        <v>1</v>
      </c>
      <c r="M14" s="2" t="s">
        <v>578</v>
      </c>
      <c r="N14" s="2">
        <v>0</v>
      </c>
      <c r="O14" s="2">
        <v>0</v>
      </c>
      <c r="P14" s="2">
        <v>4</v>
      </c>
      <c r="Q14" s="2">
        <v>0</v>
      </c>
      <c r="R14" s="2">
        <v>0</v>
      </c>
      <c r="S14" s="2">
        <v>-8</v>
      </c>
      <c r="T14" s="2">
        <v>0</v>
      </c>
      <c r="U14" s="2">
        <v>0</v>
      </c>
      <c r="V14" s="2">
        <v>-8</v>
      </c>
      <c r="W14" s="2">
        <v>0</v>
      </c>
      <c r="X14">
        <f t="shared" si="0"/>
        <v>-8</v>
      </c>
    </row>
    <row r="15" spans="1:24">
      <c r="A15" s="1">
        <v>13</v>
      </c>
      <c r="B15" s="2" t="s">
        <v>286</v>
      </c>
      <c r="C15" s="3"/>
      <c r="D15" s="2">
        <v>30</v>
      </c>
      <c r="E15" s="2">
        <v>30</v>
      </c>
      <c r="F15" s="2">
        <v>25.5</v>
      </c>
      <c r="G15" s="3"/>
      <c r="H15" s="2">
        <v>28.5</v>
      </c>
      <c r="I15" s="2">
        <v>27</v>
      </c>
      <c r="J15" s="2">
        <v>24</v>
      </c>
      <c r="K15" s="2">
        <v>1</v>
      </c>
      <c r="L15" s="2">
        <v>1</v>
      </c>
      <c r="M15" s="2" t="s">
        <v>578</v>
      </c>
      <c r="N15" s="2">
        <v>0</v>
      </c>
      <c r="O15" s="2">
        <v>13</v>
      </c>
      <c r="P15" s="2">
        <v>361.3</v>
      </c>
      <c r="Q15" s="2">
        <v>0</v>
      </c>
      <c r="R15" s="2">
        <v>-19.5</v>
      </c>
      <c r="S15" s="2">
        <v>-1083.9</v>
      </c>
      <c r="T15" s="2">
        <v>0</v>
      </c>
      <c r="U15" s="2">
        <v>-19.5</v>
      </c>
      <c r="V15" s="2">
        <v>-1083.9</v>
      </c>
      <c r="W15" s="2">
        <v>0</v>
      </c>
      <c r="X15">
        <f t="shared" si="0"/>
        <v>-1103.4</v>
      </c>
    </row>
    <row r="16" spans="1:24">
      <c r="A16" s="1">
        <v>14</v>
      </c>
      <c r="B16" s="2" t="s">
        <v>61</v>
      </c>
      <c r="C16" s="3"/>
      <c r="D16" s="2">
        <v>10</v>
      </c>
      <c r="E16" s="2">
        <v>10</v>
      </c>
      <c r="F16" s="2">
        <v>8.5</v>
      </c>
      <c r="G16" s="3"/>
      <c r="H16" s="2">
        <v>20</v>
      </c>
      <c r="I16" s="2">
        <v>19</v>
      </c>
      <c r="J16" s="2">
        <v>18</v>
      </c>
      <c r="K16" s="2">
        <v>1</v>
      </c>
      <c r="L16" s="2">
        <v>1</v>
      </c>
      <c r="M16" s="2" t="s">
        <v>578</v>
      </c>
      <c r="N16" s="2">
        <v>0</v>
      </c>
      <c r="O16" s="2">
        <v>10538.8</v>
      </c>
      <c r="P16" s="2">
        <v>422</v>
      </c>
      <c r="Q16" s="2">
        <v>40</v>
      </c>
      <c r="R16" s="2">
        <v>105388</v>
      </c>
      <c r="S16" s="2">
        <v>3798</v>
      </c>
      <c r="T16" s="2">
        <v>380</v>
      </c>
      <c r="U16" s="2">
        <v>105388</v>
      </c>
      <c r="V16" s="2">
        <v>3798</v>
      </c>
      <c r="W16" s="2">
        <v>380</v>
      </c>
      <c r="X16">
        <f t="shared" si="0"/>
        <v>109566</v>
      </c>
    </row>
    <row r="17" spans="1:24">
      <c r="A17" s="1">
        <v>15</v>
      </c>
      <c r="B17" s="2" t="s">
        <v>324</v>
      </c>
      <c r="C17" s="3"/>
      <c r="D17" s="2">
        <v>15</v>
      </c>
      <c r="E17" s="2">
        <v>15</v>
      </c>
      <c r="F17" s="2">
        <v>12.8</v>
      </c>
      <c r="G17" s="3"/>
      <c r="H17" s="2">
        <v>25</v>
      </c>
      <c r="I17" s="2">
        <v>23</v>
      </c>
      <c r="J17" s="2">
        <v>21</v>
      </c>
      <c r="K17" s="2">
        <v>1</v>
      </c>
      <c r="L17" s="2">
        <v>1</v>
      </c>
      <c r="M17" s="2" t="s">
        <v>578</v>
      </c>
      <c r="N17" s="2">
        <v>0</v>
      </c>
      <c r="O17" s="2">
        <v>0</v>
      </c>
      <c r="P17" s="2">
        <v>3</v>
      </c>
      <c r="Q17" s="2">
        <v>1513</v>
      </c>
      <c r="R17" s="2">
        <v>0</v>
      </c>
      <c r="S17" s="2">
        <v>24</v>
      </c>
      <c r="T17" s="2">
        <v>12406.6</v>
      </c>
      <c r="U17" s="2">
        <v>0</v>
      </c>
      <c r="V17" s="2">
        <v>24</v>
      </c>
      <c r="W17" s="2">
        <v>12406.6</v>
      </c>
      <c r="X17">
        <f t="shared" si="0"/>
        <v>12430.6</v>
      </c>
    </row>
    <row r="18" spans="1:24">
      <c r="A18" s="1">
        <v>16</v>
      </c>
      <c r="B18" s="2" t="s">
        <v>321</v>
      </c>
      <c r="C18" s="3"/>
      <c r="D18" s="2">
        <v>15</v>
      </c>
      <c r="E18" s="2">
        <v>15</v>
      </c>
      <c r="F18" s="2">
        <v>12.8</v>
      </c>
      <c r="G18" s="3"/>
      <c r="H18" s="2">
        <v>25</v>
      </c>
      <c r="I18" s="2">
        <v>23</v>
      </c>
      <c r="J18" s="2">
        <v>21</v>
      </c>
      <c r="K18" s="2">
        <v>1</v>
      </c>
      <c r="L18" s="2">
        <v>1</v>
      </c>
      <c r="M18" s="2" t="s">
        <v>578</v>
      </c>
      <c r="N18" s="2">
        <v>0</v>
      </c>
      <c r="O18" s="2">
        <v>372.1</v>
      </c>
      <c r="P18" s="2">
        <v>1642.5</v>
      </c>
      <c r="Q18" s="2">
        <v>135</v>
      </c>
      <c r="R18" s="2">
        <v>3721</v>
      </c>
      <c r="S18" s="2">
        <v>13140</v>
      </c>
      <c r="T18" s="2">
        <v>1107</v>
      </c>
      <c r="U18" s="2">
        <v>3721</v>
      </c>
      <c r="V18" s="2">
        <v>13140</v>
      </c>
      <c r="W18" s="2">
        <v>1107</v>
      </c>
      <c r="X18">
        <f t="shared" si="0"/>
        <v>17968</v>
      </c>
    </row>
    <row r="19" spans="1:24">
      <c r="A19" s="1">
        <v>17</v>
      </c>
      <c r="B19" s="2" t="s">
        <v>164</v>
      </c>
      <c r="C19" s="3"/>
      <c r="D19" s="2">
        <v>27.5</v>
      </c>
      <c r="E19" s="2">
        <v>25</v>
      </c>
      <c r="F19" s="2">
        <v>21.3</v>
      </c>
      <c r="G19" s="3"/>
      <c r="H19" s="2">
        <v>14</v>
      </c>
      <c r="I19" s="2">
        <v>13</v>
      </c>
      <c r="J19" s="2">
        <v>12</v>
      </c>
      <c r="K19" s="2">
        <v>1</v>
      </c>
      <c r="L19" s="2">
        <v>1</v>
      </c>
      <c r="M19" s="2" t="s">
        <v>578</v>
      </c>
      <c r="N19" s="2">
        <v>0</v>
      </c>
      <c r="O19" s="2">
        <v>38001.2</v>
      </c>
      <c r="P19" s="2">
        <v>92256.93</v>
      </c>
      <c r="Q19" s="2">
        <v>4556</v>
      </c>
      <c r="R19" s="2">
        <v>-513016.2</v>
      </c>
      <c r="S19" s="2">
        <v>-1107083.16</v>
      </c>
      <c r="T19" s="2">
        <v>-42370.8</v>
      </c>
      <c r="U19" s="2">
        <v>-513016.2</v>
      </c>
      <c r="V19" s="2">
        <v>-1170823.86</v>
      </c>
      <c r="W19" s="2">
        <v>-42370.8</v>
      </c>
      <c r="X19">
        <f t="shared" si="0"/>
        <v>-1726210.86</v>
      </c>
    </row>
    <row r="20" spans="1:24">
      <c r="A20" s="1">
        <v>18</v>
      </c>
      <c r="B20" s="2" t="s">
        <v>49</v>
      </c>
      <c r="C20" s="3"/>
      <c r="D20" s="2">
        <v>10</v>
      </c>
      <c r="E20" s="2">
        <v>10</v>
      </c>
      <c r="F20" s="2">
        <v>8.5</v>
      </c>
      <c r="G20" s="3"/>
      <c r="H20" s="2">
        <v>20</v>
      </c>
      <c r="I20" s="2">
        <v>19</v>
      </c>
      <c r="J20" s="2">
        <v>18</v>
      </c>
      <c r="K20" s="2">
        <v>1</v>
      </c>
      <c r="L20" s="2">
        <v>1</v>
      </c>
      <c r="M20" s="2" t="s">
        <v>578</v>
      </c>
      <c r="N20" s="2">
        <v>0</v>
      </c>
      <c r="O20" s="2">
        <v>0</v>
      </c>
      <c r="P20" s="2">
        <v>24302.6</v>
      </c>
      <c r="Q20" s="2">
        <v>0</v>
      </c>
      <c r="R20" s="2">
        <v>0</v>
      </c>
      <c r="S20" s="2">
        <v>218723.4</v>
      </c>
      <c r="T20" s="2">
        <v>0</v>
      </c>
      <c r="U20" s="2">
        <v>0</v>
      </c>
      <c r="V20" s="2">
        <v>218723.4</v>
      </c>
      <c r="W20" s="2">
        <v>0</v>
      </c>
      <c r="X20">
        <f t="shared" si="0"/>
        <v>218723.4</v>
      </c>
    </row>
    <row r="21" spans="1:24">
      <c r="A21" s="1">
        <v>19</v>
      </c>
      <c r="B21" s="2" t="s">
        <v>143</v>
      </c>
      <c r="C21" s="3"/>
      <c r="D21" s="2">
        <v>33</v>
      </c>
      <c r="E21" s="2">
        <v>30</v>
      </c>
      <c r="F21" s="2">
        <v>25.5</v>
      </c>
      <c r="G21" s="3"/>
      <c r="H21" s="2">
        <v>18</v>
      </c>
      <c r="I21" s="2">
        <v>17</v>
      </c>
      <c r="J21" s="2">
        <v>15</v>
      </c>
      <c r="K21" s="2">
        <v>1</v>
      </c>
      <c r="L21" s="2">
        <v>1</v>
      </c>
      <c r="M21" s="2" t="s">
        <v>578</v>
      </c>
      <c r="N21" s="2">
        <v>0</v>
      </c>
      <c r="O21" s="2">
        <v>3</v>
      </c>
      <c r="P21" s="2">
        <v>0</v>
      </c>
      <c r="Q21" s="2">
        <v>0</v>
      </c>
      <c r="R21" s="2">
        <v>-45</v>
      </c>
      <c r="S21" s="2">
        <v>0</v>
      </c>
      <c r="T21" s="2">
        <v>0</v>
      </c>
      <c r="U21" s="2">
        <v>-45</v>
      </c>
      <c r="V21" s="2">
        <v>0</v>
      </c>
      <c r="W21" s="2">
        <v>0</v>
      </c>
      <c r="X21">
        <f t="shared" si="0"/>
        <v>-45</v>
      </c>
    </row>
    <row r="22" spans="1:24">
      <c r="A22" s="1">
        <v>20</v>
      </c>
      <c r="B22" s="2" t="s">
        <v>521</v>
      </c>
      <c r="C22" s="3"/>
      <c r="D22" s="2">
        <v>2000</v>
      </c>
      <c r="E22" s="2">
        <v>1800</v>
      </c>
      <c r="F22" s="2">
        <v>1530</v>
      </c>
      <c r="G22" s="3"/>
      <c r="H22" s="2">
        <v>3250</v>
      </c>
      <c r="I22" s="2">
        <v>3050</v>
      </c>
      <c r="J22" s="2">
        <v>2650</v>
      </c>
      <c r="K22" s="2">
        <v>1</v>
      </c>
      <c r="L22" s="2">
        <v>1</v>
      </c>
      <c r="M22" s="2" t="s">
        <v>578</v>
      </c>
      <c r="N22" s="2">
        <v>0</v>
      </c>
      <c r="O22" s="2">
        <v>112.5</v>
      </c>
      <c r="P22" s="2">
        <v>14</v>
      </c>
      <c r="Q22" s="2">
        <v>1</v>
      </c>
      <c r="R22" s="2">
        <v>140625</v>
      </c>
      <c r="S22" s="2">
        <v>17500</v>
      </c>
      <c r="T22" s="2">
        <v>1120</v>
      </c>
      <c r="U22" s="2">
        <v>140625</v>
      </c>
      <c r="V22" s="2">
        <v>17500</v>
      </c>
      <c r="W22" s="2">
        <v>1120</v>
      </c>
      <c r="X22">
        <f t="shared" si="0"/>
        <v>159245</v>
      </c>
    </row>
    <row r="23" spans="1:24">
      <c r="A23" s="1">
        <v>21</v>
      </c>
      <c r="B23" s="2" t="s">
        <v>476</v>
      </c>
      <c r="C23" s="3"/>
      <c r="D23" s="2">
        <v>1875</v>
      </c>
      <c r="E23" s="2">
        <v>1800</v>
      </c>
      <c r="F23" s="2">
        <v>1530</v>
      </c>
      <c r="G23" s="3"/>
      <c r="H23" s="2">
        <v>2700</v>
      </c>
      <c r="I23" s="2">
        <v>2430</v>
      </c>
      <c r="J23" s="2">
        <v>2070</v>
      </c>
      <c r="K23" s="2">
        <v>1</v>
      </c>
      <c r="L23" s="2">
        <v>1</v>
      </c>
      <c r="M23" s="2" t="s">
        <v>578</v>
      </c>
      <c r="N23" s="2">
        <v>0</v>
      </c>
      <c r="O23" s="2">
        <v>105.9</v>
      </c>
      <c r="P23" s="2">
        <v>4</v>
      </c>
      <c r="Q23" s="2">
        <v>0</v>
      </c>
      <c r="R23" s="2">
        <v>87367.5</v>
      </c>
      <c r="S23" s="2">
        <v>2520</v>
      </c>
      <c r="T23" s="2">
        <v>0</v>
      </c>
      <c r="U23" s="2">
        <v>87367.5</v>
      </c>
      <c r="V23" s="2">
        <v>3960</v>
      </c>
      <c r="W23" s="2">
        <v>0</v>
      </c>
      <c r="X23">
        <f t="shared" si="0"/>
        <v>91327.5</v>
      </c>
    </row>
    <row r="24" spans="1:24">
      <c r="A24" s="1">
        <v>22</v>
      </c>
      <c r="B24" s="2" t="s">
        <v>344</v>
      </c>
      <c r="C24" s="3"/>
      <c r="D24" s="2">
        <v>12</v>
      </c>
      <c r="E24" s="2">
        <v>12</v>
      </c>
      <c r="F24" s="2">
        <v>10.2</v>
      </c>
      <c r="G24" s="3"/>
      <c r="H24" s="2">
        <v>14</v>
      </c>
      <c r="I24" s="2">
        <v>13</v>
      </c>
      <c r="J24" s="2">
        <v>12</v>
      </c>
      <c r="K24" s="2">
        <v>1</v>
      </c>
      <c r="L24" s="2">
        <v>1</v>
      </c>
      <c r="M24" s="2" t="s">
        <v>578</v>
      </c>
      <c r="N24" s="2">
        <v>0</v>
      </c>
      <c r="O24" s="2">
        <v>475</v>
      </c>
      <c r="P24" s="2">
        <v>12674.7</v>
      </c>
      <c r="Q24" s="2">
        <v>3293</v>
      </c>
      <c r="R24" s="2">
        <v>950</v>
      </c>
      <c r="S24" s="2">
        <v>12674.7</v>
      </c>
      <c r="T24" s="2">
        <v>5927.4</v>
      </c>
      <c r="U24" s="2">
        <v>950</v>
      </c>
      <c r="V24" s="2">
        <v>12739.5</v>
      </c>
      <c r="W24" s="2">
        <v>5927.4</v>
      </c>
      <c r="X24">
        <f t="shared" si="0"/>
        <v>19616.9</v>
      </c>
    </row>
    <row r="25" spans="1:24">
      <c r="A25" s="1">
        <v>23</v>
      </c>
      <c r="B25" s="2" t="s">
        <v>70</v>
      </c>
      <c r="C25" s="3"/>
      <c r="D25" s="2">
        <v>10</v>
      </c>
      <c r="E25" s="2">
        <v>10</v>
      </c>
      <c r="F25" s="2">
        <v>8.5</v>
      </c>
      <c r="G25" s="3"/>
      <c r="H25" s="2">
        <v>20</v>
      </c>
      <c r="I25" s="2">
        <v>19</v>
      </c>
      <c r="J25" s="2">
        <v>18</v>
      </c>
      <c r="K25" s="2">
        <v>1</v>
      </c>
      <c r="L25" s="2">
        <v>1</v>
      </c>
      <c r="M25" s="2" t="s">
        <v>578</v>
      </c>
      <c r="N25" s="2">
        <v>0</v>
      </c>
      <c r="O25" s="2">
        <v>5307</v>
      </c>
      <c r="P25" s="2">
        <v>1419.8</v>
      </c>
      <c r="Q25" s="2">
        <v>28</v>
      </c>
      <c r="R25" s="2">
        <v>53070</v>
      </c>
      <c r="S25" s="2">
        <v>12778.2</v>
      </c>
      <c r="T25" s="2">
        <v>266</v>
      </c>
      <c r="U25" s="2">
        <v>53070</v>
      </c>
      <c r="V25" s="2">
        <v>12778.2</v>
      </c>
      <c r="W25" s="2">
        <v>266</v>
      </c>
      <c r="X25">
        <f t="shared" si="0"/>
        <v>66114.2</v>
      </c>
    </row>
    <row r="26" spans="1:24">
      <c r="A26" s="1">
        <v>24</v>
      </c>
      <c r="B26" s="2" t="s">
        <v>358</v>
      </c>
      <c r="C26" s="3"/>
      <c r="D26" s="2">
        <v>5</v>
      </c>
      <c r="E26" s="2">
        <v>5</v>
      </c>
      <c r="F26" s="2">
        <v>4.3</v>
      </c>
      <c r="G26" s="3"/>
      <c r="H26" s="2">
        <v>14</v>
      </c>
      <c r="I26" s="2">
        <v>13</v>
      </c>
      <c r="J26" s="2">
        <v>12</v>
      </c>
      <c r="K26" s="2">
        <v>1</v>
      </c>
      <c r="L26" s="2">
        <v>1</v>
      </c>
      <c r="M26" s="2" t="s">
        <v>578</v>
      </c>
      <c r="N26" s="2">
        <v>0</v>
      </c>
      <c r="O26" s="2">
        <v>15981.4</v>
      </c>
      <c r="P26" s="2">
        <v>155407.3696</v>
      </c>
      <c r="Q26" s="2">
        <v>12285</v>
      </c>
      <c r="R26" s="2">
        <v>143832.6</v>
      </c>
      <c r="S26" s="2">
        <v>1243258.9568</v>
      </c>
      <c r="T26" s="2">
        <v>94594.5</v>
      </c>
      <c r="U26" s="2">
        <v>143832.6</v>
      </c>
      <c r="V26" s="2">
        <v>1243261.6549</v>
      </c>
      <c r="W26" s="2">
        <v>94594.5</v>
      </c>
      <c r="X26">
        <f t="shared" si="0"/>
        <v>1481688.7549</v>
      </c>
    </row>
    <row r="27" spans="1:24">
      <c r="A27" s="1">
        <v>25</v>
      </c>
      <c r="B27" s="2" t="s">
        <v>106</v>
      </c>
      <c r="C27" s="3"/>
      <c r="D27" s="2">
        <v>8.8</v>
      </c>
      <c r="E27" s="2">
        <v>8</v>
      </c>
      <c r="F27" s="2">
        <v>6.8</v>
      </c>
      <c r="G27" s="3"/>
      <c r="H27" s="2">
        <v>10.5</v>
      </c>
      <c r="I27" s="2">
        <v>10</v>
      </c>
      <c r="J27" s="2">
        <v>9</v>
      </c>
      <c r="K27" s="2">
        <v>1</v>
      </c>
      <c r="L27" s="2">
        <v>1</v>
      </c>
      <c r="M27" s="2" t="s">
        <v>578</v>
      </c>
      <c r="N27" s="2">
        <v>0</v>
      </c>
      <c r="O27" s="2">
        <v>0</v>
      </c>
      <c r="P27" s="2">
        <v>370</v>
      </c>
      <c r="Q27" s="2">
        <v>0</v>
      </c>
      <c r="R27" s="2">
        <v>0</v>
      </c>
      <c r="S27" s="2">
        <v>740</v>
      </c>
      <c r="T27" s="2">
        <v>0</v>
      </c>
      <c r="U27" s="2">
        <v>0</v>
      </c>
      <c r="V27" s="2">
        <v>740</v>
      </c>
      <c r="W27" s="2">
        <v>0</v>
      </c>
      <c r="X27">
        <f t="shared" si="0"/>
        <v>740</v>
      </c>
    </row>
    <row r="28" spans="1:24">
      <c r="A28" s="1">
        <v>26</v>
      </c>
      <c r="B28" s="2" t="s">
        <v>263</v>
      </c>
      <c r="C28" s="3"/>
      <c r="D28" s="2">
        <v>10</v>
      </c>
      <c r="E28" s="2">
        <v>10</v>
      </c>
      <c r="F28" s="2">
        <v>8.5</v>
      </c>
      <c r="G28" s="3"/>
      <c r="H28" s="2">
        <v>9.5</v>
      </c>
      <c r="I28" s="2">
        <v>9</v>
      </c>
      <c r="J28" s="2">
        <v>8</v>
      </c>
      <c r="K28" s="2">
        <v>1</v>
      </c>
      <c r="L28" s="2">
        <v>1</v>
      </c>
      <c r="M28" s="2" t="s">
        <v>578</v>
      </c>
      <c r="N28" s="2">
        <v>0</v>
      </c>
      <c r="O28" s="2">
        <v>2131</v>
      </c>
      <c r="P28" s="2">
        <v>90208.8</v>
      </c>
      <c r="Q28" s="2">
        <v>2746</v>
      </c>
      <c r="R28" s="2">
        <v>-1065.5</v>
      </c>
      <c r="S28" s="2">
        <v>-90208.8</v>
      </c>
      <c r="T28" s="2">
        <v>-1373</v>
      </c>
      <c r="U28" s="2">
        <v>-1065.5</v>
      </c>
      <c r="V28" s="2">
        <v>-90208.8</v>
      </c>
      <c r="W28" s="2">
        <v>-1373</v>
      </c>
      <c r="X28">
        <f t="shared" si="0"/>
        <v>-92647.3</v>
      </c>
    </row>
    <row r="29" spans="1:24">
      <c r="A29" s="1">
        <v>27</v>
      </c>
      <c r="B29" s="2" t="s">
        <v>271</v>
      </c>
      <c r="C29" s="3"/>
      <c r="D29" s="2">
        <v>20</v>
      </c>
      <c r="E29" s="2">
        <v>20</v>
      </c>
      <c r="F29" s="2">
        <v>17</v>
      </c>
      <c r="G29" s="3"/>
      <c r="H29" s="2">
        <v>9.5</v>
      </c>
      <c r="I29" s="2">
        <v>9</v>
      </c>
      <c r="J29" s="2">
        <v>8</v>
      </c>
      <c r="K29" s="2">
        <v>1</v>
      </c>
      <c r="L29" s="2">
        <v>1</v>
      </c>
      <c r="M29" s="2" t="s">
        <v>578</v>
      </c>
      <c r="N29" s="2">
        <v>0</v>
      </c>
      <c r="O29" s="2">
        <v>44961.2756</v>
      </c>
      <c r="P29" s="2">
        <v>43848.28</v>
      </c>
      <c r="Q29" s="2">
        <v>5842.8</v>
      </c>
      <c r="R29" s="2">
        <v>-472093.3938</v>
      </c>
      <c r="S29" s="2">
        <v>-482331.08</v>
      </c>
      <c r="T29" s="2">
        <v>-52585.2</v>
      </c>
      <c r="U29" s="2">
        <v>-472093.3938</v>
      </c>
      <c r="V29" s="2">
        <v>-480858.08</v>
      </c>
      <c r="W29" s="2">
        <v>-52585.2</v>
      </c>
      <c r="X29">
        <f t="shared" si="0"/>
        <v>-1005536.6738</v>
      </c>
    </row>
    <row r="30" spans="1:24">
      <c r="A30" s="1">
        <v>28</v>
      </c>
      <c r="B30" s="2" t="s">
        <v>154</v>
      </c>
      <c r="C30" s="3"/>
      <c r="D30" s="2">
        <v>66</v>
      </c>
      <c r="E30" s="2">
        <v>60</v>
      </c>
      <c r="F30" s="2">
        <v>51</v>
      </c>
      <c r="G30" s="3"/>
      <c r="H30" s="2">
        <v>18</v>
      </c>
      <c r="I30" s="2">
        <v>17</v>
      </c>
      <c r="J30" s="2">
        <v>15</v>
      </c>
      <c r="K30" s="2">
        <v>1</v>
      </c>
      <c r="L30" s="2">
        <v>1</v>
      </c>
      <c r="M30" s="2" t="s">
        <v>578</v>
      </c>
      <c r="N30" s="2">
        <v>0</v>
      </c>
      <c r="O30" s="2">
        <v>198</v>
      </c>
      <c r="P30" s="2">
        <v>1</v>
      </c>
      <c r="Q30" s="2">
        <v>0</v>
      </c>
      <c r="R30" s="2">
        <v>-9504</v>
      </c>
      <c r="S30" s="2">
        <v>-43</v>
      </c>
      <c r="T30" s="2">
        <v>0</v>
      </c>
      <c r="U30" s="2">
        <v>-9504</v>
      </c>
      <c r="V30" s="2">
        <v>-43</v>
      </c>
      <c r="W30" s="2">
        <v>0</v>
      </c>
      <c r="X30">
        <f t="shared" si="0"/>
        <v>-9547</v>
      </c>
    </row>
    <row r="31" spans="1:24">
      <c r="A31" s="1">
        <v>29</v>
      </c>
      <c r="B31" s="2" t="s">
        <v>470</v>
      </c>
      <c r="C31" s="3"/>
      <c r="D31" s="2">
        <v>2500</v>
      </c>
      <c r="E31" s="2">
        <v>2400</v>
      </c>
      <c r="F31" s="2">
        <v>2040</v>
      </c>
      <c r="G31" s="3"/>
      <c r="H31" s="2">
        <v>2700</v>
      </c>
      <c r="I31" s="2">
        <v>2430</v>
      </c>
      <c r="J31" s="2">
        <v>2070</v>
      </c>
      <c r="K31" s="2">
        <v>1</v>
      </c>
      <c r="L31" s="2">
        <v>1</v>
      </c>
      <c r="M31" s="2" t="s">
        <v>578</v>
      </c>
      <c r="N31" s="2">
        <v>0</v>
      </c>
      <c r="O31" s="2">
        <v>19</v>
      </c>
      <c r="P31" s="2">
        <v>2.5</v>
      </c>
      <c r="Q31" s="2">
        <v>0</v>
      </c>
      <c r="R31" s="2">
        <v>3800</v>
      </c>
      <c r="S31" s="2">
        <v>75</v>
      </c>
      <c r="T31" s="2">
        <v>0</v>
      </c>
      <c r="U31" s="2">
        <v>3800</v>
      </c>
      <c r="V31" s="2">
        <v>75</v>
      </c>
      <c r="W31" s="2">
        <v>0</v>
      </c>
      <c r="X31">
        <f t="shared" si="0"/>
        <v>3875</v>
      </c>
    </row>
    <row r="32" spans="1:24">
      <c r="A32" s="1">
        <v>30</v>
      </c>
      <c r="B32" s="2" t="s">
        <v>46</v>
      </c>
      <c r="C32" s="3"/>
      <c r="D32" s="2">
        <v>10</v>
      </c>
      <c r="E32" s="2">
        <v>10</v>
      </c>
      <c r="F32" s="2">
        <v>8.5</v>
      </c>
      <c r="G32" s="3"/>
      <c r="H32" s="2">
        <v>20</v>
      </c>
      <c r="I32" s="2">
        <v>19</v>
      </c>
      <c r="J32" s="2">
        <v>18</v>
      </c>
      <c r="K32" s="2">
        <v>1</v>
      </c>
      <c r="L32" s="2">
        <v>1</v>
      </c>
      <c r="M32" s="2" t="s">
        <v>578</v>
      </c>
      <c r="N32" s="2">
        <v>0</v>
      </c>
      <c r="O32" s="2">
        <v>124110</v>
      </c>
      <c r="P32" s="2">
        <v>276195.5998</v>
      </c>
      <c r="Q32" s="2">
        <v>31954</v>
      </c>
      <c r="R32" s="2">
        <v>1241100</v>
      </c>
      <c r="S32" s="2">
        <v>2485760.3982</v>
      </c>
      <c r="T32" s="2">
        <v>303563</v>
      </c>
      <c r="U32" s="2">
        <v>1241100</v>
      </c>
      <c r="V32" s="2">
        <v>2488353.8982</v>
      </c>
      <c r="W32" s="2">
        <v>303563</v>
      </c>
      <c r="X32">
        <f t="shared" si="0"/>
        <v>4033016.8982</v>
      </c>
    </row>
    <row r="33" spans="1:24">
      <c r="A33" s="1">
        <v>31</v>
      </c>
      <c r="B33" s="2" t="s">
        <v>140</v>
      </c>
      <c r="C33" s="3"/>
      <c r="D33" s="2">
        <v>8</v>
      </c>
      <c r="E33" s="2">
        <v>8</v>
      </c>
      <c r="F33" s="2">
        <v>6.8</v>
      </c>
      <c r="G33" s="3"/>
      <c r="H33" s="2">
        <v>18</v>
      </c>
      <c r="I33" s="2">
        <v>17</v>
      </c>
      <c r="J33" s="2">
        <v>15</v>
      </c>
      <c r="K33" s="2">
        <v>1</v>
      </c>
      <c r="L33" s="2">
        <v>1</v>
      </c>
      <c r="M33" s="2" t="s">
        <v>578</v>
      </c>
      <c r="N33" s="2">
        <v>0</v>
      </c>
      <c r="O33" s="2">
        <v>0</v>
      </c>
      <c r="P33" s="2">
        <v>2406.8</v>
      </c>
      <c r="Q33" s="2">
        <v>0</v>
      </c>
      <c r="R33" s="2">
        <v>0</v>
      </c>
      <c r="S33" s="2">
        <v>21661.2</v>
      </c>
      <c r="T33" s="2">
        <v>0</v>
      </c>
      <c r="U33" s="2">
        <v>0</v>
      </c>
      <c r="V33" s="2">
        <v>21661.2</v>
      </c>
      <c r="W33" s="2">
        <v>0</v>
      </c>
      <c r="X33">
        <f t="shared" si="0"/>
        <v>21661.2</v>
      </c>
    </row>
    <row r="34" spans="1:24">
      <c r="A34" s="1">
        <v>32</v>
      </c>
      <c r="B34" s="2" t="s">
        <v>454</v>
      </c>
      <c r="C34" s="3"/>
      <c r="D34" s="2">
        <v>109</v>
      </c>
      <c r="E34" s="2">
        <v>98</v>
      </c>
      <c r="F34" s="2">
        <v>84</v>
      </c>
      <c r="G34" s="3"/>
      <c r="H34" s="2">
        <v>109</v>
      </c>
      <c r="I34" s="2">
        <v>98</v>
      </c>
      <c r="J34" s="2">
        <v>84</v>
      </c>
      <c r="K34" s="2">
        <v>1</v>
      </c>
      <c r="L34" s="2">
        <v>1</v>
      </c>
      <c r="M34" s="2" t="s">
        <v>578</v>
      </c>
      <c r="N34" s="2">
        <v>0</v>
      </c>
      <c r="O34" s="2">
        <v>2</v>
      </c>
      <c r="P34" s="2">
        <v>0</v>
      </c>
      <c r="Q34" s="2">
        <v>0</v>
      </c>
      <c r="R34" s="2">
        <v>0</v>
      </c>
      <c r="S34" s="2">
        <v>0</v>
      </c>
      <c r="T34" s="2">
        <v>0</v>
      </c>
      <c r="U34" s="2">
        <v>0</v>
      </c>
      <c r="V34" s="2">
        <v>0</v>
      </c>
      <c r="W34" s="2">
        <v>0</v>
      </c>
      <c r="X34">
        <f t="shared" si="0"/>
        <v>0</v>
      </c>
    </row>
    <row r="35" spans="1:24">
      <c r="A35" s="1">
        <v>33</v>
      </c>
      <c r="B35" s="2" t="s">
        <v>216</v>
      </c>
      <c r="C35" s="3"/>
      <c r="D35" s="2">
        <v>27.5</v>
      </c>
      <c r="E35" s="2">
        <v>25</v>
      </c>
      <c r="F35" s="2">
        <v>21.3</v>
      </c>
      <c r="G35" s="3"/>
      <c r="H35" s="2">
        <v>24</v>
      </c>
      <c r="I35" s="2">
        <v>22</v>
      </c>
      <c r="J35" s="2">
        <v>20</v>
      </c>
      <c r="K35" s="2">
        <v>1</v>
      </c>
      <c r="L35" s="2">
        <v>1</v>
      </c>
      <c r="M35" s="2" t="s">
        <v>578</v>
      </c>
      <c r="N35" s="2">
        <v>0</v>
      </c>
      <c r="O35" s="2">
        <v>207</v>
      </c>
      <c r="P35" s="2">
        <v>8</v>
      </c>
      <c r="Q35" s="2">
        <v>0</v>
      </c>
      <c r="R35" s="2">
        <v>-724.5</v>
      </c>
      <c r="S35" s="2">
        <v>-24</v>
      </c>
      <c r="T35" s="2">
        <v>0</v>
      </c>
      <c r="U35" s="2">
        <v>-724.5</v>
      </c>
      <c r="V35" s="2">
        <v>-24</v>
      </c>
      <c r="W35" s="2">
        <v>0</v>
      </c>
      <c r="X35">
        <f t="shared" si="0"/>
        <v>-748.5</v>
      </c>
    </row>
    <row r="36" spans="1:24">
      <c r="A36" s="1">
        <v>34</v>
      </c>
      <c r="B36" s="2" t="s">
        <v>180</v>
      </c>
      <c r="C36" s="3"/>
      <c r="D36" s="2">
        <v>10</v>
      </c>
      <c r="E36" s="2">
        <v>10</v>
      </c>
      <c r="F36" s="2">
        <v>8.5</v>
      </c>
      <c r="G36" s="3"/>
      <c r="H36" s="2">
        <v>14</v>
      </c>
      <c r="I36" s="2">
        <v>13</v>
      </c>
      <c r="J36" s="2">
        <v>12</v>
      </c>
      <c r="K36" s="2">
        <v>1</v>
      </c>
      <c r="L36" s="2">
        <v>1</v>
      </c>
      <c r="M36" s="2" t="s">
        <v>578</v>
      </c>
      <c r="N36" s="2">
        <v>0</v>
      </c>
      <c r="O36" s="2">
        <v>6258.8</v>
      </c>
      <c r="P36" s="2">
        <v>81</v>
      </c>
      <c r="Q36" s="2">
        <v>0</v>
      </c>
      <c r="R36" s="2">
        <v>25035.2</v>
      </c>
      <c r="S36" s="2">
        <v>243</v>
      </c>
      <c r="T36" s="2">
        <v>0</v>
      </c>
      <c r="U36" s="2">
        <v>25035.2</v>
      </c>
      <c r="V36" s="2">
        <v>243</v>
      </c>
      <c r="W36" s="2">
        <v>0</v>
      </c>
      <c r="X36">
        <f t="shared" si="0"/>
        <v>25278.2</v>
      </c>
    </row>
    <row r="37" spans="1:24">
      <c r="A37" s="1">
        <v>35</v>
      </c>
      <c r="B37" s="2" t="s">
        <v>41</v>
      </c>
      <c r="C37" s="3"/>
      <c r="D37" s="2">
        <v>8</v>
      </c>
      <c r="E37" s="2">
        <v>8</v>
      </c>
      <c r="F37" s="2">
        <v>6.8</v>
      </c>
      <c r="G37" s="3"/>
      <c r="H37" s="2">
        <v>20</v>
      </c>
      <c r="I37" s="2">
        <v>19</v>
      </c>
      <c r="J37" s="2">
        <v>18</v>
      </c>
      <c r="K37" s="2">
        <v>1</v>
      </c>
      <c r="L37" s="2">
        <v>1</v>
      </c>
      <c r="M37" s="2" t="s">
        <v>578</v>
      </c>
      <c r="N37" s="2">
        <v>0</v>
      </c>
      <c r="O37" s="2">
        <v>0</v>
      </c>
      <c r="P37" s="2">
        <v>0</v>
      </c>
      <c r="Q37" s="2">
        <v>180</v>
      </c>
      <c r="R37" s="2">
        <v>0</v>
      </c>
      <c r="S37" s="2">
        <v>0</v>
      </c>
      <c r="T37" s="2">
        <v>2016</v>
      </c>
      <c r="U37" s="2">
        <v>0</v>
      </c>
      <c r="V37" s="2">
        <v>0</v>
      </c>
      <c r="W37" s="2">
        <v>2016</v>
      </c>
      <c r="X37">
        <f t="shared" si="0"/>
        <v>2016</v>
      </c>
    </row>
    <row r="38" spans="1:24">
      <c r="A38" s="1">
        <v>36</v>
      </c>
      <c r="B38" s="2" t="s">
        <v>277</v>
      </c>
      <c r="C38" s="3"/>
      <c r="D38" s="2">
        <v>150</v>
      </c>
      <c r="E38" s="2">
        <v>135</v>
      </c>
      <c r="F38" s="2">
        <v>115</v>
      </c>
      <c r="G38" s="3"/>
      <c r="H38" s="2">
        <v>115</v>
      </c>
      <c r="I38" s="2">
        <v>108</v>
      </c>
      <c r="J38" s="2">
        <v>95</v>
      </c>
      <c r="K38" s="2">
        <v>1</v>
      </c>
      <c r="L38" s="2">
        <v>1</v>
      </c>
      <c r="M38" s="2" t="s">
        <v>578</v>
      </c>
      <c r="N38" s="2">
        <v>0</v>
      </c>
      <c r="O38" s="2">
        <v>1581</v>
      </c>
      <c r="P38" s="2">
        <v>1872.45</v>
      </c>
      <c r="Q38" s="2">
        <v>380</v>
      </c>
      <c r="R38" s="2">
        <v>-55335</v>
      </c>
      <c r="S38" s="2">
        <v>-50556.15</v>
      </c>
      <c r="T38" s="2">
        <v>-7600</v>
      </c>
      <c r="U38" s="2">
        <v>-55335</v>
      </c>
      <c r="V38" s="2">
        <v>-53501.15</v>
      </c>
      <c r="W38" s="2">
        <v>-7600</v>
      </c>
      <c r="X38">
        <f t="shared" si="0"/>
        <v>-116436.15</v>
      </c>
    </row>
    <row r="39" spans="1:24">
      <c r="A39" s="1">
        <v>37</v>
      </c>
      <c r="B39" s="2" t="s">
        <v>395</v>
      </c>
      <c r="C39" s="3"/>
      <c r="D39" s="2">
        <v>30</v>
      </c>
      <c r="E39" s="2">
        <v>30</v>
      </c>
      <c r="F39" s="2">
        <v>25.5</v>
      </c>
      <c r="G39" s="3"/>
      <c r="H39" s="2">
        <v>28.5</v>
      </c>
      <c r="I39" s="2">
        <v>27</v>
      </c>
      <c r="J39" s="2">
        <v>24</v>
      </c>
      <c r="K39" s="2">
        <v>1</v>
      </c>
      <c r="L39" s="2">
        <v>1</v>
      </c>
      <c r="M39" s="2" t="s">
        <v>578</v>
      </c>
      <c r="N39" s="2">
        <v>0</v>
      </c>
      <c r="O39" s="2">
        <v>5359.7</v>
      </c>
      <c r="P39" s="2">
        <v>122.75</v>
      </c>
      <c r="Q39" s="2">
        <v>500</v>
      </c>
      <c r="R39" s="2">
        <v>-8039.55</v>
      </c>
      <c r="S39" s="2">
        <v>-368.25</v>
      </c>
      <c r="T39" s="2">
        <v>-750</v>
      </c>
      <c r="U39" s="2">
        <v>-8039.55</v>
      </c>
      <c r="V39" s="2">
        <v>-368.25</v>
      </c>
      <c r="W39" s="2">
        <v>-750</v>
      </c>
      <c r="X39">
        <f t="shared" si="0"/>
        <v>-9157.8</v>
      </c>
    </row>
    <row r="40" spans="1:24">
      <c r="A40" s="1">
        <v>38</v>
      </c>
      <c r="B40" s="2" t="s">
        <v>315</v>
      </c>
      <c r="C40" s="3"/>
      <c r="D40" s="2">
        <v>15</v>
      </c>
      <c r="E40" s="2">
        <v>15</v>
      </c>
      <c r="F40" s="2">
        <v>12.8</v>
      </c>
      <c r="G40" s="3"/>
      <c r="H40" s="2">
        <v>25</v>
      </c>
      <c r="I40" s="2">
        <v>23</v>
      </c>
      <c r="J40" s="2">
        <v>21</v>
      </c>
      <c r="K40" s="2">
        <v>1</v>
      </c>
      <c r="L40" s="2">
        <v>1</v>
      </c>
      <c r="M40" s="2" t="s">
        <v>578</v>
      </c>
      <c r="N40" s="2">
        <v>0</v>
      </c>
      <c r="O40" s="2">
        <v>395</v>
      </c>
      <c r="P40" s="2">
        <v>8978</v>
      </c>
      <c r="Q40" s="2">
        <v>466</v>
      </c>
      <c r="R40" s="2">
        <v>3950</v>
      </c>
      <c r="S40" s="2">
        <v>71824</v>
      </c>
      <c r="T40" s="2">
        <v>3821.2</v>
      </c>
      <c r="U40" s="2">
        <v>3950</v>
      </c>
      <c r="V40" s="2">
        <v>71841.6</v>
      </c>
      <c r="W40" s="2">
        <v>3823.3</v>
      </c>
      <c r="X40">
        <f t="shared" si="0"/>
        <v>79614.9</v>
      </c>
    </row>
    <row r="41" spans="1:24">
      <c r="A41" s="1">
        <v>39</v>
      </c>
      <c r="B41" s="2" t="s">
        <v>537</v>
      </c>
      <c r="C41" s="3"/>
      <c r="D41" s="2">
        <v>1500</v>
      </c>
      <c r="E41" s="2">
        <v>1440</v>
      </c>
      <c r="F41" s="2">
        <v>1224</v>
      </c>
      <c r="G41" s="3"/>
      <c r="H41" s="2">
        <v>325</v>
      </c>
      <c r="I41" s="2">
        <v>305</v>
      </c>
      <c r="J41" s="2">
        <v>265</v>
      </c>
      <c r="K41" s="2">
        <v>1</v>
      </c>
      <c r="L41" s="2">
        <v>1</v>
      </c>
      <c r="M41" s="2" t="s">
        <v>578</v>
      </c>
      <c r="N41" s="2">
        <v>0</v>
      </c>
      <c r="O41" s="2">
        <v>0.5</v>
      </c>
      <c r="P41" s="2">
        <v>0</v>
      </c>
      <c r="Q41" s="2">
        <v>0</v>
      </c>
      <c r="R41" s="2">
        <v>-587.5</v>
      </c>
      <c r="S41" s="2">
        <v>0</v>
      </c>
      <c r="T41" s="2">
        <v>0</v>
      </c>
      <c r="U41" s="2">
        <v>-587.5</v>
      </c>
      <c r="V41" s="2">
        <v>0</v>
      </c>
      <c r="W41" s="2">
        <v>0</v>
      </c>
      <c r="X41">
        <f t="shared" si="0"/>
        <v>-587.5</v>
      </c>
    </row>
    <row r="42" spans="1:24">
      <c r="A42" s="1">
        <v>40</v>
      </c>
      <c r="B42" s="2" t="s">
        <v>52</v>
      </c>
      <c r="C42" s="3"/>
      <c r="D42" s="2">
        <v>10</v>
      </c>
      <c r="E42" s="2">
        <v>10</v>
      </c>
      <c r="F42" s="2">
        <v>8.5</v>
      </c>
      <c r="G42" s="3"/>
      <c r="H42" s="2">
        <v>20</v>
      </c>
      <c r="I42" s="2">
        <v>19</v>
      </c>
      <c r="J42" s="2">
        <v>18</v>
      </c>
      <c r="K42" s="2">
        <v>1</v>
      </c>
      <c r="L42" s="2">
        <v>1</v>
      </c>
      <c r="M42" s="2" t="s">
        <v>578</v>
      </c>
      <c r="N42" s="2">
        <v>0</v>
      </c>
      <c r="O42" s="2">
        <v>290655.2</v>
      </c>
      <c r="P42" s="2">
        <v>139575.1096</v>
      </c>
      <c r="Q42" s="2">
        <v>12344.2</v>
      </c>
      <c r="R42" s="2">
        <v>2906552</v>
      </c>
      <c r="S42" s="2">
        <v>1256175.9864</v>
      </c>
      <c r="T42" s="2">
        <v>117269.9</v>
      </c>
      <c r="U42" s="2">
        <v>2906552</v>
      </c>
      <c r="V42" s="2">
        <v>1256175.9864</v>
      </c>
      <c r="W42" s="2">
        <v>117269.9</v>
      </c>
      <c r="X42">
        <f t="shared" si="0"/>
        <v>4279997.8864</v>
      </c>
    </row>
    <row r="43" spans="1:24">
      <c r="A43" s="1">
        <v>41</v>
      </c>
      <c r="B43" s="2" t="s">
        <v>319</v>
      </c>
      <c r="C43" s="3"/>
      <c r="D43" s="2">
        <v>25</v>
      </c>
      <c r="E43" s="2">
        <v>25</v>
      </c>
      <c r="F43" s="2">
        <v>21.3</v>
      </c>
      <c r="G43" s="3"/>
      <c r="H43" s="2">
        <v>25</v>
      </c>
      <c r="I43" s="2">
        <v>23</v>
      </c>
      <c r="J43" s="2">
        <v>21</v>
      </c>
      <c r="K43" s="2">
        <v>1</v>
      </c>
      <c r="L43" s="2">
        <v>1</v>
      </c>
      <c r="M43" s="2" t="s">
        <v>578</v>
      </c>
      <c r="N43" s="2">
        <v>0</v>
      </c>
      <c r="O43" s="2">
        <v>1892</v>
      </c>
      <c r="P43" s="2">
        <v>10373.1</v>
      </c>
      <c r="Q43" s="2">
        <v>14000</v>
      </c>
      <c r="R43" s="2">
        <v>0</v>
      </c>
      <c r="S43" s="2">
        <v>-20746.2</v>
      </c>
      <c r="T43" s="2">
        <v>-4200</v>
      </c>
      <c r="U43" s="2">
        <v>0</v>
      </c>
      <c r="V43" s="2">
        <v>-19817.5</v>
      </c>
      <c r="W43" s="2">
        <v>-4200</v>
      </c>
      <c r="X43">
        <f t="shared" si="0"/>
        <v>-24017.5</v>
      </c>
    </row>
    <row r="44" spans="1:24">
      <c r="A44" s="1">
        <v>42</v>
      </c>
      <c r="B44" s="2" t="s">
        <v>516</v>
      </c>
      <c r="C44" s="3"/>
      <c r="D44" s="2">
        <v>4000</v>
      </c>
      <c r="E44" s="2">
        <v>3600</v>
      </c>
      <c r="F44" s="2">
        <v>3060</v>
      </c>
      <c r="G44" s="3"/>
      <c r="H44" s="2">
        <v>3250</v>
      </c>
      <c r="I44" s="2">
        <v>3050</v>
      </c>
      <c r="J44" s="2">
        <v>2650</v>
      </c>
      <c r="K44" s="2">
        <v>1</v>
      </c>
      <c r="L44" s="2">
        <v>1</v>
      </c>
      <c r="M44" s="2" t="s">
        <v>578</v>
      </c>
      <c r="N44" s="2">
        <v>0</v>
      </c>
      <c r="O44" s="2">
        <v>1157.5</v>
      </c>
      <c r="P44" s="2">
        <v>301</v>
      </c>
      <c r="Q44" s="2">
        <v>10</v>
      </c>
      <c r="R44" s="2">
        <v>-868125</v>
      </c>
      <c r="S44" s="2">
        <v>-165550</v>
      </c>
      <c r="T44" s="2">
        <v>-4100</v>
      </c>
      <c r="U44" s="2">
        <v>-868125</v>
      </c>
      <c r="V44" s="2">
        <v>-165010</v>
      </c>
      <c r="W44" s="2">
        <v>-4100</v>
      </c>
      <c r="X44">
        <f t="shared" si="0"/>
        <v>-1037235</v>
      </c>
    </row>
    <row r="45" spans="1:24">
      <c r="A45" s="1">
        <v>43</v>
      </c>
      <c r="B45" s="2" t="s">
        <v>67</v>
      </c>
      <c r="C45" s="3"/>
      <c r="D45" s="2">
        <v>10</v>
      </c>
      <c r="E45" s="2">
        <v>10</v>
      </c>
      <c r="F45" s="2">
        <v>8.5</v>
      </c>
      <c r="G45" s="3"/>
      <c r="H45" s="2">
        <v>20</v>
      </c>
      <c r="I45" s="2">
        <v>19</v>
      </c>
      <c r="J45" s="2">
        <v>18</v>
      </c>
      <c r="K45" s="2">
        <v>1</v>
      </c>
      <c r="L45" s="2">
        <v>1</v>
      </c>
      <c r="M45" s="2" t="s">
        <v>578</v>
      </c>
      <c r="N45" s="2">
        <v>0</v>
      </c>
      <c r="O45" s="2">
        <v>4.8</v>
      </c>
      <c r="P45" s="2">
        <v>0</v>
      </c>
      <c r="Q45" s="2">
        <v>0</v>
      </c>
      <c r="R45" s="2">
        <v>48</v>
      </c>
      <c r="S45" s="2">
        <v>0</v>
      </c>
      <c r="T45" s="2">
        <v>0</v>
      </c>
      <c r="U45" s="2">
        <v>48</v>
      </c>
      <c r="V45" s="2">
        <v>0</v>
      </c>
      <c r="W45" s="2">
        <v>0</v>
      </c>
      <c r="X45">
        <f t="shared" si="0"/>
        <v>48</v>
      </c>
    </row>
    <row r="46" spans="1:24">
      <c r="A46" s="1">
        <v>44</v>
      </c>
      <c r="B46" s="2" t="s">
        <v>73</v>
      </c>
      <c r="C46" s="3"/>
      <c r="D46" s="2">
        <v>10</v>
      </c>
      <c r="E46" s="2">
        <v>10</v>
      </c>
      <c r="F46" s="2">
        <v>8.5</v>
      </c>
      <c r="G46" s="3"/>
      <c r="H46" s="2">
        <v>20</v>
      </c>
      <c r="I46" s="2">
        <v>19</v>
      </c>
      <c r="J46" s="2">
        <v>18</v>
      </c>
      <c r="K46" s="2">
        <v>1</v>
      </c>
      <c r="L46" s="2">
        <v>1</v>
      </c>
      <c r="M46" s="2" t="s">
        <v>578</v>
      </c>
      <c r="N46" s="2">
        <v>0</v>
      </c>
      <c r="O46" s="2">
        <v>257571</v>
      </c>
      <c r="P46" s="2">
        <v>419550.0544</v>
      </c>
      <c r="Q46" s="2">
        <v>122051</v>
      </c>
      <c r="R46" s="2">
        <v>2575710</v>
      </c>
      <c r="S46" s="2">
        <v>3775950.4896</v>
      </c>
      <c r="T46" s="2">
        <v>1159484.5</v>
      </c>
      <c r="U46" s="2">
        <v>2575710</v>
      </c>
      <c r="V46" s="2">
        <v>3793230.4896</v>
      </c>
      <c r="W46" s="2">
        <v>1159484.5</v>
      </c>
      <c r="X46">
        <f t="shared" si="0"/>
        <v>7528424.9896</v>
      </c>
    </row>
    <row r="47" spans="1:24">
      <c r="A47" s="1">
        <v>45</v>
      </c>
      <c r="B47" s="2" t="s">
        <v>439</v>
      </c>
      <c r="C47" s="3"/>
      <c r="D47" s="2">
        <v>800</v>
      </c>
      <c r="E47" s="2">
        <v>704</v>
      </c>
      <c r="F47" s="2">
        <v>598.4</v>
      </c>
      <c r="G47" s="3"/>
      <c r="H47" s="2">
        <v>1080</v>
      </c>
      <c r="I47" s="2">
        <v>970</v>
      </c>
      <c r="J47" s="2">
        <v>825</v>
      </c>
      <c r="K47" s="2">
        <v>1</v>
      </c>
      <c r="L47" s="2">
        <v>1</v>
      </c>
      <c r="M47" s="2" t="s">
        <v>578</v>
      </c>
      <c r="N47" s="2">
        <v>0</v>
      </c>
      <c r="O47" s="2">
        <v>449</v>
      </c>
      <c r="P47" s="2">
        <v>0</v>
      </c>
      <c r="Q47" s="2">
        <v>0</v>
      </c>
      <c r="R47" s="2">
        <v>125720</v>
      </c>
      <c r="S47" s="2">
        <v>0</v>
      </c>
      <c r="T47" s="2">
        <v>0</v>
      </c>
      <c r="U47" s="2">
        <v>125720</v>
      </c>
      <c r="V47" s="2">
        <v>0</v>
      </c>
      <c r="W47" s="2">
        <v>0</v>
      </c>
      <c r="X47">
        <f t="shared" si="0"/>
        <v>125720</v>
      </c>
    </row>
    <row r="48" spans="1:24">
      <c r="A48" s="1">
        <v>46</v>
      </c>
      <c r="B48" s="2" t="s">
        <v>161</v>
      </c>
      <c r="C48" s="3"/>
      <c r="D48" s="2">
        <v>8</v>
      </c>
      <c r="E48" s="2">
        <v>8</v>
      </c>
      <c r="F48" s="2">
        <v>6.8</v>
      </c>
      <c r="G48" s="3"/>
      <c r="H48" s="2">
        <v>14</v>
      </c>
      <c r="I48" s="2">
        <v>13</v>
      </c>
      <c r="J48" s="2">
        <v>12</v>
      </c>
      <c r="K48" s="2">
        <v>1</v>
      </c>
      <c r="L48" s="2">
        <v>1</v>
      </c>
      <c r="M48" s="2" t="s">
        <v>578</v>
      </c>
      <c r="N48" s="2">
        <v>0</v>
      </c>
      <c r="O48" s="2">
        <v>7</v>
      </c>
      <c r="P48" s="2">
        <v>144</v>
      </c>
      <c r="Q48" s="2">
        <v>221</v>
      </c>
      <c r="R48" s="2">
        <v>42</v>
      </c>
      <c r="S48" s="2">
        <v>720</v>
      </c>
      <c r="T48" s="2">
        <v>1149.2</v>
      </c>
      <c r="U48" s="2">
        <v>42</v>
      </c>
      <c r="V48" s="2">
        <v>720</v>
      </c>
      <c r="W48" s="2">
        <v>1149.2</v>
      </c>
      <c r="X48">
        <f t="shared" si="0"/>
        <v>1911.2</v>
      </c>
    </row>
    <row r="49" spans="1:24">
      <c r="A49" s="1">
        <v>47</v>
      </c>
      <c r="B49" s="2" t="s">
        <v>64</v>
      </c>
      <c r="C49" s="3"/>
      <c r="D49" s="2">
        <v>10</v>
      </c>
      <c r="E49" s="2">
        <v>10</v>
      </c>
      <c r="F49" s="2">
        <v>8.5</v>
      </c>
      <c r="G49" s="3"/>
      <c r="H49" s="2">
        <v>20</v>
      </c>
      <c r="I49" s="2">
        <v>19</v>
      </c>
      <c r="J49" s="2">
        <v>18</v>
      </c>
      <c r="K49" s="2">
        <v>1</v>
      </c>
      <c r="L49" s="2">
        <v>1</v>
      </c>
      <c r="M49" s="2" t="s">
        <v>578</v>
      </c>
      <c r="N49" s="2">
        <v>0</v>
      </c>
      <c r="O49" s="2">
        <v>0</v>
      </c>
      <c r="P49" s="2">
        <v>263</v>
      </c>
      <c r="Q49" s="2">
        <v>0</v>
      </c>
      <c r="R49" s="2">
        <v>0</v>
      </c>
      <c r="S49" s="2">
        <v>2367</v>
      </c>
      <c r="T49" s="2">
        <v>0</v>
      </c>
      <c r="U49" s="2">
        <v>0</v>
      </c>
      <c r="V49" s="2">
        <v>2367</v>
      </c>
      <c r="W49" s="2">
        <v>0</v>
      </c>
      <c r="X49">
        <f t="shared" si="0"/>
        <v>2367</v>
      </c>
    </row>
    <row r="50" spans="1:24">
      <c r="A50" s="1">
        <v>48</v>
      </c>
      <c r="B50" s="2" t="s">
        <v>230</v>
      </c>
      <c r="C50" s="3"/>
      <c r="D50" s="2">
        <v>44</v>
      </c>
      <c r="E50" s="2">
        <v>40</v>
      </c>
      <c r="F50" s="2">
        <v>34</v>
      </c>
      <c r="G50" s="3"/>
      <c r="H50" s="2">
        <v>24</v>
      </c>
      <c r="I50" s="2">
        <v>22</v>
      </c>
      <c r="J50" s="2">
        <v>20</v>
      </c>
      <c r="K50" s="2">
        <v>1</v>
      </c>
      <c r="L50" s="2">
        <v>1</v>
      </c>
      <c r="M50" s="2" t="s">
        <v>578</v>
      </c>
      <c r="N50" s="2">
        <v>0</v>
      </c>
      <c r="O50" s="2">
        <v>363.4</v>
      </c>
      <c r="P50" s="2">
        <v>6431</v>
      </c>
      <c r="Q50" s="2">
        <v>0</v>
      </c>
      <c r="R50" s="2">
        <v>-7268</v>
      </c>
      <c r="S50" s="2">
        <v>-115758</v>
      </c>
      <c r="T50" s="2">
        <v>0</v>
      </c>
      <c r="U50" s="2">
        <v>-7268</v>
      </c>
      <c r="V50" s="2">
        <v>-115758</v>
      </c>
      <c r="W50" s="2">
        <v>0</v>
      </c>
      <c r="X50">
        <f t="shared" si="0"/>
        <v>-123026</v>
      </c>
    </row>
    <row r="51" spans="1:24">
      <c r="A51" s="1">
        <v>49</v>
      </c>
      <c r="B51" s="2" t="s">
        <v>306</v>
      </c>
      <c r="C51" s="3"/>
      <c r="D51" s="2">
        <v>20</v>
      </c>
      <c r="E51" s="2">
        <v>20</v>
      </c>
      <c r="F51" s="2">
        <v>17</v>
      </c>
      <c r="G51" s="3"/>
      <c r="H51" s="2">
        <v>19</v>
      </c>
      <c r="I51" s="2">
        <v>18</v>
      </c>
      <c r="J51" s="2">
        <v>16</v>
      </c>
      <c r="K51" s="2">
        <v>1</v>
      </c>
      <c r="L51" s="2">
        <v>1</v>
      </c>
      <c r="M51" s="2" t="s">
        <v>578</v>
      </c>
      <c r="N51" s="2">
        <v>0</v>
      </c>
      <c r="O51" s="2">
        <v>419077.77</v>
      </c>
      <c r="P51" s="2">
        <v>510069.9242</v>
      </c>
      <c r="Q51" s="2">
        <v>10029.7</v>
      </c>
      <c r="R51" s="2">
        <v>-419077.77</v>
      </c>
      <c r="S51" s="2">
        <v>-1020139.8484</v>
      </c>
      <c r="T51" s="2">
        <v>-10029.7</v>
      </c>
      <c r="U51" s="2">
        <v>-419077.77</v>
      </c>
      <c r="V51" s="2">
        <v>-1020139.8484</v>
      </c>
      <c r="W51" s="2">
        <v>-10029.7</v>
      </c>
      <c r="X51">
        <f t="shared" si="0"/>
        <v>-1449247.3184</v>
      </c>
    </row>
    <row r="52" spans="1:24">
      <c r="A52" s="1">
        <v>50</v>
      </c>
      <c r="B52" s="2" t="s">
        <v>478</v>
      </c>
      <c r="C52" s="3"/>
      <c r="D52" s="2">
        <v>2440</v>
      </c>
      <c r="E52" s="2">
        <v>2340</v>
      </c>
      <c r="F52" s="2">
        <v>1990</v>
      </c>
      <c r="G52" s="3"/>
      <c r="H52" s="2">
        <v>2700</v>
      </c>
      <c r="I52" s="2">
        <v>2430</v>
      </c>
      <c r="J52" s="2">
        <v>2070</v>
      </c>
      <c r="K52" s="2">
        <v>1</v>
      </c>
      <c r="L52" s="2">
        <v>1</v>
      </c>
      <c r="M52" s="2" t="s">
        <v>578</v>
      </c>
      <c r="N52" s="2">
        <v>0</v>
      </c>
      <c r="O52" s="2">
        <v>13</v>
      </c>
      <c r="P52" s="2">
        <v>0</v>
      </c>
      <c r="Q52" s="2">
        <v>0</v>
      </c>
      <c r="R52" s="2">
        <v>3380</v>
      </c>
      <c r="S52" s="2">
        <v>0</v>
      </c>
      <c r="T52" s="2">
        <v>0</v>
      </c>
      <c r="U52" s="2">
        <v>3380</v>
      </c>
      <c r="V52" s="2">
        <v>0</v>
      </c>
      <c r="W52" s="2">
        <v>0</v>
      </c>
      <c r="X52">
        <f t="shared" si="0"/>
        <v>3380</v>
      </c>
    </row>
    <row r="53" spans="1:24">
      <c r="A53" s="1">
        <v>51</v>
      </c>
      <c r="B53" s="2" t="s">
        <v>350</v>
      </c>
      <c r="C53" s="3"/>
      <c r="D53" s="2">
        <v>20</v>
      </c>
      <c r="E53" s="2">
        <v>20</v>
      </c>
      <c r="F53" s="2">
        <v>17</v>
      </c>
      <c r="G53" s="3"/>
      <c r="H53" s="2">
        <v>14</v>
      </c>
      <c r="I53" s="2">
        <v>13</v>
      </c>
      <c r="J53" s="2">
        <v>12</v>
      </c>
      <c r="K53" s="2">
        <v>1</v>
      </c>
      <c r="L53" s="2">
        <v>1</v>
      </c>
      <c r="M53" s="2" t="s">
        <v>578</v>
      </c>
      <c r="N53" s="2">
        <v>0</v>
      </c>
      <c r="O53" s="2">
        <v>49234.03</v>
      </c>
      <c r="P53" s="2">
        <v>112468.704</v>
      </c>
      <c r="Q53" s="2">
        <v>13222</v>
      </c>
      <c r="R53" s="2">
        <v>-295404.18</v>
      </c>
      <c r="S53" s="2">
        <v>-787280.928</v>
      </c>
      <c r="T53" s="2">
        <v>-66110</v>
      </c>
      <c r="U53" s="2">
        <v>-295404.18</v>
      </c>
      <c r="V53" s="2">
        <v>-787163.928</v>
      </c>
      <c r="W53" s="2">
        <v>-66110</v>
      </c>
      <c r="X53">
        <f t="shared" si="0"/>
        <v>-1148678.108</v>
      </c>
    </row>
    <row r="54" spans="1:24">
      <c r="A54" s="1">
        <v>52</v>
      </c>
      <c r="B54" s="2" t="s">
        <v>392</v>
      </c>
      <c r="C54" s="3"/>
      <c r="D54" s="2">
        <v>30</v>
      </c>
      <c r="E54" s="2">
        <v>30</v>
      </c>
      <c r="F54" s="2">
        <v>25.5</v>
      </c>
      <c r="G54" s="3"/>
      <c r="H54" s="2">
        <v>28.5</v>
      </c>
      <c r="I54" s="2">
        <v>27</v>
      </c>
      <c r="J54" s="2">
        <v>24</v>
      </c>
      <c r="K54" s="2">
        <v>1</v>
      </c>
      <c r="L54" s="2">
        <v>1</v>
      </c>
      <c r="M54" s="2" t="s">
        <v>578</v>
      </c>
      <c r="N54" s="2">
        <v>0</v>
      </c>
      <c r="O54" s="2">
        <v>3493.6</v>
      </c>
      <c r="P54" s="2">
        <v>0</v>
      </c>
      <c r="Q54" s="2">
        <v>0</v>
      </c>
      <c r="R54" s="2">
        <v>-5240.4</v>
      </c>
      <c r="S54" s="2">
        <v>0</v>
      </c>
      <c r="T54" s="2">
        <v>0</v>
      </c>
      <c r="U54" s="2">
        <v>-5240.4</v>
      </c>
      <c r="V54" s="2">
        <v>0</v>
      </c>
      <c r="W54" s="2">
        <v>0</v>
      </c>
      <c r="X54">
        <f t="shared" si="0"/>
        <v>-5240.4</v>
      </c>
    </row>
    <row r="55" spans="1:24">
      <c r="A55" s="1">
        <v>53</v>
      </c>
      <c r="B55" s="2" t="s">
        <v>362</v>
      </c>
      <c r="C55" s="3"/>
      <c r="D55" s="2">
        <v>8</v>
      </c>
      <c r="E55" s="2">
        <v>8</v>
      </c>
      <c r="F55" s="2">
        <v>6.8</v>
      </c>
      <c r="G55" s="3"/>
      <c r="H55" s="2">
        <v>14</v>
      </c>
      <c r="I55" s="2">
        <v>13</v>
      </c>
      <c r="J55" s="2">
        <v>12</v>
      </c>
      <c r="K55" s="2">
        <v>1</v>
      </c>
      <c r="L55" s="2">
        <v>1</v>
      </c>
      <c r="M55" s="2" t="s">
        <v>578</v>
      </c>
      <c r="N55" s="2">
        <v>0</v>
      </c>
      <c r="O55" s="2">
        <v>1010.8</v>
      </c>
      <c r="P55" s="2">
        <v>2534</v>
      </c>
      <c r="Q55" s="2">
        <v>2316</v>
      </c>
      <c r="R55" s="2">
        <v>6064.8</v>
      </c>
      <c r="S55" s="2">
        <v>12670</v>
      </c>
      <c r="T55" s="2">
        <v>12043.2</v>
      </c>
      <c r="U55" s="2">
        <v>6064.8</v>
      </c>
      <c r="V55" s="2">
        <v>12670</v>
      </c>
      <c r="W55" s="2">
        <v>16233.2</v>
      </c>
      <c r="X55">
        <f t="shared" si="0"/>
        <v>34968</v>
      </c>
    </row>
    <row r="56" spans="1:24">
      <c r="A56" s="1">
        <v>54</v>
      </c>
      <c r="B56" s="2" t="s">
        <v>383</v>
      </c>
      <c r="C56" s="3"/>
      <c r="D56" s="2">
        <v>30</v>
      </c>
      <c r="E56" s="2">
        <v>30</v>
      </c>
      <c r="F56" s="2">
        <v>25.5</v>
      </c>
      <c r="G56" s="3"/>
      <c r="H56" s="2">
        <v>28.5</v>
      </c>
      <c r="I56" s="2">
        <v>27</v>
      </c>
      <c r="J56" s="2">
        <v>24</v>
      </c>
      <c r="K56" s="2">
        <v>1</v>
      </c>
      <c r="L56" s="2">
        <v>1</v>
      </c>
      <c r="M56" s="2" t="s">
        <v>578</v>
      </c>
      <c r="N56" s="2">
        <v>0</v>
      </c>
      <c r="O56" s="2">
        <v>33</v>
      </c>
      <c r="P56" s="2">
        <v>800.2</v>
      </c>
      <c r="Q56" s="2">
        <v>0</v>
      </c>
      <c r="R56" s="2">
        <v>-49.5</v>
      </c>
      <c r="S56" s="2">
        <v>-2400.6</v>
      </c>
      <c r="T56" s="2">
        <v>0</v>
      </c>
      <c r="U56" s="2">
        <v>-49.5</v>
      </c>
      <c r="V56" s="2">
        <v>-2400.6</v>
      </c>
      <c r="W56" s="2">
        <v>0</v>
      </c>
      <c r="X56">
        <f t="shared" si="0"/>
        <v>-2450.1</v>
      </c>
    </row>
    <row r="57" spans="1:24">
      <c r="A57" s="1">
        <v>55</v>
      </c>
      <c r="B57" s="2" t="s">
        <v>247</v>
      </c>
      <c r="C57" s="3"/>
      <c r="D57" s="2">
        <v>13</v>
      </c>
      <c r="E57" s="2">
        <v>12.5</v>
      </c>
      <c r="F57" s="2">
        <v>10.6</v>
      </c>
      <c r="G57" s="3"/>
      <c r="H57" s="2">
        <v>9.5</v>
      </c>
      <c r="I57" s="2">
        <v>9</v>
      </c>
      <c r="J57" s="2">
        <v>8</v>
      </c>
      <c r="K57" s="2">
        <v>1</v>
      </c>
      <c r="L57" s="2">
        <v>1</v>
      </c>
      <c r="M57" s="2" t="s">
        <v>578</v>
      </c>
      <c r="N57" s="2">
        <v>0</v>
      </c>
      <c r="O57" s="2">
        <v>4823.4</v>
      </c>
      <c r="P57" s="2">
        <v>2069.9</v>
      </c>
      <c r="Q57" s="2">
        <v>1086</v>
      </c>
      <c r="R57" s="2">
        <v>-16881.9</v>
      </c>
      <c r="S57" s="2">
        <v>-7244.65</v>
      </c>
      <c r="T57" s="2">
        <v>-2823.6</v>
      </c>
      <c r="U57" s="2">
        <v>-16881.9</v>
      </c>
      <c r="V57" s="2">
        <v>-7244.65</v>
      </c>
      <c r="W57" s="2">
        <v>-2823.6</v>
      </c>
      <c r="X57">
        <f t="shared" si="0"/>
        <v>-26950.15</v>
      </c>
    </row>
    <row r="58" spans="1:24">
      <c r="A58" s="1">
        <v>56</v>
      </c>
      <c r="B58" s="2" t="s">
        <v>170</v>
      </c>
      <c r="C58" s="3"/>
      <c r="D58" s="2">
        <v>10</v>
      </c>
      <c r="E58" s="2">
        <v>10</v>
      </c>
      <c r="F58" s="2">
        <v>8.5</v>
      </c>
      <c r="G58" s="3"/>
      <c r="H58" s="2">
        <v>14</v>
      </c>
      <c r="I58" s="2">
        <v>13</v>
      </c>
      <c r="J58" s="2">
        <v>12</v>
      </c>
      <c r="K58" s="2">
        <v>1</v>
      </c>
      <c r="L58" s="2">
        <v>1</v>
      </c>
      <c r="M58" s="2" t="s">
        <v>578</v>
      </c>
      <c r="N58" s="2">
        <v>0</v>
      </c>
      <c r="O58" s="2">
        <v>127660.6</v>
      </c>
      <c r="P58" s="2">
        <v>482812.1912</v>
      </c>
      <c r="Q58" s="2">
        <v>120893.4</v>
      </c>
      <c r="R58" s="2">
        <v>510642.4</v>
      </c>
      <c r="S58" s="2">
        <v>1448436.5736</v>
      </c>
      <c r="T58" s="2">
        <v>423126.9</v>
      </c>
      <c r="U58" s="2">
        <v>510642.4</v>
      </c>
      <c r="V58" s="2">
        <v>1458769.42353</v>
      </c>
      <c r="W58" s="2">
        <v>423127.1</v>
      </c>
      <c r="X58">
        <f t="shared" si="0"/>
        <v>2392538.92353</v>
      </c>
    </row>
    <row r="59" spans="1:24">
      <c r="A59" s="1">
        <v>57</v>
      </c>
      <c r="B59" s="2" t="s">
        <v>398</v>
      </c>
      <c r="C59" s="3"/>
      <c r="D59" s="2">
        <v>29</v>
      </c>
      <c r="E59" s="2">
        <v>26</v>
      </c>
      <c r="F59" s="2">
        <v>22.1</v>
      </c>
      <c r="G59" s="3"/>
      <c r="H59" s="2">
        <v>28.5</v>
      </c>
      <c r="I59" s="2">
        <v>27</v>
      </c>
      <c r="J59" s="2">
        <v>24</v>
      </c>
      <c r="K59" s="2">
        <v>1</v>
      </c>
      <c r="L59" s="2">
        <v>1</v>
      </c>
      <c r="M59" s="2" t="s">
        <v>578</v>
      </c>
      <c r="N59" s="2">
        <v>0</v>
      </c>
      <c r="O59" s="2">
        <v>508.5</v>
      </c>
      <c r="P59" s="2">
        <v>82092</v>
      </c>
      <c r="Q59" s="2">
        <v>0</v>
      </c>
      <c r="R59" s="2">
        <v>-254.25</v>
      </c>
      <c r="S59" s="2">
        <v>82092</v>
      </c>
      <c r="T59" s="2">
        <v>0</v>
      </c>
      <c r="U59" s="2">
        <v>-254.25</v>
      </c>
      <c r="V59" s="2">
        <v>82092</v>
      </c>
      <c r="W59" s="2">
        <v>0</v>
      </c>
      <c r="X59">
        <f t="shared" si="0"/>
        <v>81837.75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1</vt: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吴华春</dc:creator>
  <cp:lastModifiedBy>QHTF</cp:lastModifiedBy>
  <dcterms:created xsi:type="dcterms:W3CDTF">2025-12-23T00:12:00Z</dcterms:created>
  <dcterms:modified xsi:type="dcterms:W3CDTF">2026-04-01T17:22:19Z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2052-11.8.2.12219</vt:lpwstr>
  </property>
  <property fmtid="{D5CDD505-2E9C-101B-9397-08002B2CF9AE}" pid="3" name="ICV">
    <vt:lpwstr>C27028E9D53F60AABDC2AF69EB1CA339</vt:lpwstr>
  </property>
</Properties>
</file>